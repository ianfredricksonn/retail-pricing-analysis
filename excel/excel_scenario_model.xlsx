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ty\Desktop\retail-pricing-analysis\excel\"/>
    </mc:Choice>
  </mc:AlternateContent>
  <xr:revisionPtr revIDLastSave="0" documentId="13_ncr:1_{B1961FF9-6238-41B9-8AA0-B90592FB66F7}" xr6:coauthVersionLast="47" xr6:coauthVersionMax="47" xr10:uidLastSave="{00000000-0000-0000-0000-000000000000}"/>
  <bookViews>
    <workbookView xWindow="-108" yWindow="-108" windowWidth="30936" windowHeight="16896" xr2:uid="{190F4FDB-F747-4DDB-9BE6-F0F4E47F4567}"/>
  </bookViews>
  <sheets>
    <sheet name="Excel Decision Model" sheetId="3" r:id="rId1"/>
    <sheet name="revenue_scenarios" sheetId="1" r:id="rId2"/>
    <sheet name="elasticity_estimates" sheetId="2" r:id="rId3"/>
    <sheet name="product_lookup" sheetId="4" r:id="rId4"/>
  </sheets>
  <definedNames>
    <definedName name="ProductCodes">product_lookup!$A$2:$A$4916</definedName>
    <definedName name="ProductList">product_lookup!$I$2:$I$4916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G17" i="3"/>
  <c r="B9" i="3"/>
  <c r="B10" i="3" s="1"/>
  <c r="B15" i="3" s="1"/>
  <c r="E7" i="3" s="1"/>
  <c r="B8" i="3"/>
  <c r="G15" i="3" s="1"/>
  <c r="B7" i="3"/>
  <c r="G14" i="3" s="1"/>
  <c r="B6" i="3"/>
  <c r="E5" i="3" s="1"/>
  <c r="B5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2" i="4"/>
  <c r="E6" i="3"/>
  <c r="F15" i="3" l="1"/>
  <c r="I15" i="3"/>
  <c r="H15" i="3"/>
  <c r="I14" i="3"/>
  <c r="H14" i="3"/>
  <c r="B14" i="3"/>
  <c r="F14" i="3"/>
  <c r="E14" i="3"/>
  <c r="E15" i="3"/>
  <c r="B19" i="3"/>
  <c r="G16" i="3" s="1"/>
  <c r="B16" i="3"/>
  <c r="F16" i="3" l="1"/>
  <c r="H16" i="3"/>
  <c r="E16" i="3"/>
  <c r="E17" i="3" s="1"/>
  <c r="E26" i="3" s="1"/>
  <c r="H17" i="3"/>
  <c r="H26" i="3" s="1"/>
  <c r="F17" i="3"/>
  <c r="F26" i="3" s="1"/>
  <c r="I16" i="3"/>
  <c r="I17" i="3" s="1"/>
  <c r="I26" i="3" s="1"/>
  <c r="B20" i="3"/>
  <c r="B22" i="3" s="1"/>
  <c r="B21" i="3" l="1"/>
  <c r="E9" i="3" s="1"/>
  <c r="E11" i="3"/>
  <c r="E8" i="3"/>
</calcChain>
</file>

<file path=xl/sharedStrings.xml><?xml version="1.0" encoding="utf-8"?>
<sst xmlns="http://schemas.openxmlformats.org/spreadsheetml/2006/main" count="11445" uniqueCount="6293">
  <si>
    <t>volume_tier</t>
  </si>
  <si>
    <t>elasticity</t>
  </si>
  <si>
    <t>price_change</t>
  </si>
  <si>
    <t>price_ratio</t>
  </si>
  <si>
    <t>quantity_ratio</t>
  </si>
  <si>
    <t>quantity_change</t>
  </si>
  <si>
    <t>revenue_ratio</t>
  </si>
  <si>
    <t>revenue_change</t>
  </si>
  <si>
    <t>Low Volume</t>
  </si>
  <si>
    <t>Mid Volume</t>
  </si>
  <si>
    <t>High Volume</t>
  </si>
  <si>
    <t>upper_ci</t>
  </si>
  <si>
    <t>lower_ci</t>
  </si>
  <si>
    <t>se</t>
  </si>
  <si>
    <t>Manual</t>
  </si>
  <si>
    <t>m</t>
  </si>
  <si>
    <t>Dotcomgiftshop Gift Voucher Â£80.00</t>
  </si>
  <si>
    <t>gift_0001_80</t>
  </si>
  <si>
    <t>Dotcomgiftshop Gift Voucher Â£70.00</t>
  </si>
  <si>
    <t>gift_0001_70</t>
  </si>
  <si>
    <t>Dotcomgiftshop Gift Voucher Â£50.00</t>
  </si>
  <si>
    <t>gift_0001_50</t>
  </si>
  <si>
    <t>Dotcomgiftshop Gift Voucher Â£40.00</t>
  </si>
  <si>
    <t>gift_0001_40</t>
  </si>
  <si>
    <t>Dotcomgiftshop Gift Voucher Â£30.00</t>
  </si>
  <si>
    <t>gift_0001_30</t>
  </si>
  <si>
    <t>Dotcomgiftshop Gift Voucher Â£20.00</t>
  </si>
  <si>
    <t>gift_0001_20</t>
  </si>
  <si>
    <t>Dotcomgiftshop Gift Voucher Â£10.00</t>
  </si>
  <si>
    <t>gift_0001_10</t>
  </si>
  <si>
    <t>This is a test product.</t>
  </si>
  <si>
    <t>TEST002</t>
  </si>
  <si>
    <t>TEST001</t>
  </si>
  <si>
    <t>KID'S CHALKBOARD/EASEL</t>
  </si>
  <si>
    <t>SP1002</t>
  </si>
  <si>
    <t>SAMPLES</t>
  </si>
  <si>
    <t>S</t>
  </si>
  <si>
    <t>POSTAGE</t>
  </si>
  <si>
    <t>POST</t>
  </si>
  <si>
    <t>M</t>
  </si>
  <si>
    <t>DOTCOM POSTAGE</t>
  </si>
  <si>
    <t>DOT</t>
  </si>
  <si>
    <t>GIRLS PARTY BAG</t>
  </si>
  <si>
    <t>DCGSSGIRL</t>
  </si>
  <si>
    <t>BOYS PARTY BAG</t>
  </si>
  <si>
    <t>DCGSSBOY</t>
  </si>
  <si>
    <t>SUNJAR LED NIGHT NIGHT LIGHT</t>
  </si>
  <si>
    <t>DCGS0076</t>
  </si>
  <si>
    <t>CAMOUFLAGUE DOG LEAD</t>
  </si>
  <si>
    <t>DCGS0075</t>
  </si>
  <si>
    <t>CAT CAMOUFLAGUE COLLAR</t>
  </si>
  <si>
    <t>DCGS0072</t>
  </si>
  <si>
    <t>CAMOUFLAGE DOG COLLAR</t>
  </si>
  <si>
    <t>DCGS0070</t>
  </si>
  <si>
    <t>OOH LA LA DOGS COLLAR</t>
  </si>
  <si>
    <t>DCGS0069</t>
  </si>
  <si>
    <t>DOGS NIGHT COLLAR</t>
  </si>
  <si>
    <t>DCGS0068</t>
  </si>
  <si>
    <t>NAVY CUDDLES DOG HOODIE</t>
  </si>
  <si>
    <t>DCGS0066N</t>
  </si>
  <si>
    <t>ROAD-RAGE CAR FRESHENER</t>
  </si>
  <si>
    <t>DCGS0062</t>
  </si>
  <si>
    <t>MISO PRETTY  GUM</t>
  </si>
  <si>
    <t>DCGS0058</t>
  </si>
  <si>
    <t>HANDZ-OFF CAR FRESHENER</t>
  </si>
  <si>
    <t>DCGS0044</t>
  </si>
  <si>
    <t>HAYNES MINI-COOPER PLAYING CARDS</t>
  </si>
  <si>
    <t>DCGS0041</t>
  </si>
  <si>
    <t>KEY-RING CORKSCREW</t>
  </si>
  <si>
    <t>DCGS0037</t>
  </si>
  <si>
    <t>HAYNES CAMPER SHOULDER BAG</t>
  </si>
  <si>
    <t>DCGS0004</t>
  </si>
  <si>
    <t>BOXED GLASS ASHTRAY</t>
  </si>
  <si>
    <t>DCGS0003</t>
  </si>
  <si>
    <t>Discount</t>
  </si>
  <si>
    <t>D</t>
  </si>
  <si>
    <t>CARRIAGE</t>
  </si>
  <si>
    <t>C2</t>
  </si>
  <si>
    <t>Bank Charges</t>
  </si>
  <si>
    <t>BANK CHARGES</t>
  </si>
  <si>
    <t>Adjust bad debt</t>
  </si>
  <si>
    <t>B</t>
  </si>
  <si>
    <t>AMAZON FEE</t>
  </si>
  <si>
    <t>AMAZONFEE</t>
  </si>
  <si>
    <t>Adjustment by Peter on Jun 25 2010</t>
  </si>
  <si>
    <t>ADJUST2</t>
  </si>
  <si>
    <t>Adjustment by john on 26/01/2010 16</t>
  </si>
  <si>
    <t>ADJUST</t>
  </si>
  <si>
    <t>LETTER "Z" BLING KEY RING</t>
  </si>
  <si>
    <t>90214Z</t>
  </si>
  <si>
    <t>LETTER "Y" BLING KEY RING</t>
  </si>
  <si>
    <t>90214Y</t>
  </si>
  <si>
    <t>LETTER "W" BLING KEY RING</t>
  </si>
  <si>
    <t>90214W</t>
  </si>
  <si>
    <t>LETTER "V" BLING KEY RING</t>
  </si>
  <si>
    <t>90214V</t>
  </si>
  <si>
    <t>LETTER "U" BLING KEY RING</t>
  </si>
  <si>
    <t>90214U</t>
  </si>
  <si>
    <t>LETTER "T" BLING KEY RING</t>
  </si>
  <si>
    <t>90214T</t>
  </si>
  <si>
    <t>LETTER "S" BLING KEY RING</t>
  </si>
  <si>
    <t>90214S</t>
  </si>
  <si>
    <t>LETTER "R" BLING KEY RING</t>
  </si>
  <si>
    <t>90214R</t>
  </si>
  <si>
    <t>LETTER "P" BLING KEY RING</t>
  </si>
  <si>
    <t>90214P</t>
  </si>
  <si>
    <t>LETTER "O" BLING KEY RING</t>
  </si>
  <si>
    <t>90214O</t>
  </si>
  <si>
    <t>LETTER "N" BLING KEY RING</t>
  </si>
  <si>
    <t>90214N</t>
  </si>
  <si>
    <t>LETTER "M" BLING KEY RING</t>
  </si>
  <si>
    <t>90214M</t>
  </si>
  <si>
    <t>LETTER "L" BLING KEY RING</t>
  </si>
  <si>
    <t>90214L</t>
  </si>
  <si>
    <t>LETTER "K" BLING KEY RING</t>
  </si>
  <si>
    <t>90214K</t>
  </si>
  <si>
    <t>LETTER "J" BLING KEY RING</t>
  </si>
  <si>
    <t>90214J</t>
  </si>
  <si>
    <t>LETTER "I" BLING KEY RING</t>
  </si>
  <si>
    <t>90214I</t>
  </si>
  <si>
    <t>LETTER "H" BLING KEY RING</t>
  </si>
  <si>
    <t>90214H</t>
  </si>
  <si>
    <t>LETTER "G" BLING KEY RING</t>
  </si>
  <si>
    <t>90214G</t>
  </si>
  <si>
    <t>LETTER "F" BLING KEY RING</t>
  </si>
  <si>
    <t>90214F</t>
  </si>
  <si>
    <t>LETTER "E" BLING KEY RING</t>
  </si>
  <si>
    <t>90214E</t>
  </si>
  <si>
    <t>LETTER "D" BLING KEY RING</t>
  </si>
  <si>
    <t>90214D</t>
  </si>
  <si>
    <t>LETTER "C" BLING KEY RING</t>
  </si>
  <si>
    <t>90214C</t>
  </si>
  <si>
    <t>LETTER "B" BLING KEY RING</t>
  </si>
  <si>
    <t>90214B</t>
  </si>
  <si>
    <t>LETTER "A" BLING KEY RING</t>
  </si>
  <si>
    <t>90214A</t>
  </si>
  <si>
    <t>PURPLE LAS VEGAS BRACELET ROUND</t>
  </si>
  <si>
    <t>90212C</t>
  </si>
  <si>
    <t>JET BLACK LAS VEGAS BRACELET ROUND</t>
  </si>
  <si>
    <t>90212B</t>
  </si>
  <si>
    <t>JET BLACK LAS VEGAS NECKLACE 45CM</t>
  </si>
  <si>
    <t>90211B</t>
  </si>
  <si>
    <t>DIAMOND LAS VEGAS NECKLACE 45CM</t>
  </si>
  <si>
    <t>90211A</t>
  </si>
  <si>
    <t>PURPLE ACRYLIC FACETED BANGLE</t>
  </si>
  <si>
    <t>90210D</t>
  </si>
  <si>
    <t>RED   ACRYLIC FACETED BANGLE</t>
  </si>
  <si>
    <t>90210C</t>
  </si>
  <si>
    <t>CLEAR ACRYLIC FACETED BANGLE</t>
  </si>
  <si>
    <t>90210B</t>
  </si>
  <si>
    <t>GREY ACRYLIC FACETED BANGLE</t>
  </si>
  <si>
    <t>90210A</t>
  </si>
  <si>
    <t>PINK ENAMEL+GLASS HAIR COMB</t>
  </si>
  <si>
    <t>90209C</t>
  </si>
  <si>
    <t>GREEN ENAMEL+GLASS HAIR COMB</t>
  </si>
  <si>
    <t>90209B</t>
  </si>
  <si>
    <t>PURPLE ENAMEL+GLASS HAIR COMB</t>
  </si>
  <si>
    <t>90209A</t>
  </si>
  <si>
    <t>PAIR OF ENAMEL FLOWER CLUSTER SLIDE</t>
  </si>
  <si>
    <t>CRYSTAL DIAMANTE STAR BROOCH</t>
  </si>
  <si>
    <t>90206C</t>
  </si>
  <si>
    <t>GOLD DIAMANTE STAR BROOCH</t>
  </si>
  <si>
    <t>90206A</t>
  </si>
  <si>
    <t>LARGE CRYSTAL DIAMANTE HAIRSLIDE</t>
  </si>
  <si>
    <t>90205C</t>
  </si>
  <si>
    <t>LARGE MINT DIAMANTE HAIRSLIDE</t>
  </si>
  <si>
    <t>90205A</t>
  </si>
  <si>
    <t>PAIR OF ENAMEL BUTTERFLY HAIRCLIP</t>
  </si>
  <si>
    <t>SILVER CHARM NECKLACE 70CM</t>
  </si>
  <si>
    <t>PINK ENAMEL FLOWER HAIR TIE</t>
  </si>
  <si>
    <t>90202D</t>
  </si>
  <si>
    <t>GREEN ENAMEL FLOWER HAIR TIE</t>
  </si>
  <si>
    <t>90202C</t>
  </si>
  <si>
    <t>WHITE ENAMEL FLOWER HAIR TIE</t>
  </si>
  <si>
    <t>90202B</t>
  </si>
  <si>
    <t>PURPLE ENAMEL FLOWER HAIR TIE</t>
  </si>
  <si>
    <t>90202A</t>
  </si>
  <si>
    <t>GREEN ENAMEL FLOWER RING</t>
  </si>
  <si>
    <t>90201D</t>
  </si>
  <si>
    <t>RED ENAMEL FLOWER RING</t>
  </si>
  <si>
    <t>90201C</t>
  </si>
  <si>
    <t>BLACK ENAMEL FLOWER RING</t>
  </si>
  <si>
    <t>90201B</t>
  </si>
  <si>
    <t>PURPLE ENAMEL FLOWER RING</t>
  </si>
  <si>
    <t>90201A</t>
  </si>
  <si>
    <t>GREEN SWEETHEART BRACELET</t>
  </si>
  <si>
    <t>90200E</t>
  </si>
  <si>
    <t>PINK SWEETHEART BRACELET</t>
  </si>
  <si>
    <t>90200D</t>
  </si>
  <si>
    <t>BLUE SWEETHEART BRACELET</t>
  </si>
  <si>
    <t>90200C</t>
  </si>
  <si>
    <t>BLACK SWEETHEART BRACELET</t>
  </si>
  <si>
    <t>90200B</t>
  </si>
  <si>
    <t>PURPLE SWEETHEART BRACELET</t>
  </si>
  <si>
    <t>90200A</t>
  </si>
  <si>
    <t>5 STRAND GLASS NECKLACE AMBER</t>
  </si>
  <si>
    <t>90199D</t>
  </si>
  <si>
    <t>5 STRAND GLASS NECKLACE CRYSTAL</t>
  </si>
  <si>
    <t>90199C</t>
  </si>
  <si>
    <t>5 STRAND GLASS NECKLACE AMETHYST</t>
  </si>
  <si>
    <t>90199B</t>
  </si>
  <si>
    <t>5 STRAND GLASS NECKLACE BLACK</t>
  </si>
  <si>
    <t>90199A</t>
  </si>
  <si>
    <t>VINTAGE ROSE BEAD BRACELET BLACK</t>
  </si>
  <si>
    <t>90198B</t>
  </si>
  <si>
    <t>VINTAGE ROSE BEAD BRACELET RASPBERR</t>
  </si>
  <si>
    <t>90198A</t>
  </si>
  <si>
    <t>AMBER GLASS BRACELET HEART CHARMS</t>
  </si>
  <si>
    <t>90197D</t>
  </si>
  <si>
    <t>BLACK GLASS BRACELET W HEART CHARMS</t>
  </si>
  <si>
    <t>90197B</t>
  </si>
  <si>
    <t>BLACK GEMSTONE NECKLACE 45CM</t>
  </si>
  <si>
    <t>90196B</t>
  </si>
  <si>
    <t>PURPLE GEMSTONE NECKLACE 45CM</t>
  </si>
  <si>
    <t>90196A</t>
  </si>
  <si>
    <t>BLACK GEMSTONE BRACELET</t>
  </si>
  <si>
    <t>90195B</t>
  </si>
  <si>
    <t>PURPLE GEMSTONE BRACELET</t>
  </si>
  <si>
    <t>90195A</t>
  </si>
  <si>
    <t>SILVER LARIAT BLACK STONE EARRINGS</t>
  </si>
  <si>
    <t>JADE DROP EARRINGS W FILIGREE</t>
  </si>
  <si>
    <t>SILVER LARIAT 40CM</t>
  </si>
  <si>
    <t>SILVER/AMETHYST DROP EARRINGS LEAF</t>
  </si>
  <si>
    <t>90190C</t>
  </si>
  <si>
    <t>GOLD/AMBER DROP EARRINGS W LEAF</t>
  </si>
  <si>
    <t>90190B</t>
  </si>
  <si>
    <t>SILVER/CRYSTAL DROP EARRINGS W LEAF</t>
  </si>
  <si>
    <t>90190A</t>
  </si>
  <si>
    <t>GOLD 2 STRAND NECKLACE-LEAF CHARMS</t>
  </si>
  <si>
    <t>90189B</t>
  </si>
  <si>
    <t>SILVER 2 STRAND NECKLACE-LEAF CHARM</t>
  </si>
  <si>
    <t>90189A</t>
  </si>
  <si>
    <t>DROP EARRINGS W FLOWER &amp; LEAF</t>
  </si>
  <si>
    <t>GREEN DROP EARRINGS W BEAD CLUSTER</t>
  </si>
  <si>
    <t>90187B</t>
  </si>
  <si>
    <t>BLUE DROP EARRINGS W BEAD CLUSTER</t>
  </si>
  <si>
    <t>90187A</t>
  </si>
  <si>
    <t>CRYSTAL HOOP EARRING FLORAL LEAF</t>
  </si>
  <si>
    <t>90186B</t>
  </si>
  <si>
    <t>AMETHYST HOOP EARRING FLORAL LEAF</t>
  </si>
  <si>
    <t>90186A</t>
  </si>
  <si>
    <t>CRYSTAL DIAMANTE EXPANDABLE RING</t>
  </si>
  <si>
    <t>90185D</t>
  </si>
  <si>
    <t>BLACK DIAMANTE EXPANDABLE RING</t>
  </si>
  <si>
    <t>90185C</t>
  </si>
  <si>
    <t>AMETHYST DIAMANTE EXPANDABLE RING</t>
  </si>
  <si>
    <t>90185B</t>
  </si>
  <si>
    <t>AMBER DIAMANTE EXPANDABLE RING</t>
  </si>
  <si>
    <t>90185A</t>
  </si>
  <si>
    <t>BLACK CHUNKY BEAD BRACELET W STRAP</t>
  </si>
  <si>
    <t>90184c</t>
  </si>
  <si>
    <t>90184C</t>
  </si>
  <si>
    <t>AMETHYST CHUNKY BEAD BRACELET W STR</t>
  </si>
  <si>
    <t>90184B</t>
  </si>
  <si>
    <t>AMBER CHUNKY BEAD BRACELET W STRAP</t>
  </si>
  <si>
    <t>90184A</t>
  </si>
  <si>
    <t>BLACK DROP EARRINGS W LONG BEADS</t>
  </si>
  <si>
    <t>90183c</t>
  </si>
  <si>
    <t>90183C</t>
  </si>
  <si>
    <t>AMETHYST DROP EARRINGS W LONG BEADS</t>
  </si>
  <si>
    <t>90183B</t>
  </si>
  <si>
    <t>AMBER DROP EARRINGS W LONG BEADS</t>
  </si>
  <si>
    <t>90183A</t>
  </si>
  <si>
    <t>BLACK 3 BEAD DROP EARRINGS</t>
  </si>
  <si>
    <t>90182C</t>
  </si>
  <si>
    <t>AMETHYST 3 BEAD DROP EARRINGS</t>
  </si>
  <si>
    <t>90182B</t>
  </si>
  <si>
    <t>AMBER 3 BEAD DROP EARRINGS</t>
  </si>
  <si>
    <t>90182A</t>
  </si>
  <si>
    <t>BLACK GLASS/SHELL/PEARL NECKLACE</t>
  </si>
  <si>
    <t>90181C</t>
  </si>
  <si>
    <t>AMETHYST GLASS/SHELL/PEARL NECKLACE</t>
  </si>
  <si>
    <t>90181B</t>
  </si>
  <si>
    <t>AMBER GLASS/SHELL/PEARL NECKLACE</t>
  </si>
  <si>
    <t>90181A</t>
  </si>
  <si>
    <t>PURPLE AMETHYST NECKLACE W TASSEL</t>
  </si>
  <si>
    <t>90180B</t>
  </si>
  <si>
    <t>BLACK+WHITE NECKLACE W TASSEL</t>
  </si>
  <si>
    <t>90180A</t>
  </si>
  <si>
    <t>BLACK FINE BEAD NECKLACE W TASSEL</t>
  </si>
  <si>
    <t>90179C</t>
  </si>
  <si>
    <t>PURPLE FINE BEAD NECKLACE W TASSEL</t>
  </si>
  <si>
    <t>90179B</t>
  </si>
  <si>
    <t>AMBER FINE BEAD NECKLACE W TASSEL</t>
  </si>
  <si>
    <t>90179A</t>
  </si>
  <si>
    <t>PURPLE CHUNKY GLASS+BEAD NECKLACE</t>
  </si>
  <si>
    <t>90178B</t>
  </si>
  <si>
    <t>AMBER CHUNKY GLASS+BEAD NECKLACE</t>
  </si>
  <si>
    <t>90178A</t>
  </si>
  <si>
    <t>DROP DIAMANTE EARRINGS GREEN</t>
  </si>
  <si>
    <t>90177E</t>
  </si>
  <si>
    <t>DROP DIAMANTE EARRINGS PURPLE</t>
  </si>
  <si>
    <t>90177D</t>
  </si>
  <si>
    <t>DROP DIAMANTE EARRINGS CRYSTAL</t>
  </si>
  <si>
    <t>90177C</t>
  </si>
  <si>
    <t>DROP DIAMANTE EARRINGS BLACK DIAMON</t>
  </si>
  <si>
    <t>90177B</t>
  </si>
  <si>
    <t>CLASSIC DIAMANTE EARRINGS JET</t>
  </si>
  <si>
    <t>90177A</t>
  </si>
  <si>
    <t>DIAMANTE NECKLACE GREEN</t>
  </si>
  <si>
    <t>90176E</t>
  </si>
  <si>
    <t>DIAMANTE NECKLACE PURPLE</t>
  </si>
  <si>
    <t>90176D</t>
  </si>
  <si>
    <t>DIAMANTE NECKLACE</t>
  </si>
  <si>
    <t>90176C</t>
  </si>
  <si>
    <t>DIAMANTE NECKLACE BLACK</t>
  </si>
  <si>
    <t>90176B</t>
  </si>
  <si>
    <t>CLASSIC DIAMANTE NECKLACE JET</t>
  </si>
  <si>
    <t>90176A</t>
  </si>
  <si>
    <t>TIGRIS EYE CHUNKY CHARM BRACELET</t>
  </si>
  <si>
    <t>90175D</t>
  </si>
  <si>
    <t>BLUE GLASS CHUNKY CHARM BRACELET</t>
  </si>
  <si>
    <t>90175C</t>
  </si>
  <si>
    <t>PINK GLASS CHUNKY CHARM BRACELET</t>
  </si>
  <si>
    <t>90175B</t>
  </si>
  <si>
    <t>WHITE GLASS CHUNKY CHARM BRACELET</t>
  </si>
  <si>
    <t>90175A</t>
  </si>
  <si>
    <t>BUTTERFLY HAIR BAND</t>
  </si>
  <si>
    <t>PAIR BUTTERFLY HAIR CLIPS</t>
  </si>
  <si>
    <t>DAISY RING</t>
  </si>
  <si>
    <t>DAISY HAIR BAND</t>
  </si>
  <si>
    <t>DAISY HAIR COMB</t>
  </si>
  <si>
    <t>2 DAISIES HAIR COMB</t>
  </si>
  <si>
    <t>BEADED LOVE HEART JEWELLERY SET</t>
  </si>
  <si>
    <t>PINK &amp; WHITE ROSEBUD RING</t>
  </si>
  <si>
    <t>WHITE ROSEBUD  PEARL EARRINGS</t>
  </si>
  <si>
    <t>90165B</t>
  </si>
  <si>
    <t>PINK ROSEBUD PEARL EARRINGS</t>
  </si>
  <si>
    <t>90165A</t>
  </si>
  <si>
    <t>WHITE  ROSEBUD PEARL BRACELET</t>
  </si>
  <si>
    <t>90164B</t>
  </si>
  <si>
    <t>PINK ROSEBUD PEARL BRACELET</t>
  </si>
  <si>
    <t>90164A</t>
  </si>
  <si>
    <t>WHITE ROSEBUD &amp; PEARL NECKLACE</t>
  </si>
  <si>
    <t>90163B</t>
  </si>
  <si>
    <t>PINK ROSEBUD &amp; PEARL NECKLACE</t>
  </si>
  <si>
    <t>90163A</t>
  </si>
  <si>
    <t>ANT SILVER PURPLE BOUDICCA RING</t>
  </si>
  <si>
    <t>90162D</t>
  </si>
  <si>
    <t>ANT SILVER FUSCHIA BOUDICCA RING</t>
  </si>
  <si>
    <t>90162C</t>
  </si>
  <si>
    <t>ANT SILVER LIME GREEN BOUDICCA RING</t>
  </si>
  <si>
    <t>90162B</t>
  </si>
  <si>
    <t>ANT SILVER TURQUOISE BOUDICCA RING</t>
  </si>
  <si>
    <t>90162A</t>
  </si>
  <si>
    <t>ANT COPPER PINK BOUDICCA BRACELET</t>
  </si>
  <si>
    <t>90161D</t>
  </si>
  <si>
    <t>ANT COPPER LIME BOUDICCA BRACELET</t>
  </si>
  <si>
    <t>90161C</t>
  </si>
  <si>
    <t>ANT COPPER TURQ BOUDICCA BRACELET</t>
  </si>
  <si>
    <t>90161B</t>
  </si>
  <si>
    <t>ANT COPPER RED BOUDICCA BRACELET</t>
  </si>
  <si>
    <t>90161A</t>
  </si>
  <si>
    <t>PINK BOUDICCA LARGE BRACELET</t>
  </si>
  <si>
    <t>90160D</t>
  </si>
  <si>
    <t>TURQ+RED BOUDICCA LARGE BRACELET</t>
  </si>
  <si>
    <t>90160C</t>
  </si>
  <si>
    <t>RED BOUDICCA LARGE BRACELET</t>
  </si>
  <si>
    <t>90160B</t>
  </si>
  <si>
    <t>PURPLE BOUDICCA LARGE BRACELET</t>
  </si>
  <si>
    <t>90160A</t>
  </si>
  <si>
    <t>COTE D'AZURE NECKLACE</t>
  </si>
  <si>
    <t>ST TROPEZ NECKLACE</t>
  </si>
  <si>
    <t>RIVIERA NECKLACE</t>
  </si>
  <si>
    <t>RESIN BRACELET W PASTEL BEADS</t>
  </si>
  <si>
    <t>RESIN NECKLACE W PASTEL BEADS</t>
  </si>
  <si>
    <t>LAZER CUT NECKLACE W PASTEL BEADS</t>
  </si>
  <si>
    <t>BLUE/NAT SHELL NECKLACE W PENDANT</t>
  </si>
  <si>
    <t>90152C</t>
  </si>
  <si>
    <t>BLUE/GREEN SHELL NECKLACE W PENDANT</t>
  </si>
  <si>
    <t>90152B</t>
  </si>
  <si>
    <t>SILVER/NAT SHELL NECKLACE W PENDANT</t>
  </si>
  <si>
    <t>90152A</t>
  </si>
  <si>
    <t>SILVER/NATURAL SHELL NECKLACE</t>
  </si>
  <si>
    <t>BLUE SHELL+SILVER NECKLACE</t>
  </si>
  <si>
    <t>SILVER FLOWR PINK SHELL NECKLACE</t>
  </si>
  <si>
    <t>LONG SILVER NECKLACE PASTEL FLOWER</t>
  </si>
  <si>
    <t>CHUNKY SILVER NECKLACE PASTEL FLOWE</t>
  </si>
  <si>
    <t>FINE SILVER NECKLACE W PASTEL FLOWE</t>
  </si>
  <si>
    <t>SILVER HOOP EARRINGS WITH FLOWER</t>
  </si>
  <si>
    <t>SILVER DROP EARRINGS WITH FLOWER</t>
  </si>
  <si>
    <t>SILVER BRACELET W PASTEL FLOWER</t>
  </si>
  <si>
    <t>MOP PENDANT SHELL NECKLACE</t>
  </si>
  <si>
    <t>90142D</t>
  </si>
  <si>
    <t>ROSE PINK PENDANT SHELL NECKLACE</t>
  </si>
  <si>
    <t>90142C</t>
  </si>
  <si>
    <t>IVORY PENDANT SHELL NECKLACE</t>
  </si>
  <si>
    <t>90142B</t>
  </si>
  <si>
    <t>GREEN PENDANT SHELL NECKLACE</t>
  </si>
  <si>
    <t>90142A</t>
  </si>
  <si>
    <t>ORANGE PENDANT TRIPLE SHELL NECKLAC</t>
  </si>
  <si>
    <t>90141E</t>
  </si>
  <si>
    <t>ROSE PENDANT TRIPLE SHELL NECKLACE</t>
  </si>
  <si>
    <t>90141D</t>
  </si>
  <si>
    <t>TURQ PENDANT TRIPLE SHELL NECKLACE</t>
  </si>
  <si>
    <t>90141C</t>
  </si>
  <si>
    <t>IVORY PENDANT TRIPLE SHELL NECKLACE</t>
  </si>
  <si>
    <t>90141B</t>
  </si>
  <si>
    <t>GREEN PENDANT TRIPLE SHELL NECKLACE</t>
  </si>
  <si>
    <t>90141A</t>
  </si>
  <si>
    <t>PINK SWEETIE NECKLACE</t>
  </si>
  <si>
    <t>FLOWER BROOCH 4 ASSORTED COLOURS</t>
  </si>
  <si>
    <t>WHITE/PINK MINI CRYSTALS NECKLACE</t>
  </si>
  <si>
    <t>PINK COMBO MINI CRYSTALS NECKLACE</t>
  </si>
  <si>
    <t>PALE PINK/AMETHYST STONE NECKLACE</t>
  </si>
  <si>
    <t>ORANGE/FUSCHIA STONES NECKLACE</t>
  </si>
  <si>
    <t>90135A</t>
  </si>
  <si>
    <t>ORANGE/WHT/FUSCHIA STONES NECKLACE</t>
  </si>
  <si>
    <t>OLD ROSE COMBO BEAD NECKLACE</t>
  </si>
  <si>
    <t>TEAL/FUSCHIA COL BEAD NECKLACE</t>
  </si>
  <si>
    <t>LIGHT TOPAZ TEAL/AQUA COL NECKLACE</t>
  </si>
  <si>
    <t>PINK/AMETHYST/GOLD NECKLACE</t>
  </si>
  <si>
    <t>RED STONE/CRYSTAL EARRINGS</t>
  </si>
  <si>
    <t>90130D</t>
  </si>
  <si>
    <t>GREEN STONE/CRYSTAL EARRINGS</t>
  </si>
  <si>
    <t>90130C</t>
  </si>
  <si>
    <t>TURQ STONE/CRYSTAL EARRINGS</t>
  </si>
  <si>
    <t>90130B</t>
  </si>
  <si>
    <t>WHITE STONE/CRYSTAL EARRINGS</t>
  </si>
  <si>
    <t>90130A</t>
  </si>
  <si>
    <t>RED GLASS TASSLE BAG CHARM</t>
  </si>
  <si>
    <t>90129F</t>
  </si>
  <si>
    <t>PURPLE GLASS TASSLE BAG CHARM</t>
  </si>
  <si>
    <t>90129E</t>
  </si>
  <si>
    <t>AMBER GLASS TASSLE BAG CHARM</t>
  </si>
  <si>
    <t>90129D</t>
  </si>
  <si>
    <t>GREEN GLASS TASSLE BAG CHARM</t>
  </si>
  <si>
    <t>90129C</t>
  </si>
  <si>
    <t>TURQUOISE GLASS TASSLE BAG CHARM</t>
  </si>
  <si>
    <t>90129B</t>
  </si>
  <si>
    <t>PINK GLASS TASSLE BAG CHARM</t>
  </si>
  <si>
    <t>90129A</t>
  </si>
  <si>
    <t>PURPLE LEAVES AND BEADS PHONE CHAR</t>
  </si>
  <si>
    <t>90128D</t>
  </si>
  <si>
    <t>GREEN LEAVES AND BEADS PHONE CHARM</t>
  </si>
  <si>
    <t>90128C</t>
  </si>
  <si>
    <t>BLUE LEAVES AND BEADS PHONE CHARM</t>
  </si>
  <si>
    <t>90128B</t>
  </si>
  <si>
    <t>PINK LEAVES AND BEADS PHONE CHARM</t>
  </si>
  <si>
    <t>90128A</t>
  </si>
  <si>
    <t>BLUE BEADS+HAND PHONE CHARM</t>
  </si>
  <si>
    <t>90127B</t>
  </si>
  <si>
    <t>PINK BEADS+HAND PHONE CHARM</t>
  </si>
  <si>
    <t>90127A</t>
  </si>
  <si>
    <t>AMBER BERTIE MOBILE PHONE CHARM</t>
  </si>
  <si>
    <t>90126C</t>
  </si>
  <si>
    <t>BLUE BERTIE MOBILE PHONE CHARM</t>
  </si>
  <si>
    <t>90126B</t>
  </si>
  <si>
    <t>PINK BERTIE MOBILE PHONE CHARM</t>
  </si>
  <si>
    <t>90126A</t>
  </si>
  <si>
    <t>AMBER BERTIE GLASS BEAD BAG CHARM</t>
  </si>
  <si>
    <t>90125E</t>
  </si>
  <si>
    <t>PURPLE BERTIE GLASS BEAD BAG CHARM</t>
  </si>
  <si>
    <t>90125D</t>
  </si>
  <si>
    <t>TURQUOISE BERTIE GLASS BEAD CHARM</t>
  </si>
  <si>
    <t>90125C</t>
  </si>
  <si>
    <t>AQUA BERTIE GLASS BEAD BAG CHARM</t>
  </si>
  <si>
    <t>90125B</t>
  </si>
  <si>
    <t>PINK BERTIE GLASS BEAD BAG CHARM</t>
  </si>
  <si>
    <t>90125A</t>
  </si>
  <si>
    <t>GREEN MURANO TWIST NECKLACE</t>
  </si>
  <si>
    <t>90124C</t>
  </si>
  <si>
    <t>BLUE MURANO TWIST NECKLACE</t>
  </si>
  <si>
    <t>90124B</t>
  </si>
  <si>
    <t>PINK MURANO TWIST NECKLACE</t>
  </si>
  <si>
    <t>90124A</t>
  </si>
  <si>
    <t>WHITE HEART OF GLASS BRACELET</t>
  </si>
  <si>
    <t>90123D</t>
  </si>
  <si>
    <t>GREEN HEART OF GLASS BRACELET</t>
  </si>
  <si>
    <t>90123C</t>
  </si>
  <si>
    <t>TURQUOISE HEART OF GLASS BRACELET</t>
  </si>
  <si>
    <t>90123B</t>
  </si>
  <si>
    <t>PINK HEART OF GLASS BRACELET</t>
  </si>
  <si>
    <t>90123A</t>
  </si>
  <si>
    <t>TURQUOISE CRYSTAL+GLASS BRACELET</t>
  </si>
  <si>
    <t>90122C</t>
  </si>
  <si>
    <t>JADE CRYSTAL+GLASS BRACELET</t>
  </si>
  <si>
    <t>90122B</t>
  </si>
  <si>
    <t>PINK CRYSTAL+GLASS BRACELET</t>
  </si>
  <si>
    <t>90122A</t>
  </si>
  <si>
    <t>VINTAGE ROSE BEAD BRACELET BLUE</t>
  </si>
  <si>
    <t>90121B</t>
  </si>
  <si>
    <t>WHITE MURANO TWIST BRACELET</t>
  </si>
  <si>
    <t>90120D</t>
  </si>
  <si>
    <t>GREEN MURANO TWIST BRACELET</t>
  </si>
  <si>
    <t>90120C</t>
  </si>
  <si>
    <t>BLUE MURANO TWIST BRACELET</t>
  </si>
  <si>
    <t>90120B</t>
  </si>
  <si>
    <t>PINK MURANO TWIST BRACELET</t>
  </si>
  <si>
    <t>90120A</t>
  </si>
  <si>
    <t>METALIC LEAVES BAG CHARMS</t>
  </si>
  <si>
    <t>PINK DAISY BAG CHARM</t>
  </si>
  <si>
    <t>FRUIT SALAD BAG CHARM</t>
  </si>
  <si>
    <t>SUMMER BUTTERFLIES BAG CHARM</t>
  </si>
  <si>
    <t>SUMMER DAISIES BAG CHARM</t>
  </si>
  <si>
    <t>PINK DOLLY HAIR CLIPS</t>
  </si>
  <si>
    <t>BLUE HIBISCUS  HAIR CLIP</t>
  </si>
  <si>
    <t>BLUE BLOSSOM HAIR CLIP</t>
  </si>
  <si>
    <t>PURPLE FRANGIPANI HAIRCLIP</t>
  </si>
  <si>
    <t>PURPLE FRANGIPANI NECKLACE</t>
  </si>
  <si>
    <t>WHITE FRANGIPANI HAIR CLIP</t>
  </si>
  <si>
    <t>WHITE FRANGIPANI NECKLACE</t>
  </si>
  <si>
    <t>NECKLACE+BRACELET SET PINK DAISY</t>
  </si>
  <si>
    <t>NECKLACE+BRACELET SET BLUE HIBISCUS</t>
  </si>
  <si>
    <t>NECKLACE+BRACELET PINK BUTTERFLY</t>
  </si>
  <si>
    <t>NECKLACE+BRACELET SET BLUE BLOSSOM</t>
  </si>
  <si>
    <t>NECKLACE+BRACELET SET PINK BLOSSOM</t>
  </si>
  <si>
    <t>NECKLACE+BRACELET SET FRUIT SALAD</t>
  </si>
  <si>
    <t>CLEAR CRYSTAL STAR PHONE CHARM</t>
  </si>
  <si>
    <t>BLUE CRYSTAL BOOT PHONE CHARM</t>
  </si>
  <si>
    <t>CRYSTAL DRAGONFLY PHONE CHARM</t>
  </si>
  <si>
    <t>PINK CRYSTAL HEART PHONE CHARM</t>
  </si>
  <si>
    <t>PINK CRYSTAL SKULL PHONE CHARM</t>
  </si>
  <si>
    <t>CRYSTAL KEY+LOCK PHONE CHARM</t>
  </si>
  <si>
    <t>CRYSTAL SEA HORSE PHONE CHARM</t>
  </si>
  <si>
    <t>CRYSTAL FROG PHONE CHARM</t>
  </si>
  <si>
    <t>CRYSTAL STILETTO PHONE CHARM</t>
  </si>
  <si>
    <t>PINK CRYSTAL GUITAR PHONE CHARM</t>
  </si>
  <si>
    <t>CRYSTAL CZECH CROSS PHONE CHARM</t>
  </si>
  <si>
    <t>DIAMANTE BOW BROOCH BLACK COLOUR</t>
  </si>
  <si>
    <t>90082D</t>
  </si>
  <si>
    <t>DIAMANTE BOW BROOCH WHITE COLOUR</t>
  </si>
  <si>
    <t>90082C</t>
  </si>
  <si>
    <t>DIAMANTE BOW BROOCH RED COLOUR</t>
  </si>
  <si>
    <t>90082B</t>
  </si>
  <si>
    <t>DIAMANTE BOW BROOCH GREEN COLOUR</t>
  </si>
  <si>
    <t>90082A</t>
  </si>
  <si>
    <t>LILY BROOCH OLIVE COLOUR</t>
  </si>
  <si>
    <t>90081C</t>
  </si>
  <si>
    <t>LILY BROOCH WHITE/SILVER COLOUR</t>
  </si>
  <si>
    <t>90081B</t>
  </si>
  <si>
    <t>LILY BROOCH AMETHYST COLOUR</t>
  </si>
  <si>
    <t>90081A</t>
  </si>
  <si>
    <t>VINTAGE ENAMEL &amp; CRYSTAL NECKLACE</t>
  </si>
  <si>
    <t>PINK/WHITE GLASS DEMI CHOKER</t>
  </si>
  <si>
    <t>BLACK DIAMOND CLUSTER EARRINGS</t>
  </si>
  <si>
    <t>MONTANA DIAMOND CLUSTER EARRINGS</t>
  </si>
  <si>
    <t>MONTANA DIAMOND CLUSTER NECKLACE</t>
  </si>
  <si>
    <t>BLACK DIAMOND CLUSTER NECKLACE</t>
  </si>
  <si>
    <t>VINTAGE ENAMEL &amp; CRYSTAL EARRINGS</t>
  </si>
  <si>
    <t>RUBY DROP CHANDELIER EARRINGS</t>
  </si>
  <si>
    <t>RUBY GLASS CLUSTER EARRINGS</t>
  </si>
  <si>
    <t>RUBY GLASS CLUSTER BRACELET</t>
  </si>
  <si>
    <t>RUBY GLASS CLUSTER NECKLACE</t>
  </si>
  <si>
    <t>RUBY GLASS NECKLACE 42"</t>
  </si>
  <si>
    <t>BROWN VINTAGE VICTORIAN EARRINGS</t>
  </si>
  <si>
    <t>90067B</t>
  </si>
  <si>
    <t>PINK VINTAGE VICTORIAN EARRINGS</t>
  </si>
  <si>
    <t>90067A</t>
  </si>
  <si>
    <t>PINK VINTAGE VICTORIAN CHOKER</t>
  </si>
  <si>
    <t>90066A</t>
  </si>
  <si>
    <t>BLACK VINT ART DEC CRYSTAL BRACELET</t>
  </si>
  <si>
    <t>90065B</t>
  </si>
  <si>
    <t>WHITE VINTAGE CRYSTAL BRACELET</t>
  </si>
  <si>
    <t>90065A</t>
  </si>
  <si>
    <t>BLACK VINTAGE  CRYSTAL EARRINGS</t>
  </si>
  <si>
    <t>90064B</t>
  </si>
  <si>
    <t>WHITE VINTAGE CRYSTAL EARRINGS</t>
  </si>
  <si>
    <t>90064A</t>
  </si>
  <si>
    <t>BLACK VINT ART DEC CRYSTAL NECKLACE</t>
  </si>
  <si>
    <t>90063B</t>
  </si>
  <si>
    <t>WHITE VINT ART DECO CRYSTAL NECKLAC</t>
  </si>
  <si>
    <t>90063A</t>
  </si>
  <si>
    <t>CARNIVAL BRACELET</t>
  </si>
  <si>
    <t>FIRE POLISHED GLASS NECKL GREEN</t>
  </si>
  <si>
    <t>90060F</t>
  </si>
  <si>
    <t>FIRE POLISHED GLASS NECKL BRONZE</t>
  </si>
  <si>
    <t>90060D</t>
  </si>
  <si>
    <t>FIRE POLISHED GLASS NECKL SILVER</t>
  </si>
  <si>
    <t>90060C</t>
  </si>
  <si>
    <t>FIRE POLISHED GLASS NECKL GOLD</t>
  </si>
  <si>
    <t>90060B</t>
  </si>
  <si>
    <t>DIAMANTE HAIR GRIP PACK/2 LT ROSE</t>
  </si>
  <si>
    <t>90059F</t>
  </si>
  <si>
    <t>DIAMANTE HAIR GRIP PACK/2 RUBY</t>
  </si>
  <si>
    <t>90059E</t>
  </si>
  <si>
    <t>DIAMANTE HAIR GRIP PACK/2 PERIDOT</t>
  </si>
  <si>
    <t>90059D</t>
  </si>
  <si>
    <t>DIAMANTE HAIR GRIP PACK/2 MONTANA</t>
  </si>
  <si>
    <t>90059C</t>
  </si>
  <si>
    <t>DIAMANTE HAIR GRIP PACK/2 BLACK DIA</t>
  </si>
  <si>
    <t>90059B</t>
  </si>
  <si>
    <t>DIAMANTE HAIR GRIP PACK/2 CRYSTAL</t>
  </si>
  <si>
    <t>90059A</t>
  </si>
  <si>
    <t>CRYSTAL STUD EARRINGS ASSORTED COL</t>
  </si>
  <si>
    <t>90058B</t>
  </si>
  <si>
    <t>CRYSTAL STUD EARRINGS CLEAR DISPLAY</t>
  </si>
  <si>
    <t>90058A</t>
  </si>
  <si>
    <t>DIAMANTE RING ASSORTED IN BOX.</t>
  </si>
  <si>
    <t>CHUNKY CRACKED GLAZE NECKLACE IVORY</t>
  </si>
  <si>
    <t>CRACKED GLAZE EARRINGS BROWN</t>
  </si>
  <si>
    <t>CRACKED GLAZE EARRINGS RED</t>
  </si>
  <si>
    <t>CRACKED GLAZE EARRINGS IVORY</t>
  </si>
  <si>
    <t>CRACKED GLAZE NECKLACE BROWN</t>
  </si>
  <si>
    <t>CRACKED GLAZE NECKLACE RED</t>
  </si>
  <si>
    <t>CRACKED GLAZE NECKLACE IVORY</t>
  </si>
  <si>
    <t>IVORY GOLD METAL BAG CHARM</t>
  </si>
  <si>
    <t>GREEN WITH METAL BAG CHARM</t>
  </si>
  <si>
    <t>WHITE WITH METAL BAG CHARM</t>
  </si>
  <si>
    <t>COPPER AND BRASS BAG CHARM</t>
  </si>
  <si>
    <t>FRESHWATER PEARL BRACELET IVORY</t>
  </si>
  <si>
    <t>90042C</t>
  </si>
  <si>
    <t>FRESHWATER PEARL BRACELET PINK</t>
  </si>
  <si>
    <t>90042B</t>
  </si>
  <si>
    <t>FRESHWATER PEARL BRACELET GOLD</t>
  </si>
  <si>
    <t>90042A</t>
  </si>
  <si>
    <t>PEARL AND CHERRY QUARTZ BRACLET</t>
  </si>
  <si>
    <t>MURANO STYLE GLASS BRACELET PINK</t>
  </si>
  <si>
    <t>90040D</t>
  </si>
  <si>
    <t>MURANO STYLE GLASS BRACELET GOLD</t>
  </si>
  <si>
    <t>90040C</t>
  </si>
  <si>
    <t>MURANO STYLE GLASS BRACELET BLACK</t>
  </si>
  <si>
    <t>90040B</t>
  </si>
  <si>
    <t>MURANO STYLE GLASS BRACELET RED</t>
  </si>
  <si>
    <t>90040A</t>
  </si>
  <si>
    <t>FIRE POLISHED GLASS BRACELET GREEN</t>
  </si>
  <si>
    <t>90039D</t>
  </si>
  <si>
    <t>FIRE POLISHED GLASS BRACELET BLACK</t>
  </si>
  <si>
    <t>90039C</t>
  </si>
  <si>
    <t>FIRE POLISHED GLASS BRACELET MONTAN</t>
  </si>
  <si>
    <t>90039B</t>
  </si>
  <si>
    <t>FIRE POLISHED GLASS BRACELET RED</t>
  </si>
  <si>
    <t>90039A</t>
  </si>
  <si>
    <t>GLASS AND BEADS BRACELET IVORY</t>
  </si>
  <si>
    <t>90038C</t>
  </si>
  <si>
    <t>GLASS AND PAINTED BEADS BRACELET OL</t>
  </si>
  <si>
    <t>90038B</t>
  </si>
  <si>
    <t>GLASS AND PAINTED BEADS BRACELET TO</t>
  </si>
  <si>
    <t>90038A</t>
  </si>
  <si>
    <t>TINY CRYSTALS BRACELET BLACK</t>
  </si>
  <si>
    <t>90037D</t>
  </si>
  <si>
    <t>TINY CRYSTAL BRACELET BLUE</t>
  </si>
  <si>
    <t>90037C</t>
  </si>
  <si>
    <t>TINY CRYSTAL BRACELET GREEN</t>
  </si>
  <si>
    <t>90037B</t>
  </si>
  <si>
    <t>TINY CRYSTAL BRACELET RED</t>
  </si>
  <si>
    <t>90037A</t>
  </si>
  <si>
    <t>FLOWER GLASS GARLD NECKL36"TURQUOIS</t>
  </si>
  <si>
    <t>90036F</t>
  </si>
  <si>
    <t>FLOWER GLASS GARLD NECKL36"AMETHYST</t>
  </si>
  <si>
    <t>90036E</t>
  </si>
  <si>
    <t>FLOWER GLASS GARLAND NECKL.36"BLACK</t>
  </si>
  <si>
    <t>90036D</t>
  </si>
  <si>
    <t>FLOWER GLASS GARLAND NECKL.36"BLUE</t>
  </si>
  <si>
    <t>90036C</t>
  </si>
  <si>
    <t>FLOWER GLASS GARLAND NECKL.36"GREEN</t>
  </si>
  <si>
    <t>90036B</t>
  </si>
  <si>
    <t>FLOWER GARLAND NECKLACE RED</t>
  </si>
  <si>
    <t>90036A</t>
  </si>
  <si>
    <t>PEARL &amp; SHELL 42"NECKL. IVORY</t>
  </si>
  <si>
    <t>90035C</t>
  </si>
  <si>
    <t>PEARL &amp; SHELL 42"NECKL. PINK</t>
  </si>
  <si>
    <t>90035B</t>
  </si>
  <si>
    <t>PEARL &amp; SHELL 42"NECKL. GREEN</t>
  </si>
  <si>
    <t>90035A</t>
  </si>
  <si>
    <t>WHITE SILVER NECKLACE SHELL GLASS</t>
  </si>
  <si>
    <t>IVORY SHELL HEART EARRINGS</t>
  </si>
  <si>
    <t>IVORY SHELL HEART NECKLACE</t>
  </si>
  <si>
    <t>BILI NUT AND WOOD NECKLACE</t>
  </si>
  <si>
    <t>BROWN KUKUI COCONUT SEED NECKLACE</t>
  </si>
  <si>
    <t>90030C</t>
  </si>
  <si>
    <t>RED KUKUI COCONUT SEED NECKLACE</t>
  </si>
  <si>
    <t>90030B</t>
  </si>
  <si>
    <t>SPOTTED WHITE NATURAL SEED NECKLACE</t>
  </si>
  <si>
    <t>90030A</t>
  </si>
  <si>
    <t>NEW BAROQUE SMALL NECKLACE BLACK</t>
  </si>
  <si>
    <t>NEW BAROQUE LARGE NECKLACE BLK/WHIT</t>
  </si>
  <si>
    <t>GLASS BEAD HOOP EARRINGS AMETHYST</t>
  </si>
  <si>
    <t>90027D</t>
  </si>
  <si>
    <t>GLASS BEAD HOOP EARRINGS GREEN</t>
  </si>
  <si>
    <t>90027C</t>
  </si>
  <si>
    <t>GLASS BEAD HOOP EARRINGS MONTANA</t>
  </si>
  <si>
    <t>90027B</t>
  </si>
  <si>
    <t>GLASS BEAD HOOP EARRINGS BLACK</t>
  </si>
  <si>
    <t>90027A</t>
  </si>
  <si>
    <t>GLASS BEAD HOOP NECKLACE AMETHYST</t>
  </si>
  <si>
    <t>90026D</t>
  </si>
  <si>
    <t>GLASS BEAD HOOP NECKLACE GREEN</t>
  </si>
  <si>
    <t>90026C</t>
  </si>
  <si>
    <t>GLASS BEAD HOOP NECKLACE MONTANA</t>
  </si>
  <si>
    <t>90026B</t>
  </si>
  <si>
    <t>GLASS BEAD HOOP NECKLACE BLACK</t>
  </si>
  <si>
    <t>90026A</t>
  </si>
  <si>
    <t>BAROQUE BUTTERFLY EARRINGS CRYSTAL</t>
  </si>
  <si>
    <t>90025F</t>
  </si>
  <si>
    <t>BAROQUE BUTTERFLY EARRINGS MONTANA</t>
  </si>
  <si>
    <t>90025E</t>
  </si>
  <si>
    <t>BAROQUE BUTTERFLY EARRINGS PINK</t>
  </si>
  <si>
    <t>90025D</t>
  </si>
  <si>
    <t>BAROQUE BUTTERFLY EARRINGS GREEN</t>
  </si>
  <si>
    <t>90025C</t>
  </si>
  <si>
    <t>BAROQUE BUTTERFLY EARRINGS RED</t>
  </si>
  <si>
    <t>90025B</t>
  </si>
  <si>
    <t>BAROQUE BUTTERFLY EARRINGS BLACK</t>
  </si>
  <si>
    <t>90025A</t>
  </si>
  <si>
    <t>NEW BAROQUE B'FLY NECKLACE CRYSTAL</t>
  </si>
  <si>
    <t>90024F</t>
  </si>
  <si>
    <t>NEW BAROQUE B'FLY NECKLACE MONTANA</t>
  </si>
  <si>
    <t>90024E</t>
  </si>
  <si>
    <t>NEW BAROQUE B'FLY NECKLACE PINK</t>
  </si>
  <si>
    <t>90024D</t>
  </si>
  <si>
    <t>NEW BAROQUE B'FLY NECKLACE GREEN</t>
  </si>
  <si>
    <t>90024C</t>
  </si>
  <si>
    <t>NEW BAROQUE B'FLY NECKLACE RED</t>
  </si>
  <si>
    <t>90024B</t>
  </si>
  <si>
    <t>NEW BAROQUE B'FLY NECKLACE BLACK</t>
  </si>
  <si>
    <t>90024A</t>
  </si>
  <si>
    <t>FILIGREE DIAMANTE EARRINGS</t>
  </si>
  <si>
    <t>EDWARDIAN DROP EARRINGS JET BLACK</t>
  </si>
  <si>
    <t>LASER CUT MULTI STRAND NECKLACE</t>
  </si>
  <si>
    <t>FILIGREE DIAMANTE CHAIN</t>
  </si>
  <si>
    <t>SILVER BLACK ORBIT BRACELET</t>
  </si>
  <si>
    <t>90019C</t>
  </si>
  <si>
    <t>GOLD M.O.P ORBIT BRACELET</t>
  </si>
  <si>
    <t>90019B</t>
  </si>
  <si>
    <t>SILVER M.O.P ORBIT BRACELET</t>
  </si>
  <si>
    <t>90019A</t>
  </si>
  <si>
    <t>SILVER BLACK ORBIT DROP EARRINGS</t>
  </si>
  <si>
    <t>90018C</t>
  </si>
  <si>
    <t>GOLD M.O.P ORBIT DROP EARRINGS</t>
  </si>
  <si>
    <t>90018B</t>
  </si>
  <si>
    <t>SILVER M.O.P ORBIT DROP EARRINGS</t>
  </si>
  <si>
    <t>90018A</t>
  </si>
  <si>
    <t>SILVER/BLACK PENDANT ORBIT NECKLACE</t>
  </si>
  <si>
    <t>90016C</t>
  </si>
  <si>
    <t>GOLD/M.O.P PENDANT ORBIT NECKLACE</t>
  </si>
  <si>
    <t>90016B</t>
  </si>
  <si>
    <t>SILVER/M.O.P PENDANT ORBIT NECKLACE</t>
  </si>
  <si>
    <t>90016A</t>
  </si>
  <si>
    <t>SILVER/BLACK ORBIT NECKLACE</t>
  </si>
  <si>
    <t>90014C</t>
  </si>
  <si>
    <t>GOLD M PEARL  ORBIT NECKLACE</t>
  </si>
  <si>
    <t>90014B</t>
  </si>
  <si>
    <t>SILVER/MOP ORBIT NECKLACE</t>
  </si>
  <si>
    <t>90014A</t>
  </si>
  <si>
    <t>AMBER VINTAGE EARRINGS</t>
  </si>
  <si>
    <t>90013E</t>
  </si>
  <si>
    <t>PURPLE VINTAGE EARRINGS</t>
  </si>
  <si>
    <t>90013D</t>
  </si>
  <si>
    <t>GREEN VINTAGE EARRINGS</t>
  </si>
  <si>
    <t>90013C</t>
  </si>
  <si>
    <t>BLACK VINTAGE EARRINGS</t>
  </si>
  <si>
    <t>90013B</t>
  </si>
  <si>
    <t>MIDNIGHT BLUE VINTAGE EARRINGS</t>
  </si>
  <si>
    <t>90013A</t>
  </si>
  <si>
    <t>BLACK DROP CRYSTAL NECKLACE</t>
  </si>
  <si>
    <t>90012B</t>
  </si>
  <si>
    <t>MIDNIGHT BLUE DROP CRYSTAL NECKLACE</t>
  </si>
  <si>
    <t>90012A</t>
  </si>
  <si>
    <t>AMBER CRYSTAL DROP EARRINGS</t>
  </si>
  <si>
    <t>90011E</t>
  </si>
  <si>
    <t>PURPLE CRYSTAL DROP EARRINGS</t>
  </si>
  <si>
    <t>90011D</t>
  </si>
  <si>
    <t>GREEN CRYSTAL DROP EARRINGS</t>
  </si>
  <si>
    <t>90011C</t>
  </si>
  <si>
    <t>BLACK CRYSTAL DROP EARRINGS</t>
  </si>
  <si>
    <t>90011B</t>
  </si>
  <si>
    <t>MIDNIGHT BLUE CRYSTAL DROP EARRINGS</t>
  </si>
  <si>
    <t>90011A</t>
  </si>
  <si>
    <t>AMBER GLASS/SILVER BRACELET</t>
  </si>
  <si>
    <t>90010E</t>
  </si>
  <si>
    <t>BLACK/WHITE GLASS/SILVER BRACELET</t>
  </si>
  <si>
    <t>90010B</t>
  </si>
  <si>
    <t>MIDNIGHT BLUE GLASS/SILVER BRACELET</t>
  </si>
  <si>
    <t>90010A</t>
  </si>
  <si>
    <t>JADE GREEN ENAMEL HAIR COMB</t>
  </si>
  <si>
    <t>90005A</t>
  </si>
  <si>
    <t>JADE GREEN PAIR ENAMEL HAIR SLIDES</t>
  </si>
  <si>
    <t>90004A</t>
  </si>
  <si>
    <t>GREEN PAIR HEART HAIR SLIDES</t>
  </si>
  <si>
    <t>90003E</t>
  </si>
  <si>
    <t>CRYSTAL PAIR HEART HAIR SLIDES</t>
  </si>
  <si>
    <t>90003D</t>
  </si>
  <si>
    <t>MIDNIGHT BLUE PAIR HEART HAIR SLIDE</t>
  </si>
  <si>
    <t>90003C</t>
  </si>
  <si>
    <t>ROSE COLOUR PAIR HEART HAIR SLIDES</t>
  </si>
  <si>
    <t>90003B</t>
  </si>
  <si>
    <t>FLOWER BURST SILVER RING GREEN</t>
  </si>
  <si>
    <t>90002E</t>
  </si>
  <si>
    <t>FLOWER BURST SILVER RING CRYSTAL</t>
  </si>
  <si>
    <t>90002D</t>
  </si>
  <si>
    <t>FLOWER BURST SILVER RING MIDN'T BLU</t>
  </si>
  <si>
    <t>90002C</t>
  </si>
  <si>
    <t>FLOWER BURST SILVER RING ROSE</t>
  </si>
  <si>
    <t>90002B</t>
  </si>
  <si>
    <t>FLOWER BURST SILVER RING OPAL</t>
  </si>
  <si>
    <t>90002A</t>
  </si>
  <si>
    <t>ANTIQUE OLIVE GREEN FLOWER EARRINGS</t>
  </si>
  <si>
    <t>90001D</t>
  </si>
  <si>
    <t>ANTIQUE OPAL WHITE FLOWER EARRINGS</t>
  </si>
  <si>
    <t>90001C</t>
  </si>
  <si>
    <t>ANTIQUE MID BLUE FLOWER EARRINGS</t>
  </si>
  <si>
    <t>90001B</t>
  </si>
  <si>
    <t>ANTIQUE RASPBERRY FLOWER EARRINGS</t>
  </si>
  <si>
    <t>90001A</t>
  </si>
  <si>
    <t>COPPER/OLIVE GREEN FLOWER NECKLACE</t>
  </si>
  <si>
    <t>90000D</t>
  </si>
  <si>
    <t>OPAL WHITE/SILVER FLOWER NECKLACE</t>
  </si>
  <si>
    <t>90000C</t>
  </si>
  <si>
    <t>MIDNIGHT BLUE COPPER FLOWER NECKLAC</t>
  </si>
  <si>
    <t>90000B</t>
  </si>
  <si>
    <t>RASPBERRY ANT COPPER FLOWER NECKLAC</t>
  </si>
  <si>
    <t>90000A</t>
  </si>
  <si>
    <t>SET/3 DECOUPAGE STACKING TINS</t>
  </si>
  <si>
    <t>85232d</t>
  </si>
  <si>
    <t>SET/3 RUSSIAN DOLL STACKING TINS</t>
  </si>
  <si>
    <t>85232b</t>
  </si>
  <si>
    <t>SET/3 POLKA DOT STACKING TINS</t>
  </si>
  <si>
    <t>85232a</t>
  </si>
  <si>
    <t>85232D</t>
  </si>
  <si>
    <t>RUSSIAN FOLKART STACKING TINS</t>
  </si>
  <si>
    <t>85232C</t>
  </si>
  <si>
    <t>85232B</t>
  </si>
  <si>
    <t>85232A</t>
  </si>
  <si>
    <t>ORANGE SCENTED SET/9 T-LIGHTS</t>
  </si>
  <si>
    <t>85231g</t>
  </si>
  <si>
    <t>STRAWBERRY SCENTED SET/9 T-LIGHTS</t>
  </si>
  <si>
    <t>85231e</t>
  </si>
  <si>
    <t>CINAMMON SET OF 9 T-LIGHTS</t>
  </si>
  <si>
    <t>85231b</t>
  </si>
  <si>
    <t>LAVENDER SCENTED SET/9 T-LIGHTS</t>
  </si>
  <si>
    <t>85231L</t>
  </si>
  <si>
    <t>85231G</t>
  </si>
  <si>
    <t>85231E</t>
  </si>
  <si>
    <t>85231B</t>
  </si>
  <si>
    <t>ORANGE VOTIVE CANDLE</t>
  </si>
  <si>
    <t>85230G</t>
  </si>
  <si>
    <t>JASMINE VOTIVE CANDLE</t>
  </si>
  <si>
    <t>85230F</t>
  </si>
  <si>
    <t>STRAWBRY SCENTED VOTIVE CANDLE</t>
  </si>
  <si>
    <t>85230E</t>
  </si>
  <si>
    <t>VANILLA SCENTED VOTIVE CANDLE</t>
  </si>
  <si>
    <t>85230D</t>
  </si>
  <si>
    <t>ROSE SCENTED VOTIVE CANDLE</t>
  </si>
  <si>
    <t>85230C</t>
  </si>
  <si>
    <t>CINNAMON SCENTED VOTIVE CANDLE</t>
  </si>
  <si>
    <t>85230B</t>
  </si>
  <si>
    <t>OPIUM SCENTED VOTIVE CANDLE</t>
  </si>
  <si>
    <t>85230A</t>
  </si>
  <si>
    <t>SET/6 3D KIT CARDS FOR KIDS</t>
  </si>
  <si>
    <t>BLUE PULL BACK RACING CAR</t>
  </si>
  <si>
    <t>85226C</t>
  </si>
  <si>
    <t>WHITE/BLUE PULL BACK RACING CAR</t>
  </si>
  <si>
    <t>85226A</t>
  </si>
  <si>
    <t>BLING KEY RING STAND</t>
  </si>
  <si>
    <t>ASSORTED COLOUR SILK GLASSES CASE</t>
  </si>
  <si>
    <t>ASSORTED COLOUR SILK COSMETIC PURSE</t>
  </si>
  <si>
    <t>ASSORTED COLOUR SILK COIN PURSE</t>
  </si>
  <si>
    <t>SMALL FAIRY CAKE FRIDGE MAGNETS</t>
  </si>
  <si>
    <t>S/5 MINI ICE CREAM FRIDGE MAGNETS</t>
  </si>
  <si>
    <t>ASSORTED ICE CREAM FRIDGE MAGNETS</t>
  </si>
  <si>
    <t>ASSORTED CAKES FRIDGE MAGNETS</t>
  </si>
  <si>
    <t>ASSORTED CHEESE FRIDGE MAGNETS</t>
  </si>
  <si>
    <t>TUB 24 PINK FLOWER PEGS</t>
  </si>
  <si>
    <t>MINI  ZINC GARDEN DECORATIONS</t>
  </si>
  <si>
    <t>MINI PAINTED GARDEN DECORATION</t>
  </si>
  <si>
    <t>S/4 GROOVY CAT MAGNETS</t>
  </si>
  <si>
    <t>SET/12 FUNKY FELT FLOWER PEG IN BAG</t>
  </si>
  <si>
    <t>PINK FELT EASTER EGG BASKET</t>
  </si>
  <si>
    <t>85206B</t>
  </si>
  <si>
    <t>CREAM FELT EASTER EGG BASKET</t>
  </si>
  <si>
    <t>85206A</t>
  </si>
  <si>
    <t>PINK FELT EASTER RABBIT GARLAND</t>
  </si>
  <si>
    <t>85205B</t>
  </si>
  <si>
    <t>IVORY FELT EASTER RABBIT GARLAND</t>
  </si>
  <si>
    <t>85205A</t>
  </si>
  <si>
    <t>HANGING WOOD AND FELT FLOWER</t>
  </si>
  <si>
    <t>HANGING WOOD AND FELT BUTTERFLY</t>
  </si>
  <si>
    <t>HANGING WOOD AND FELT HEART</t>
  </si>
  <si>
    <t>BUNNY EGG BOX</t>
  </si>
  <si>
    <t>SMALL HANGING IVORY/RED WOOD BIRD</t>
  </si>
  <si>
    <t>85199S</t>
  </si>
  <si>
    <t>LARGE HANGING IVORY &amp; RED WOOD BIRD</t>
  </si>
  <si>
    <t>85199L</t>
  </si>
  <si>
    <t>ASSORTED FARMYARD ANIMALS IN BUCKET</t>
  </si>
  <si>
    <t>SET OF 12 MINI BUNNIES IN A BUCKET</t>
  </si>
  <si>
    <t>EASTER BUNNIES ON A STICK</t>
  </si>
  <si>
    <t>HANGING HEART BASKET</t>
  </si>
  <si>
    <t>HANGING SPRING FLOWER EGG SMALL</t>
  </si>
  <si>
    <t>85194S</t>
  </si>
  <si>
    <t>HANGING SPRING FLOWER EGG LARGE</t>
  </si>
  <si>
    <t>85194L</t>
  </si>
  <si>
    <t>HANGING SPRING FLOWER HEART SMALL</t>
  </si>
  <si>
    <t>85192S</t>
  </si>
  <si>
    <t>PINK FLOWER HANGING HEART</t>
  </si>
  <si>
    <t>HANGING BUTTERFLY  EGG</t>
  </si>
  <si>
    <t>PINK METAL SWINGING BUNNY</t>
  </si>
  <si>
    <t>85188B</t>
  </si>
  <si>
    <t>GREEN METAL SWINGING BUNNY</t>
  </si>
  <si>
    <t>85188A</t>
  </si>
  <si>
    <t>S/12 MINI RABBIT EASTER</t>
  </si>
  <si>
    <t>BUNNY EGG GARLAND</t>
  </si>
  <si>
    <t>85186C</t>
  </si>
  <si>
    <t>BUNNY BUNCH OF FLOWERS</t>
  </si>
  <si>
    <t>85186B</t>
  </si>
  <si>
    <t>EASTER BUNNY GARLAND OF FLOWERS</t>
  </si>
  <si>
    <t>85186A</t>
  </si>
  <si>
    <t>LION SOCK PUPPET</t>
  </si>
  <si>
    <t>85185F</t>
  </si>
  <si>
    <t>DUCK SOCK PUPPET</t>
  </si>
  <si>
    <t>85185E</t>
  </si>
  <si>
    <t>FROG SOCK PUPPET</t>
  </si>
  <si>
    <t>85185D</t>
  </si>
  <si>
    <t>COW  SOCK PUPPET</t>
  </si>
  <si>
    <t>85185C</t>
  </si>
  <si>
    <t>PINK HORSE SOCK PUPPET</t>
  </si>
  <si>
    <t>85185B</t>
  </si>
  <si>
    <t>S/4 BLUE ROUND DECOUPAGE BOXES</t>
  </si>
  <si>
    <t>85184d</t>
  </si>
  <si>
    <t>S/4 VALENTINE DECOUPAGE HEART BOX</t>
  </si>
  <si>
    <t>85184c</t>
  </si>
  <si>
    <t>85184D</t>
  </si>
  <si>
    <t>85184C</t>
  </si>
  <si>
    <t>SET 4 EASTER DECOUPAGE OVAL BOXES</t>
  </si>
  <si>
    <t>85184B</t>
  </si>
  <si>
    <t>CHARLIE &amp; LOLA WASTEPAPER BIN FLORA</t>
  </si>
  <si>
    <t>85183B</t>
  </si>
  <si>
    <t>CHARLIE &amp; LOLA WASTEPAPER BIN BLUE</t>
  </si>
  <si>
    <t>85183A</t>
  </si>
  <si>
    <t>PINK HEARTS LIGHT CHAIN</t>
  </si>
  <si>
    <t>85180B</t>
  </si>
  <si>
    <t>RED HEARTS LIGHT CHAIN</t>
  </si>
  <si>
    <t>85180A</t>
  </si>
  <si>
    <t>GREEN BITTY LIGHT CHAIN</t>
  </si>
  <si>
    <t>85179a</t>
  </si>
  <si>
    <t>PINK BITTY LIGHT CHAIN</t>
  </si>
  <si>
    <t>85179C</t>
  </si>
  <si>
    <t>WHITE BITTY LIGHT CHAIN</t>
  </si>
  <si>
    <t>85179B</t>
  </si>
  <si>
    <t>85179A</t>
  </si>
  <si>
    <t>VICTORIAN SEWING KIT</t>
  </si>
  <si>
    <t>BASKET OF FLOWERS SEWING KIT</t>
  </si>
  <si>
    <t>SEWING SUSAN 21 NEEDLE SET</t>
  </si>
  <si>
    <t>CACTI T-LIGHT CANDLES</t>
  </si>
  <si>
    <t>S/4 CACTI CANDLES</t>
  </si>
  <si>
    <t>SET/6 FROG PRINCE T-LIGHT CANDLES</t>
  </si>
  <si>
    <t>HYACINTH BULB T-LIGHT CANDLES</t>
  </si>
  <si>
    <t>S/2 HYACINTH BULB CANDLES</t>
  </si>
  <si>
    <t>SET/6 PINK BIRD T-LIGHT CANDLES</t>
  </si>
  <si>
    <t>85170D</t>
  </si>
  <si>
    <t>SET/6 EAU DE NIL BIRD T-LIGHTS</t>
  </si>
  <si>
    <t>85170C</t>
  </si>
  <si>
    <t>SET/6 BLACK BIRD T-LIGHT CANDLES</t>
  </si>
  <si>
    <t>85170B</t>
  </si>
  <si>
    <t>SET/6 IVORY BIRD T-LIGHT CANDLES</t>
  </si>
  <si>
    <t>85170A</t>
  </si>
  <si>
    <t>PINK LOVE BIRD CANDLE</t>
  </si>
  <si>
    <t>85169D</t>
  </si>
  <si>
    <t>EAU DE NIL LOVE BIRD CANDLE</t>
  </si>
  <si>
    <t>85169C</t>
  </si>
  <si>
    <t>BLACK LOVE BIRD CANDLE</t>
  </si>
  <si>
    <t>85169B</t>
  </si>
  <si>
    <t>IVORY LOVE BIRD CANDLE</t>
  </si>
  <si>
    <t>85169A</t>
  </si>
  <si>
    <t>BLACK BAROQUE CARRIAGE CLOCK</t>
  </si>
  <si>
    <t>85168B</t>
  </si>
  <si>
    <t>WHITE BAROQUE CARRIAGE CLOCK</t>
  </si>
  <si>
    <t>85168A</t>
  </si>
  <si>
    <t>BLACK GRAND BAROQUE PHOTO FRAME</t>
  </si>
  <si>
    <t>85167B</t>
  </si>
  <si>
    <t>WHITE GRAND BAROQUE PHOTO FRAME</t>
  </si>
  <si>
    <t>85167A</t>
  </si>
  <si>
    <t>BLACK METAL BAROQUE PHOTO FRAME</t>
  </si>
  <si>
    <t>85166B</t>
  </si>
  <si>
    <t>WHITE METAL BAROQUE PHOTO FRAME</t>
  </si>
  <si>
    <t>85166A</t>
  </si>
  <si>
    <t>CANDY PINK FRENCH BOUDOIR CLOCK</t>
  </si>
  <si>
    <t>BLACK BAROQUE CUCKOO CLOCK</t>
  </si>
  <si>
    <t>85164b</t>
  </si>
  <si>
    <t>85164B</t>
  </si>
  <si>
    <t>BLACK BAROQUE WALL CLOCK</t>
  </si>
  <si>
    <t>85163B</t>
  </si>
  <si>
    <t>WHITE BAROQUE WALL CLOCK</t>
  </si>
  <si>
    <t>85163A</t>
  </si>
  <si>
    <t>WHITE RETRODISC LAMPSHADE</t>
  </si>
  <si>
    <t>85162C</t>
  </si>
  <si>
    <t>BLACK RETRODISC LAMPSHADE</t>
  </si>
  <si>
    <t>85162B</t>
  </si>
  <si>
    <t>SILVER RETRODISC LAMPSHADE</t>
  </si>
  <si>
    <t>85162A</t>
  </si>
  <si>
    <t>ACRYLIC GEOMETRIC LAMP</t>
  </si>
  <si>
    <t>BLACK BIRD GARDEN DESIGN MUG</t>
  </si>
  <si>
    <t>85160b</t>
  </si>
  <si>
    <t>WHITE BIRD GARDEN DESIGN MUG</t>
  </si>
  <si>
    <t>85160a</t>
  </si>
  <si>
    <t>85160B</t>
  </si>
  <si>
    <t>85160A</t>
  </si>
  <si>
    <t>WHITE TEA,COFFEE,SUGAR JARS</t>
  </si>
  <si>
    <t>85159b</t>
  </si>
  <si>
    <t>85159B</t>
  </si>
  <si>
    <t>BLACK TEA,COFFEE,SUGAR JARS</t>
  </si>
  <si>
    <t>85159A</t>
  </si>
  <si>
    <t>SET OF 2 CHESTS CHOCOLAT AU LAIT</t>
  </si>
  <si>
    <t>HAND OVER THE CHOCOLATE   SIGN</t>
  </si>
  <si>
    <t>WELCOME METAL SIGN</t>
  </si>
  <si>
    <t>LADIES &amp; GENTLEMEN METAL SIGN</t>
  </si>
  <si>
    <t>JARDIN ETCHED GLASS CANDLEHLDR LONG</t>
  </si>
  <si>
    <t>JARDIN ETCHED GLASS SMALL BELL JAR</t>
  </si>
  <si>
    <t>JARDIN ETCHED GLASS LARGE BELL JAR</t>
  </si>
  <si>
    <t>JARDIN ETCHED GLASS BUTTER DISH</t>
  </si>
  <si>
    <t>JARDIN ETCHED GLASS GINGER JAR</t>
  </si>
  <si>
    <t>JARDIN ETCHED GLASS FRUITBOWL</t>
  </si>
  <si>
    <t>RED SHARK HELICOPTER</t>
  </si>
  <si>
    <t>85136C</t>
  </si>
  <si>
    <t>BLUE SHARK HELICOPTER</t>
  </si>
  <si>
    <t>85136B</t>
  </si>
  <si>
    <t>YELLOW SHARK HELICOPTER</t>
  </si>
  <si>
    <t>85136A</t>
  </si>
  <si>
    <t>RED DRAGONFLY HELICOPTER</t>
  </si>
  <si>
    <t>85135C</t>
  </si>
  <si>
    <t>BLUE DRAGONFLY HELICOPTER</t>
  </si>
  <si>
    <t>85135B</t>
  </si>
  <si>
    <t>YELLOW DRAGONFLY HELICOPTER</t>
  </si>
  <si>
    <t>85135A</t>
  </si>
  <si>
    <t>CHARLIE AND LOLA FIGURES TINS</t>
  </si>
  <si>
    <t>85132c</t>
  </si>
  <si>
    <t>CHARLIE AND LOLA TABLE TINS</t>
  </si>
  <si>
    <t>85132b</t>
  </si>
  <si>
    <t>CHARLIE + LOLA BISCUITS TINS</t>
  </si>
  <si>
    <t>85132a</t>
  </si>
  <si>
    <t>85132C</t>
  </si>
  <si>
    <t>85132B</t>
  </si>
  <si>
    <t>85132A</t>
  </si>
  <si>
    <t>BEADED CRYSTAL HEART PINK\ON STICK</t>
  </si>
  <si>
    <t>85131D</t>
  </si>
  <si>
    <t>BEADED CRYSTAL HEART BLUE ON STICK</t>
  </si>
  <si>
    <t>85131C</t>
  </si>
  <si>
    <t>BEADED CRYSTAL HEART GREEN ON STICK</t>
  </si>
  <si>
    <t>85131B</t>
  </si>
  <si>
    <t>BEADED PEARL HEART WHITE ON STICK</t>
  </si>
  <si>
    <t>85131A</t>
  </si>
  <si>
    <t>BEADED CRYSTAL HEART PINK LARGE</t>
  </si>
  <si>
    <t>85130D</t>
  </si>
  <si>
    <t>BEADED CRYSTAL HEART BLUE  LARGE</t>
  </si>
  <si>
    <t>85130C</t>
  </si>
  <si>
    <t>BEADED CRYSTAL HEART GREEN LARGE</t>
  </si>
  <si>
    <t>85130B</t>
  </si>
  <si>
    <t>BEADED PEARL HEART WHITE LARGE</t>
  </si>
  <si>
    <t>85130A</t>
  </si>
  <si>
    <t>BEADED CRYSTAL HEART PINK SMALL</t>
  </si>
  <si>
    <t>85129D</t>
  </si>
  <si>
    <t>BEADED CRYSTAL HEART BLUE SMALL</t>
  </si>
  <si>
    <t>85129C</t>
  </si>
  <si>
    <t>BEADED CRYSTAL HEART GREEN SMALL</t>
  </si>
  <si>
    <t>85129B</t>
  </si>
  <si>
    <t>WHITE PEARL BEADED HEART, SMALL</t>
  </si>
  <si>
    <t>85129A</t>
  </si>
  <si>
    <t>PLANTPOT SINGLE HOOK PISTACHIO</t>
  </si>
  <si>
    <t>SMALL SQUARE CUT GLASS CANDLESTICK</t>
  </si>
  <si>
    <t>LARGE ROUND CUTGLASS CANDLESTICK</t>
  </si>
  <si>
    <t>SMALL ROUND CUT GLASS CANDLESTICK</t>
  </si>
  <si>
    <t>GREEN JUICY FRUIT PHOTO FRAME</t>
  </si>
  <si>
    <t>85124c</t>
  </si>
  <si>
    <t>BLUE JUICY FRUIT PHOTO FRAME</t>
  </si>
  <si>
    <t>85124b</t>
  </si>
  <si>
    <t>PINK JUICY FRUIT PHOTO FRAME</t>
  </si>
  <si>
    <t>85124a</t>
  </si>
  <si>
    <t>85124C</t>
  </si>
  <si>
    <t>85124B</t>
  </si>
  <si>
    <t>85124A</t>
  </si>
  <si>
    <t>ZINC HANGING HEART T-LITE HLDR</t>
  </si>
  <si>
    <t>85123b</t>
  </si>
  <si>
    <t>WHITE HANGING HEART T-LIGHT HOLDER</t>
  </si>
  <si>
    <t>85123a</t>
  </si>
  <si>
    <t>85123A</t>
  </si>
  <si>
    <t>RETRO LAUNDRY TUB PISTACHIO</t>
  </si>
  <si>
    <t>85121C</t>
  </si>
  <si>
    <t>RETRO LAUNDRY TUB PINK</t>
  </si>
  <si>
    <t>85121B</t>
  </si>
  <si>
    <t>WATERING CAN SINGLE HOOK PISTACHIO</t>
  </si>
  <si>
    <t>HEART T-LIGHT HOLDER</t>
  </si>
  <si>
    <t>NIGHTINGALE COATHOOK WHITE</t>
  </si>
  <si>
    <t>BLACK CANDELABRA T-LIGHT HOLDER</t>
  </si>
  <si>
    <t>S/4 BLACK DISCO PARTITION PANEL</t>
  </si>
  <si>
    <t>85115B</t>
  </si>
  <si>
    <t>RED ENCHANTED FOREST PLACEMAT</t>
  </si>
  <si>
    <t>85114c</t>
  </si>
  <si>
    <t>IVORY ENCHANTED FOREST PLACEMAT</t>
  </si>
  <si>
    <t>85114b</t>
  </si>
  <si>
    <t>BLACK ENCHANTED FOREST PLACEMAT</t>
  </si>
  <si>
    <t>85114a</t>
  </si>
  <si>
    <t>85114C</t>
  </si>
  <si>
    <t>85114B</t>
  </si>
  <si>
    <t>85114A</t>
  </si>
  <si>
    <t>POLKA DOT PISTACHIO PAIL</t>
  </si>
  <si>
    <t>S/3 TEAR DROP CUT GLASS DECORATION</t>
  </si>
  <si>
    <t>SILVER GLITTER FLOWER VOTIVE HOLDER</t>
  </si>
  <si>
    <t>BLACK SILVER FLOWER T-LIGHT HOLDER</t>
  </si>
  <si>
    <t>PINK BOUDOIR T-LIGHT HOLDER</t>
  </si>
  <si>
    <t>CUT GLASS T-LIGHT HOLDER OCTAGON</t>
  </si>
  <si>
    <t>CUT GLASS HEXAGON T-LIGHT HOLDER</t>
  </si>
  <si>
    <t>SILVER GLASS T-LIGHT SET</t>
  </si>
  <si>
    <t>SILVER T-LIGHT SETTING</t>
  </si>
  <si>
    <t>JUMBO BAG STRAWBERRY</t>
  </si>
  <si>
    <t>85099f</t>
  </si>
  <si>
    <t>JUMBO  BAG BAROQUE BLACK WHITE</t>
  </si>
  <si>
    <t>85099c</t>
  </si>
  <si>
    <t>JUMBO BAG RED RETROSPOT</t>
  </si>
  <si>
    <t>85099b</t>
  </si>
  <si>
    <t>85099F</t>
  </si>
  <si>
    <t>85099C</t>
  </si>
  <si>
    <t>JUMBO BAG RED WHITE SPOTTY</t>
  </si>
  <si>
    <t>85099B</t>
  </si>
  <si>
    <t>BLUE FLYING SINGING CANARY</t>
  </si>
  <si>
    <t>85098B</t>
  </si>
  <si>
    <t>BLUE ROCKING SINGING CANARY</t>
  </si>
  <si>
    <t>85097B</t>
  </si>
  <si>
    <t>HILDA CANDY SPOT RABBIT</t>
  </si>
  <si>
    <t>THREE CANVAS LUGGAGE TAGS</t>
  </si>
  <si>
    <t>CANDY SPOT EGG WARMER RABBIT</t>
  </si>
  <si>
    <t>CANDY SPOT EGG WARMER HARE</t>
  </si>
  <si>
    <t>CANDY SPOT TEA COSY</t>
  </si>
  <si>
    <t>CANDY SPOT BREAD BASKETS</t>
  </si>
  <si>
    <t>CANDY SPOT APRON</t>
  </si>
  <si>
    <t>CANDY SPOT BUNNY</t>
  </si>
  <si>
    <t>CANDY SPOT HAND BAG</t>
  </si>
  <si>
    <t>CANDY SPOT CUSHION COVER</t>
  </si>
  <si>
    <t>CANDY SPOT HEART DECORATION</t>
  </si>
  <si>
    <t>85086A</t>
  </si>
  <si>
    <t>HOLLY TOP CHRISTMAS STOCKING</t>
  </si>
  <si>
    <t>KISS REINDEER SCANDINAVIAN STOCKING</t>
  </si>
  <si>
    <t>PADDED HOLLY CHRISTMAS DECORATION</t>
  </si>
  <si>
    <t>PADDED RED HEART DECORATION</t>
  </si>
  <si>
    <t>EMBROIDERED REINDEER DECORATION</t>
  </si>
  <si>
    <t>SCANDINAVIAN 3 HEARTS NAPKIN RING</t>
  </si>
  <si>
    <t>KISSING REINDEER TABLE RUNNER</t>
  </si>
  <si>
    <t>OCCASIONS GIFT CARD ASSORTMENT</t>
  </si>
  <si>
    <t>CHARLIE+LOLA MY ROOM DOOR SIGN</t>
  </si>
  <si>
    <t>85071D</t>
  </si>
  <si>
    <t>CHARLIE+LOLA"EXTREMELY BUSY" SIGN</t>
  </si>
  <si>
    <t>85071C</t>
  </si>
  <si>
    <t>RED CHARLIE+LOLA PERSONAL DOORSIGN</t>
  </si>
  <si>
    <t>85071B</t>
  </si>
  <si>
    <t>BLUE CHARLIE+LOLA PERSONAL DOORSIGN</t>
  </si>
  <si>
    <t>85071A</t>
  </si>
  <si>
    <t>ANT WHITE SWEETHEART TABLE W 3 DRAW</t>
  </si>
  <si>
    <t>CREAM SWEETHEART DOUBLE SHELF</t>
  </si>
  <si>
    <t>CREAM SWEETHEART SHELF + HOOKS</t>
  </si>
  <si>
    <t>CREAM SWEETHEART WALL CABINET</t>
  </si>
  <si>
    <t>CREAM SWEETHEART MINI CHEST</t>
  </si>
  <si>
    <t>CREAM SWEETHEART TRAYS</t>
  </si>
  <si>
    <t>CREAM SWEETHEART LETTER RACK</t>
  </si>
  <si>
    <t>CREAM SWEETHEART MAGAZINE RACK</t>
  </si>
  <si>
    <t>PEARL CRYSTAL PUMPKIN T-LIGHT HLDR</t>
  </si>
  <si>
    <t>WHITE JEWELLED HEART DECORATION</t>
  </si>
  <si>
    <t>85061W</t>
  </si>
  <si>
    <t>WOOD FAN WITH FLOWER DESIGN</t>
  </si>
  <si>
    <t>FRENCH ENAMEL WATER BASIN</t>
  </si>
  <si>
    <t>FRENCH ENAMEL UTENSIL HOLDER</t>
  </si>
  <si>
    <t>FRENCH ENAMEL POT W LID</t>
  </si>
  <si>
    <t>FRENCH ENAMEL CANDLEHOLDER</t>
  </si>
  <si>
    <t>FRENCH ENAMEL SOAP DISH WITH LID</t>
  </si>
  <si>
    <t>CHOCOLATE BOX RIBBONS</t>
  </si>
  <si>
    <t>85049g</t>
  </si>
  <si>
    <t>SCANDINAVIAN REDS RIBBONS</t>
  </si>
  <si>
    <t>85049e</t>
  </si>
  <si>
    <t>BRIGHT BLUES RIBBONS</t>
  </si>
  <si>
    <t>85049d</t>
  </si>
  <si>
    <t>ROMANTIC PINKS RIBBONS</t>
  </si>
  <si>
    <t>85049c</t>
  </si>
  <si>
    <t>LUSH GREENS RIBBONS</t>
  </si>
  <si>
    <t>85049b</t>
  </si>
  <si>
    <t>TRADITIONAL CHRISTMAS RIBBONS</t>
  </si>
  <si>
    <t>85049a</t>
  </si>
  <si>
    <t>URBAN BLACK RIBBONS</t>
  </si>
  <si>
    <t>85049H</t>
  </si>
  <si>
    <t>85049G</t>
  </si>
  <si>
    <t>BABY BOOM RIBBONS</t>
  </si>
  <si>
    <t>85049F</t>
  </si>
  <si>
    <t>85049E</t>
  </si>
  <si>
    <t>85049D</t>
  </si>
  <si>
    <t>85049C</t>
  </si>
  <si>
    <t>85049B</t>
  </si>
  <si>
    <t>85049A</t>
  </si>
  <si>
    <t>15CM CHRISTMAS GLASS BALL 20 LIGHTS</t>
  </si>
  <si>
    <t>WHITE BEADED GARLAND STRING 20LIGHT</t>
  </si>
  <si>
    <t>GREEN CHRISTMAS TREE STRING 20LIGHT</t>
  </si>
  <si>
    <t>RED REINDEER STRING OF 20 LIGHTS</t>
  </si>
  <si>
    <t>RED HEART CANDY POP LIGHTS</t>
  </si>
  <si>
    <t>ANTIQUE LILY FAIRY LIGHTS</t>
  </si>
  <si>
    <t>SET/4 PINK ORCHID CANDLES IN BOWL</t>
  </si>
  <si>
    <t>SET/4 BLUE FLOWER CANDLES IN BOWL</t>
  </si>
  <si>
    <t>85040b</t>
  </si>
  <si>
    <t>S/4 PINK FLOWER CANDLES IN BOWL</t>
  </si>
  <si>
    <t>85040a</t>
  </si>
  <si>
    <t>85040B</t>
  </si>
  <si>
    <t>85040A</t>
  </si>
  <si>
    <t>S/4 IVORY MINI ROSE CANDLE IN BOWL</t>
  </si>
  <si>
    <t>85039b</t>
  </si>
  <si>
    <t>SET/4 RED MINI ROSE CANDLE IN BOWL</t>
  </si>
  <si>
    <t>85039a</t>
  </si>
  <si>
    <t>S/4 BLACK MINI ROSE CANDLE IN BOWL</t>
  </si>
  <si>
    <t>85039C</t>
  </si>
  <si>
    <t>85039B</t>
  </si>
  <si>
    <t>85039A</t>
  </si>
  <si>
    <t>6 CHOCOLATE LOVE HEART T-LIGHTS</t>
  </si>
  <si>
    <t>CHOCOLATE 1 WICK MORRIS BOX CANDLE</t>
  </si>
  <si>
    <t>85036b</t>
  </si>
  <si>
    <t>GARDENIA 1 WICK MORRIS BOXED CANDLE</t>
  </si>
  <si>
    <t>85036a</t>
  </si>
  <si>
    <t>ROSE 1 WICK MORRIS BOXED CANDLE</t>
  </si>
  <si>
    <t>85036C</t>
  </si>
  <si>
    <t>85036B</t>
  </si>
  <si>
    <t>85036A</t>
  </si>
  <si>
    <t>ROSE 3 WICK MORRIS BOX CANDLE</t>
  </si>
  <si>
    <t>85035c</t>
  </si>
  <si>
    <t>CHOCOLATE 3 WICK MORRIS BOX CANDLE</t>
  </si>
  <si>
    <t>85035b</t>
  </si>
  <si>
    <t>GARDENIA 3 WICK MORRIS BOXED CANDLE</t>
  </si>
  <si>
    <t>85035a</t>
  </si>
  <si>
    <t>85035C</t>
  </si>
  <si>
    <t>85035B</t>
  </si>
  <si>
    <t>85035A</t>
  </si>
  <si>
    <t>3 WHITE CHOC MORRIS BOXED CANDLES</t>
  </si>
  <si>
    <t>85034b</t>
  </si>
  <si>
    <t>3 GARDENIA MORRIS BOXED CANDLES</t>
  </si>
  <si>
    <t>85034a</t>
  </si>
  <si>
    <t>3 ROSE MORRIS BOXED CANDLES</t>
  </si>
  <si>
    <t>85034C</t>
  </si>
  <si>
    <t>85034B</t>
  </si>
  <si>
    <t>85034A</t>
  </si>
  <si>
    <t>SET/6 SILVER REINDEER T-LIGHTS</t>
  </si>
  <si>
    <t>85033S</t>
  </si>
  <si>
    <t>SET/6 GOLD REINDEER T-LIGHT CANDLES</t>
  </si>
  <si>
    <t>85033G</t>
  </si>
  <si>
    <t>YULETIDE IMAGES GIFT WRAP SET</t>
  </si>
  <si>
    <t>85032D</t>
  </si>
  <si>
    <t>CURIOUS IMAGES GIFT WRAP SET</t>
  </si>
  <si>
    <t>85032C</t>
  </si>
  <si>
    <t>BLOSSOM IMAGES GIFT WRAP SET</t>
  </si>
  <si>
    <t>85032B</t>
  </si>
  <si>
    <t>ROMANTIC IMAGES GIFT WRAP SET</t>
  </si>
  <si>
    <t>85032A</t>
  </si>
  <si>
    <t>CURIOUS IMAGES SCRAP BOOK SET</t>
  </si>
  <si>
    <t>85031C</t>
  </si>
  <si>
    <t>BLOSSOM IMAGES SCRAP BOOK SET</t>
  </si>
  <si>
    <t>85031B</t>
  </si>
  <si>
    <t>ROMANTIC IMAGES SCRAP BOOK SET</t>
  </si>
  <si>
    <t>85031A</t>
  </si>
  <si>
    <t>FRENCH CHATEAU OVAL PLATTER</t>
  </si>
  <si>
    <t>FRENCH CHATEAU SMALL FRUITBOWL</t>
  </si>
  <si>
    <t>85028S</t>
  </si>
  <si>
    <t>FRENCH CHATEAU LARGE FRUIT BOWL</t>
  </si>
  <si>
    <t>85028L</t>
  </si>
  <si>
    <t>FRENCH CHATEAU LARGE PLATTER</t>
  </si>
  <si>
    <t>85027L</t>
  </si>
  <si>
    <t>EAU DE NILE JEWELLED T-LIGHT HOLDER</t>
  </si>
  <si>
    <t>85026B</t>
  </si>
  <si>
    <t>PINK HEART SHAPE PHOTO FRAME</t>
  </si>
  <si>
    <t>85025C</t>
  </si>
  <si>
    <t>EAU DE NILE HEART SHAPE PHOTO FRAME</t>
  </si>
  <si>
    <t>85025B</t>
  </si>
  <si>
    <t>PINK SMALL JEWELLED PHOTOFRAME</t>
  </si>
  <si>
    <t>85024C</t>
  </si>
  <si>
    <t>EAU DE NILE JEWELLED PHOTOFRAME</t>
  </si>
  <si>
    <t>85024B</t>
  </si>
  <si>
    <t>CRYSTAL SMALL JEWELLED PHOTOFRAME</t>
  </si>
  <si>
    <t>85024A</t>
  </si>
  <si>
    <t>PINK LARGE JEWELED PHOTOFRAME</t>
  </si>
  <si>
    <t>85023C</t>
  </si>
  <si>
    <t>85023B</t>
  </si>
  <si>
    <t>CRYSTAL LARGE JEWELLED PHOTO FRAME</t>
  </si>
  <si>
    <t>85023A</t>
  </si>
  <si>
    <t>ROUND PINK HEART MIRROR</t>
  </si>
  <si>
    <t>CURIOUS  IMAGES NOTEBOOK SET</t>
  </si>
  <si>
    <t>85019C</t>
  </si>
  <si>
    <t>BLOSSOM  IMAGES NOTEBOOK SET</t>
  </si>
  <si>
    <t>85019B</t>
  </si>
  <si>
    <t>ROMANTIC IMAGES NOTEBOOK SET</t>
  </si>
  <si>
    <t>85019A</t>
  </si>
  <si>
    <t>YULETIDE IMAGES S/6 PAPER BOXES</t>
  </si>
  <si>
    <t>85018D</t>
  </si>
  <si>
    <t>S/6 PAPER BOXES CURIOUS IMAGES</t>
  </si>
  <si>
    <t>85018C</t>
  </si>
  <si>
    <t>S/6 PAPER BOXES BLOSSOM IMAGES</t>
  </si>
  <si>
    <t>85018B</t>
  </si>
  <si>
    <t>S/6 PAPER BOXES ROMANTIC IMAGES</t>
  </si>
  <si>
    <t>85018A</t>
  </si>
  <si>
    <t>ENVELOPE 50 CURIOUS IMAGES</t>
  </si>
  <si>
    <t>85017C</t>
  </si>
  <si>
    <t>ENVELOPE 50 BLOSSOM IMAGES</t>
  </si>
  <si>
    <t>85017B</t>
  </si>
  <si>
    <t>ENVELOPE 50 ROMANTIC IMAGES</t>
  </si>
  <si>
    <t>85017A</t>
  </si>
  <si>
    <t>SET OF 6 VINTAGE NOTELETS KIT</t>
  </si>
  <si>
    <t>SET OF 12  VINTAGE POSTCARD SET</t>
  </si>
  <si>
    <t>RED/WHITE DOTS RUFFLED UMBRELLA</t>
  </si>
  <si>
    <t>85014b</t>
  </si>
  <si>
    <t>BLACK/BLUE DOTS RUFFLED UMBRELLA</t>
  </si>
  <si>
    <t>85014a</t>
  </si>
  <si>
    <t>PINK/BROWN DOTS RUFFLED UMBRELLA</t>
  </si>
  <si>
    <t>85014D</t>
  </si>
  <si>
    <t>BLUE/BROWN DOTS RUFFLED UMBRELLA</t>
  </si>
  <si>
    <t>85014C</t>
  </si>
  <si>
    <t>85014B</t>
  </si>
  <si>
    <t>85014A</t>
  </si>
  <si>
    <t>SET OF 3 CONEY ISLAND OVAL BOXES</t>
  </si>
  <si>
    <t>SET OF 3 VINTAGE TEA TIME BOXES</t>
  </si>
  <si>
    <t>SET 4 NURSERY DES ROUND BOXES</t>
  </si>
  <si>
    <t>PINK 3 PIECE MINI DOTS CUTLERY SET</t>
  </si>
  <si>
    <t>84997d</t>
  </si>
  <si>
    <t>BLUE 3 PIECE MINI DOTS CUTLERY SET</t>
  </si>
  <si>
    <t>84997c</t>
  </si>
  <si>
    <t>RED 3 PIECE MINI DOTS CUTLERY SET</t>
  </si>
  <si>
    <t>84997b</t>
  </si>
  <si>
    <t>GREEN 3 PIECE MINI DOTS CUTLERY SET</t>
  </si>
  <si>
    <t>84997a</t>
  </si>
  <si>
    <t>84997D</t>
  </si>
  <si>
    <t>84997C</t>
  </si>
  <si>
    <t>84997B</t>
  </si>
  <si>
    <t>84997A</t>
  </si>
  <si>
    <t>75 BLACK PETIT FOUR CASES</t>
  </si>
  <si>
    <t>84993b</t>
  </si>
  <si>
    <t>75 GREEN PETIT FOUR CASES</t>
  </si>
  <si>
    <t>84993a</t>
  </si>
  <si>
    <t>84993B</t>
  </si>
  <si>
    <t>84993A</t>
  </si>
  <si>
    <t>72 SWEETHEART FAIRY CAKE CASES</t>
  </si>
  <si>
    <t>60 TEATIME FAIRY CAKE CASES</t>
  </si>
  <si>
    <t>60 GOLD AND SILVER FAIRY CAKE CASES</t>
  </si>
  <si>
    <t>75 BLACK FAIRY CAKE CASES</t>
  </si>
  <si>
    <t>84989b</t>
  </si>
  <si>
    <t>75 GREEN FAIRY CAKE CASES</t>
  </si>
  <si>
    <t>84989a</t>
  </si>
  <si>
    <t>84989B</t>
  </si>
  <si>
    <t>84989A</t>
  </si>
  <si>
    <t>SET OF 72 PINK HEART PAPER DOILIES</t>
  </si>
  <si>
    <t>SET OF 36 TEATIME PAPER DOILIES</t>
  </si>
  <si>
    <t>SET OF 36 SILVER PAPER DOILIES</t>
  </si>
  <si>
    <t>84986b</t>
  </si>
  <si>
    <t>84986B</t>
  </si>
  <si>
    <t>SET OF 72 BLACK PAPER DOILIES</t>
  </si>
  <si>
    <t>84985b</t>
  </si>
  <si>
    <t>SET OF 72 GREEN PAPER DOILIES</t>
  </si>
  <si>
    <t>84985a</t>
  </si>
  <si>
    <t>84985B</t>
  </si>
  <si>
    <t>84985A</t>
  </si>
  <si>
    <t>ORIENTAL RED C/COVER</t>
  </si>
  <si>
    <t>84984D</t>
  </si>
  <si>
    <t>ORIENTAL BLUE C/COVER</t>
  </si>
  <si>
    <t>84984C</t>
  </si>
  <si>
    <t>RED PEONY DES C/COVER</t>
  </si>
  <si>
    <t>84984B</t>
  </si>
  <si>
    <t>GREEN PEONY DES C/COVER</t>
  </si>
  <si>
    <t>84984A</t>
  </si>
  <si>
    <t>HANGING HEART JAR T-LIGHT HOLDER</t>
  </si>
  <si>
    <t>WIRE FLOWER T-LIGHT HOLDER</t>
  </si>
  <si>
    <t>RECTANGULAR SHAPED MIRROR</t>
  </si>
  <si>
    <t>HEART SHAPED MIRROR</t>
  </si>
  <si>
    <t>S/2 ZINC HEART DESIGN PLANTERS</t>
  </si>
  <si>
    <t>GIANT PINK HEART MEMO HOLDER</t>
  </si>
  <si>
    <t>84972L</t>
  </si>
  <si>
    <t>SMALL HEART FLOWERS HOOK</t>
  </si>
  <si>
    <t>84971s</t>
  </si>
  <si>
    <t>LARGE HEART FLOWERS HOOK</t>
  </si>
  <si>
    <t>84971l</t>
  </si>
  <si>
    <t>84971S</t>
  </si>
  <si>
    <t>84971L</t>
  </si>
  <si>
    <t>HANGING HEART ZINC T-LIGHT HOLDER</t>
  </si>
  <si>
    <t>84970s</t>
  </si>
  <si>
    <t>SINGLE HEART ZINC T-LIGHT HOLDER</t>
  </si>
  <si>
    <t>84970l</t>
  </si>
  <si>
    <t>84970S</t>
  </si>
  <si>
    <t>84970L</t>
  </si>
  <si>
    <t>ASSORTED COLOUR SET 6 TEASPOONS</t>
  </si>
  <si>
    <t>SET OF 16 VINTAGE SKY BLUE CUTLERY</t>
  </si>
  <si>
    <t>84968f</t>
  </si>
  <si>
    <t>S/16 VINTAGE BLACK CUTLERY</t>
  </si>
  <si>
    <t>84968e</t>
  </si>
  <si>
    <t>S/16 VINTAGE RED CUTLERY</t>
  </si>
  <si>
    <t>84968d</t>
  </si>
  <si>
    <t>S/16 VINTAGE IVORY CUTLERY</t>
  </si>
  <si>
    <t>84968b</t>
  </si>
  <si>
    <t>S/16 VINTAGE ROSE CUTLERY</t>
  </si>
  <si>
    <t>84968a</t>
  </si>
  <si>
    <t>S/16 VINTAGE SKY BLUE CUTLERY</t>
  </si>
  <si>
    <t>84968F</t>
  </si>
  <si>
    <t>84968E</t>
  </si>
  <si>
    <t>84968D</t>
  </si>
  <si>
    <t>S/16 VINTAGE PISTACHIO CUTLERY</t>
  </si>
  <si>
    <t>84968C</t>
  </si>
  <si>
    <t>84968B</t>
  </si>
  <si>
    <t>84968A</t>
  </si>
  <si>
    <t>GREEN KASHMIRI OCCASIONAL TABLE</t>
  </si>
  <si>
    <t>84967C</t>
  </si>
  <si>
    <t>BLUE KASHMIRI OCCASIONAL TABLE</t>
  </si>
  <si>
    <t>84967B</t>
  </si>
  <si>
    <t>PINK KASHMIRI OCCASIONAL TABLE</t>
  </si>
  <si>
    <t>84967A</t>
  </si>
  <si>
    <t>GREEN KASHMIRI BOXED MIRROR</t>
  </si>
  <si>
    <t>84966C</t>
  </si>
  <si>
    <t>BLUE KASHMIRI BOXED MIRROR</t>
  </si>
  <si>
    <t>84966B</t>
  </si>
  <si>
    <t>PINK KASHMIRI BOXED MIRROR</t>
  </si>
  <si>
    <t>84966A</t>
  </si>
  <si>
    <t>BLUE KASHMIRI COFFEE TABLE</t>
  </si>
  <si>
    <t>84965B</t>
  </si>
  <si>
    <t>PINK KASHMIRI COFFEE TABLE</t>
  </si>
  <si>
    <t>84965A</t>
  </si>
  <si>
    <t>BLUE PAINTED KASHMIRI TABLE</t>
  </si>
  <si>
    <t>84964B</t>
  </si>
  <si>
    <t>PINK PAINTED KASHMIRI TABLE</t>
  </si>
  <si>
    <t>84964A</t>
  </si>
  <si>
    <t>BLUE PAINTED KASHMIRI CHAIR</t>
  </si>
  <si>
    <t>84963B</t>
  </si>
  <si>
    <t>PINK PAINTED KASHMIRI CHAIR</t>
  </si>
  <si>
    <t>84963A</t>
  </si>
  <si>
    <t>SET/3 COLOUR PAINTED KASHMIRI STOOL</t>
  </si>
  <si>
    <t>MIRROR LOVE BIRD T-LIGHT HOLDER</t>
  </si>
  <si>
    <t>84952C</t>
  </si>
  <si>
    <t>BLACK LOVE BIRD T-LIGHT HOLDER</t>
  </si>
  <si>
    <t>84952B</t>
  </si>
  <si>
    <t>CLEAR LOVE BIRD T-LIGHT HOLDER</t>
  </si>
  <si>
    <t>84952A</t>
  </si>
  <si>
    <t>S/4 BLACK LOVEBIRD COASTERS</t>
  </si>
  <si>
    <t>84951b</t>
  </si>
  <si>
    <t>84951B</t>
  </si>
  <si>
    <t>S/4 PISTACHIO LOVEBIRD COASTERS</t>
  </si>
  <si>
    <t>84951A</t>
  </si>
  <si>
    <t>ASSORTED COLOUR T-LIGHT HOLDER</t>
  </si>
  <si>
    <t>SILVER HANGING T-LIGHT HOLDER</t>
  </si>
  <si>
    <t>SILVER HANGING T-LIGHT HOLDER DOME</t>
  </si>
  <si>
    <t>ANTIQUE SILVER TEA GLASS ENGRAVED</t>
  </si>
  <si>
    <t>ANTIQUE SILVER TEA GLASS ETCHED</t>
  </si>
  <si>
    <t>MULTI COLOUR SILVER T-LIGHT HOLDER</t>
  </si>
  <si>
    <t>SET OF 6 KASHMIR FOLKART BAUBLES</t>
  </si>
  <si>
    <t>KASHMIR FOLKART HEART DISHES</t>
  </si>
  <si>
    <t>KASHMIR FOLKART TUMBLERS</t>
  </si>
  <si>
    <t>ASSTD DESIGN POP ART SLIM PEN</t>
  </si>
  <si>
    <t>LARGE BLUE ORIENTAL FOLDING STOOL</t>
  </si>
  <si>
    <t>84933C</t>
  </si>
  <si>
    <t>LARGE PINK PEONY FOLDING STOOL</t>
  </si>
  <si>
    <t>84933B</t>
  </si>
  <si>
    <t>LARGE GREEN PEONY FOLDING STOOL</t>
  </si>
  <si>
    <t>84933A</t>
  </si>
  <si>
    <t>SMALL ORIENTAL RED FOLDING STOOL</t>
  </si>
  <si>
    <t>84932D</t>
  </si>
  <si>
    <t>SMALL ORIENTAL BLUE FOLDING STOOL</t>
  </si>
  <si>
    <t>84932C</t>
  </si>
  <si>
    <t>SMALL PINK PEONY FOLDING STOOL</t>
  </si>
  <si>
    <t>84932B</t>
  </si>
  <si>
    <t>SMALL GREEN PEONY FOLDING STOOL</t>
  </si>
  <si>
    <t>84932A</t>
  </si>
  <si>
    <t>BLUE SCOTTIE DOG W FLOWER PATTERN</t>
  </si>
  <si>
    <t>84931B</t>
  </si>
  <si>
    <t>PINK SCOTTIE DOG W FLOWER PATTERN</t>
  </si>
  <si>
    <t>84931A</t>
  </si>
  <si>
    <t>ASSTD FRUIT+FLOWERS FRIDGE MAGNETS</t>
  </si>
  <si>
    <t>PSYCHEDELIC TILE HOOK</t>
  </si>
  <si>
    <t>84927F</t>
  </si>
  <si>
    <t>FLOWERS TILE HOOK</t>
  </si>
  <si>
    <t>84927E</t>
  </si>
  <si>
    <t>LA PALMIERA TILE HOOK</t>
  </si>
  <si>
    <t>84927D</t>
  </si>
  <si>
    <t>WAKE UP COCKEREL TILE HOOK</t>
  </si>
  <si>
    <t>84927A</t>
  </si>
  <si>
    <t>PSYCHEDELIC TILE COASTER</t>
  </si>
  <si>
    <t>84926F</t>
  </si>
  <si>
    <t>FLOWERS TILE COASTER</t>
  </si>
  <si>
    <t>84926E</t>
  </si>
  <si>
    <t>LA PALMIERA TILE COASTER</t>
  </si>
  <si>
    <t>84926D</t>
  </si>
  <si>
    <t>FAIRY CAKES TILE COASTER</t>
  </si>
  <si>
    <t>84926C</t>
  </si>
  <si>
    <t>SCOTTS ROSES TILE COASTER</t>
  </si>
  <si>
    <t>84926B</t>
  </si>
  <si>
    <t>WAKE UP COCKEREL TILE COASTER</t>
  </si>
  <si>
    <t>84926A</t>
  </si>
  <si>
    <t>PSYCHEDELIC WALL THERMOMETER</t>
  </si>
  <si>
    <t>84925F</t>
  </si>
  <si>
    <t>FLOWERS WALL THERMOMETER</t>
  </si>
  <si>
    <t>84925E</t>
  </si>
  <si>
    <t>LA PALMIERA WALL THERMOMETER</t>
  </si>
  <si>
    <t>84925D</t>
  </si>
  <si>
    <t>FAIRY CAKES  WALL THERMOMETER</t>
  </si>
  <si>
    <t>84925C</t>
  </si>
  <si>
    <t>WAKE UP COCKEREL WALL THERMOMETER</t>
  </si>
  <si>
    <t>84925A</t>
  </si>
  <si>
    <t>PSYCHEDELIC METAL SIGN CALENDAR</t>
  </si>
  <si>
    <t>84924F</t>
  </si>
  <si>
    <t>LA PALMIERA METAL SIGN CALENDAR</t>
  </si>
  <si>
    <t>84924D</t>
  </si>
  <si>
    <t>WAKE UP COCKEREL CALENDAR SIGN</t>
  </si>
  <si>
    <t>84924A</t>
  </si>
  <si>
    <t>PINK BUTTERFLY HANDBAG W BOBBLES</t>
  </si>
  <si>
    <t>PINK BUTTERFLY WASHBAG</t>
  </si>
  <si>
    <t>CREAM AND PINK FLOWERS PONY</t>
  </si>
  <si>
    <t>PINK FLOWER FABRIC PONY</t>
  </si>
  <si>
    <t>L BLUE C/COVER W PINK/YELLOW FLOWER</t>
  </si>
  <si>
    <t>CREAM C/COVER W YELLOW/GREEN FLOWER</t>
  </si>
  <si>
    <t>WHITE HAND TOWEL WITH BUTTERFLY</t>
  </si>
  <si>
    <t>HAND TOWEL PALE BLUE W FLOWERS</t>
  </si>
  <si>
    <t>HAND TOWEL PINK FLOWER AND DAISY</t>
  </si>
  <si>
    <t>PINK ROSE PICNIC RUG</t>
  </si>
  <si>
    <t>84914A</t>
  </si>
  <si>
    <t>MINT GREEN ROSE TOWEL</t>
  </si>
  <si>
    <t>84913B</t>
  </si>
  <si>
    <t>SOFT PINK ROSE TOWEL</t>
  </si>
  <si>
    <t>84913A</t>
  </si>
  <si>
    <t>PINK ROSE WASHBAG</t>
  </si>
  <si>
    <t>84912a</t>
  </si>
  <si>
    <t>GREEN ROSE WASHBAG</t>
  </si>
  <si>
    <t>84912B</t>
  </si>
  <si>
    <t>84912A</t>
  </si>
  <si>
    <t>PINK PAISLEY CUSHION COVER</t>
  </si>
  <si>
    <t>84910A</t>
  </si>
  <si>
    <t>PINK PAISLEY QUILT</t>
  </si>
  <si>
    <t>84909A</t>
  </si>
  <si>
    <t>BLUE 5 PATCH FLOWER CUSHION COVER</t>
  </si>
  <si>
    <t>84908B</t>
  </si>
  <si>
    <t>PINK 5 PATCH FLOWER CUSHION COVER</t>
  </si>
  <si>
    <t>84908A</t>
  </si>
  <si>
    <t>PINK/YELLOW PATCH CUSHION COVER</t>
  </si>
  <si>
    <t>PINK B'FLY C/COVER W BOBBLES</t>
  </si>
  <si>
    <t>PINK BUTTERFLY C/COVER</t>
  </si>
  <si>
    <t>PINK KNITTED COW STUFFED TOY</t>
  </si>
  <si>
    <t>BLACK FACE LAMB WITH PANTS</t>
  </si>
  <si>
    <t>YELLOW PURPLE DAISY FELT PURSE KIT</t>
  </si>
  <si>
    <t>84899F</t>
  </si>
  <si>
    <t>YELLOW + BROWN BEAR FELT PURSE KIT</t>
  </si>
  <si>
    <t>84899E</t>
  </si>
  <si>
    <t>YELLOW FLOWERS FELT HANDBAG KIT</t>
  </si>
  <si>
    <t>84898F</t>
  </si>
  <si>
    <t>ANT WHITE IRON BASKET</t>
  </si>
  <si>
    <t>GREEN WIRE GOBLET CANDLEHOLDER</t>
  </si>
  <si>
    <t>84891B</t>
  </si>
  <si>
    <t>BLUE METAL WALL SHELF</t>
  </si>
  <si>
    <t>ANT WHITE WIRE HEART SPIRAL</t>
  </si>
  <si>
    <t>84884a</t>
  </si>
  <si>
    <t>84884A</t>
  </si>
  <si>
    <t>GREEN WIRE STANDING CANDLE HOLDER</t>
  </si>
  <si>
    <t>BLUE WIRE SPIRAL CANDLE HOLDER</t>
  </si>
  <si>
    <t>WHITE WIRE EGG HOLDER</t>
  </si>
  <si>
    <t>ASSORTED COLOUR BIRD ORNAMENT</t>
  </si>
  <si>
    <t>BLUE ROUND COMPACT MIRROR</t>
  </si>
  <si>
    <t>84877D</t>
  </si>
  <si>
    <t>GREEN ROUND COMPACT MIRROR</t>
  </si>
  <si>
    <t>84877B</t>
  </si>
  <si>
    <t>PINK ROUND COMPACT MIRROR</t>
  </si>
  <si>
    <t>84877A</t>
  </si>
  <si>
    <t>BLUE HEART COMPACT MIRROR</t>
  </si>
  <si>
    <t>84876D</t>
  </si>
  <si>
    <t>SILVER HEART COMPACT MIRROR</t>
  </si>
  <si>
    <t>84876C</t>
  </si>
  <si>
    <t>GREEN HEART COMPACT MIRROR</t>
  </si>
  <si>
    <t>84876B</t>
  </si>
  <si>
    <t>BLUE SQUARE COMPACT MIRROR</t>
  </si>
  <si>
    <t>84875D</t>
  </si>
  <si>
    <t>GREEN SQUARE COMPACT MIRROR</t>
  </si>
  <si>
    <t>84875B</t>
  </si>
  <si>
    <t>PINK SQUARE COMPACT MIRROR</t>
  </si>
  <si>
    <t>84875A</t>
  </si>
  <si>
    <t>BLUE TRAVEL FIRST AID KIT</t>
  </si>
  <si>
    <t>84874B</t>
  </si>
  <si>
    <t>FUNKY FLOWER PICNIC BAG FOR 4</t>
  </si>
  <si>
    <t>84873a</t>
  </si>
  <si>
    <t>84873A</t>
  </si>
  <si>
    <t>TEATIME FUNKY FLOWER BACKPACK FOR 2</t>
  </si>
  <si>
    <t>84872a</t>
  </si>
  <si>
    <t>84872A</t>
  </si>
  <si>
    <t>GREEN GEISHA GIRL</t>
  </si>
  <si>
    <t>84870C</t>
  </si>
  <si>
    <t>BLUE GEISHA GIRL</t>
  </si>
  <si>
    <t>84870B</t>
  </si>
  <si>
    <t>CANDY BUTTON PHOTO ALBUM</t>
  </si>
  <si>
    <t>BLUE BABY BOY'S MEMORY BOX</t>
  </si>
  <si>
    <t>84868B</t>
  </si>
  <si>
    <t>PINK BABY GIRL'S MEMORY BOX</t>
  </si>
  <si>
    <t>84868A</t>
  </si>
  <si>
    <t>BLUE BABY BOY'S PHOTO ALBUM</t>
  </si>
  <si>
    <t>84867b</t>
  </si>
  <si>
    <t>PINK BABY GIRLS PHOTO ALBUM</t>
  </si>
  <si>
    <t>84867a</t>
  </si>
  <si>
    <t>84867A</t>
  </si>
  <si>
    <t>NEW BAROQUE BLACK PHOTO ALBUM</t>
  </si>
  <si>
    <t>PINK PAISLEY PHOTO ALBUM</t>
  </si>
  <si>
    <t>84864A</t>
  </si>
  <si>
    <t>PINK DISCO HANDBAG</t>
  </si>
  <si>
    <t>84859C</t>
  </si>
  <si>
    <t>BLUE DISCO HANDBAG</t>
  </si>
  <si>
    <t>84859B</t>
  </si>
  <si>
    <t>SILVER DISCO HANDBAG</t>
  </si>
  <si>
    <t>84859A</t>
  </si>
  <si>
    <t>PINK RIVIERA HANDBAG</t>
  </si>
  <si>
    <t>84858C</t>
  </si>
  <si>
    <t>BLUE RIVIERA HANDBAG</t>
  </si>
  <si>
    <t>84858B</t>
  </si>
  <si>
    <t>NATURAL RIVIERA HANDBAG</t>
  </si>
  <si>
    <t>84858A</t>
  </si>
  <si>
    <t>PINK MONTE CARLO HANDBAG</t>
  </si>
  <si>
    <t>84857C</t>
  </si>
  <si>
    <t>BLUE MONTE CARLO HANDBAG</t>
  </si>
  <si>
    <t>84857B</t>
  </si>
  <si>
    <t>SILVER MONTE CARLO HANDBAG</t>
  </si>
  <si>
    <t>84857A</t>
  </si>
  <si>
    <t>SMALL TAHITI BEACH BAG</t>
  </si>
  <si>
    <t>84856S</t>
  </si>
  <si>
    <t>LARGE TAHITI BEACH BAG</t>
  </si>
  <si>
    <t>84856L</t>
  </si>
  <si>
    <t>BLOKEY SILVER TOOL SET</t>
  </si>
  <si>
    <t>GIRLY PINK TOOL SET</t>
  </si>
  <si>
    <t>HOT BATHS SOAP HOLDER</t>
  </si>
  <si>
    <t>84849D</t>
  </si>
  <si>
    <t>FAIRY SOAP SOAP HOLDER</t>
  </si>
  <si>
    <t>84849B</t>
  </si>
  <si>
    <t>HELLO SAILOR BLUE SOAP HOLDER</t>
  </si>
  <si>
    <t>84849A</t>
  </si>
  <si>
    <t>FLORAL BATHROOM SET</t>
  </si>
  <si>
    <t>SCENTED CANDLE IN DIGITALIS TIN</t>
  </si>
  <si>
    <t>84846A</t>
  </si>
  <si>
    <t>GERANIUM SQUARE HANDY TIN</t>
  </si>
  <si>
    <t>84845D</t>
  </si>
  <si>
    <t>CARNATION SQUARE HANDY TIN</t>
  </si>
  <si>
    <t>84845C</t>
  </si>
  <si>
    <t>HOLLYHOCK SQUARE HANDY TIN</t>
  </si>
  <si>
    <t>84845A</t>
  </si>
  <si>
    <t>WHITE SOAP RACK WITH 2 BOTTLES</t>
  </si>
  <si>
    <t>HELLO SAILOR BATHROOM SET</t>
  </si>
  <si>
    <t>SWEETHEART CARRY-ALL BASKET</t>
  </si>
  <si>
    <t>SWEETHEART KEY CABINET</t>
  </si>
  <si>
    <t>ANT WHITE HIGH RISE BIRD BOX</t>
  </si>
  <si>
    <t>WHITE SWEETHEARTS CABINET 4 DRAWERS</t>
  </si>
  <si>
    <t>ZINC METAL HEART DECORATION</t>
  </si>
  <si>
    <t>ZINC WILLIE WINKIE  CANDLE STICK</t>
  </si>
  <si>
    <t>LARGE ENGLISH ARBORETUM</t>
  </si>
  <si>
    <t>JUNGLE POPSICLES ICE LOLLY HOLDERS</t>
  </si>
  <si>
    <t>ASS DES PHONE SPONGE CRAFT STICKER</t>
  </si>
  <si>
    <t>ASSTD DESIGN 3D PAPER STICKERS</t>
  </si>
  <si>
    <t>DANISH ROSE UMBRELLA STAND</t>
  </si>
  <si>
    <t>DANISH ROSE FOLDING CHAIR</t>
  </si>
  <si>
    <t>DANISH ROSE DELUXE COASTER</t>
  </si>
  <si>
    <t>DANISH ROSE TRINKET TRAYS</t>
  </si>
  <si>
    <t>DANISH ROSE ROUND SEWING BOX</t>
  </si>
  <si>
    <t>DANISH ROSE PHOTO FRAME</t>
  </si>
  <si>
    <t>DANISH ROSE DECORATIVE PLATE</t>
  </si>
  <si>
    <t>DANISH ROSE BEDSIDE CABINET</t>
  </si>
  <si>
    <t>SET OF 3 DANISH ROSE PLANTERS</t>
  </si>
  <si>
    <t>RHOMBUS CRYSTAL PERFUME BOTTLE</t>
  </si>
  <si>
    <t>84814B</t>
  </si>
  <si>
    <t>HEXAGONAL CRYSTAL PERFUME BOTTLE</t>
  </si>
  <si>
    <t>84814A</t>
  </si>
  <si>
    <t>SET OF 4 DIAMOND NAPKIN RINGS</t>
  </si>
  <si>
    <t>PINK CHRYSANTHEMUMS ART FLOWER</t>
  </si>
  <si>
    <t>84809B</t>
  </si>
  <si>
    <t>WHITE CHRYSANTHEMUMS ART FLOWER</t>
  </si>
  <si>
    <t>84809A</t>
  </si>
  <si>
    <t>RED POPPY ARTIFICIAL FLOWER</t>
  </si>
  <si>
    <t>WHITE CANDYSTUFT ARTIFICIAL FLOWER</t>
  </si>
  <si>
    <t>84806B</t>
  </si>
  <si>
    <t>PINK CANDYSTUFT ARTIFICIAL FLOWER</t>
  </si>
  <si>
    <t>84806A</t>
  </si>
  <si>
    <t>BLUE CLIMBING HYDRANGA ART FLOWER</t>
  </si>
  <si>
    <t>84805B</t>
  </si>
  <si>
    <t>CREAM CLIMBING HYDRANGA ART FLOWER</t>
  </si>
  <si>
    <t>84805A</t>
  </si>
  <si>
    <t>BLUE DELPHINIUM ARTIFICIAL FLOWER</t>
  </si>
  <si>
    <t>84804B</t>
  </si>
  <si>
    <t>CREAM DELPHINIUM ARTIFICIAL FLOWER</t>
  </si>
  <si>
    <t>84804A</t>
  </si>
  <si>
    <t>WHITE ALLIUM  ARTIFICIAL FLOWER</t>
  </si>
  <si>
    <t>84803B</t>
  </si>
  <si>
    <t>PINK ALLIUM  ARTIFICIAL FLOWER</t>
  </si>
  <si>
    <t>84803A</t>
  </si>
  <si>
    <t>PURPLE ANEMONE ARTIFICIAL FLOWER</t>
  </si>
  <si>
    <t>84802B</t>
  </si>
  <si>
    <t>WHITE ANEMONE ARTIFICIAL FLOWER</t>
  </si>
  <si>
    <t>84802A</t>
  </si>
  <si>
    <t>WHITE HYDRANGEA ART FLOWER</t>
  </si>
  <si>
    <t>84801B</t>
  </si>
  <si>
    <t>PINK HYDRANGEA ART FLOWER</t>
  </si>
  <si>
    <t>84801A</t>
  </si>
  <si>
    <t>SMALL WHITE/PINK ROSE ART FLOWER</t>
  </si>
  <si>
    <t>84800S</t>
  </si>
  <si>
    <t>MEDIUM WHITE/PINK ROSE ART FLOWER</t>
  </si>
  <si>
    <t>84800M</t>
  </si>
  <si>
    <t>LARGE WHITE/PINK ROSE ART FLOWER</t>
  </si>
  <si>
    <t>84800L</t>
  </si>
  <si>
    <t>SPRIG LAVENDER ARTIFICIAL FLOWER</t>
  </si>
  <si>
    <t>WHITE FOXGLOVE ARTIIFCIAL FLOWER</t>
  </si>
  <si>
    <t>84798C</t>
  </si>
  <si>
    <t>PURPLE FOXGLOVE ARTIIFCIAL FLOWER</t>
  </si>
  <si>
    <t>84798B</t>
  </si>
  <si>
    <t>PINK FOXGLOVE ARTIIFCIAL FLOWER</t>
  </si>
  <si>
    <t>84798A</t>
  </si>
  <si>
    <t>BLUE SAVANNAH PICNIC HAMPER FOR 4</t>
  </si>
  <si>
    <t>84797b</t>
  </si>
  <si>
    <t>PINK HAWAIIAN PICNIC HAMPER FOR 4</t>
  </si>
  <si>
    <t>84797a</t>
  </si>
  <si>
    <t>84797B</t>
  </si>
  <si>
    <t>84797A</t>
  </si>
  <si>
    <t>BLUE SAVANNAH PICNIC HAMPER FOR 2</t>
  </si>
  <si>
    <t>84796b</t>
  </si>
  <si>
    <t>PINK HAWAIIAN PICNIC HAMPER FOR 2</t>
  </si>
  <si>
    <t>84796a</t>
  </si>
  <si>
    <t>84796B</t>
  </si>
  <si>
    <t>84796A</t>
  </si>
  <si>
    <t>SUNSET CHECK HAMMOCK</t>
  </si>
  <si>
    <t>84795b</t>
  </si>
  <si>
    <t>RIO PINK STRIPE HAMMOCK</t>
  </si>
  <si>
    <t>84795E</t>
  </si>
  <si>
    <t>SEASIDE STRIPE HAMMOCK</t>
  </si>
  <si>
    <t>84795D</t>
  </si>
  <si>
    <t>OCEAN STRIPE HAMMOCK</t>
  </si>
  <si>
    <t>84795C</t>
  </si>
  <si>
    <t>84795B</t>
  </si>
  <si>
    <t>PASTEL STRIPE HAMMOCK</t>
  </si>
  <si>
    <t>84795A</t>
  </si>
  <si>
    <t>ENCHANTED BIRD COATHANGER 5 HOOK</t>
  </si>
  <si>
    <t>GINGHAM HEART DECORATION</t>
  </si>
  <si>
    <t>ENCHANTED BIRD PLANT CAGE</t>
  </si>
  <si>
    <t>GREEN 3 TIER GLASS PLATE STAND</t>
  </si>
  <si>
    <t>84782C</t>
  </si>
  <si>
    <t>BLACK 3 TIER GLASS PLATE STAND</t>
  </si>
  <si>
    <t>84782B</t>
  </si>
  <si>
    <t>PINK 3 TIER GLASS PLATE STAND</t>
  </si>
  <si>
    <t>84782A</t>
  </si>
  <si>
    <t>RED ROSE AND LACE C/COVER</t>
  </si>
  <si>
    <t>ROUND GEORGIAN SILVER MIRROR</t>
  </si>
  <si>
    <t>ZINC POLICE BOX LANTERN</t>
  </si>
  <si>
    <t>SILVER ROCOCO CANDLE STICK</t>
  </si>
  <si>
    <t>SILVER ROCOCO CANDELABRA</t>
  </si>
  <si>
    <t>ZINC FINISH 15CM PLANTER POTS</t>
  </si>
  <si>
    <t>GREEN PICNIC BARBECUE BUCKET</t>
  </si>
  <si>
    <t>84762C</t>
  </si>
  <si>
    <t>PINK PICNIC BARBECUE BUCKET</t>
  </si>
  <si>
    <t>84762B</t>
  </si>
  <si>
    <t>WHITE PICNIC BARBECUE BUCKET</t>
  </si>
  <si>
    <t>84762A</t>
  </si>
  <si>
    <t>IVORY HANGING BIRD PLANTER</t>
  </si>
  <si>
    <t>SMALL HANGING GLASS+ZINC LANTERN</t>
  </si>
  <si>
    <t>84760S</t>
  </si>
  <si>
    <t>LARGE HANGING GLASS+ZINC LANTERN</t>
  </si>
  <si>
    <t>84760L</t>
  </si>
  <si>
    <t>ENCHANTED GARDEN WROUGHT IRON TABLE</t>
  </si>
  <si>
    <t>COLOUR GLASS T-LIGHT HOLDER HANGING</t>
  </si>
  <si>
    <t>S/15 SILVER GLASS BAUBLES IN BAG</t>
  </si>
  <si>
    <t>PINK EAU DE COLOGNE BOTTLE</t>
  </si>
  <si>
    <t>84753A</t>
  </si>
  <si>
    <t>BLACK MEDIUM GLASS CAKE STAND</t>
  </si>
  <si>
    <t>84751B</t>
  </si>
  <si>
    <t>BLACK SMALL GLASS CAKE STAND</t>
  </si>
  <si>
    <t>84750B</t>
  </si>
  <si>
    <t>PINK SMALL GLASS CAKE STAND</t>
  </si>
  <si>
    <t>84750A</t>
  </si>
  <si>
    <t>FOLK FELT HANGING MULTICOL GARLAND</t>
  </si>
  <si>
    <t>PINK EASTER HENS+FLOWER</t>
  </si>
  <si>
    <t>BLUE HANGING GINGHAM EASTER HEN</t>
  </si>
  <si>
    <t>84745B</t>
  </si>
  <si>
    <t>PINK HANGING GINGHAM EASTER HEN</t>
  </si>
  <si>
    <t>84745A</t>
  </si>
  <si>
    <t>S/6 SEW ON CROCHET FLOWERS</t>
  </si>
  <si>
    <t>ORANGE FELT VASE + FLOWERS</t>
  </si>
  <si>
    <t>84743C</t>
  </si>
  <si>
    <t>CITRUS GARLAND FELT FLOWERS</t>
  </si>
  <si>
    <t>84741C</t>
  </si>
  <si>
    <t>CUTE RABBIT CEATURE SCREEN</t>
  </si>
  <si>
    <t>84732D</t>
  </si>
  <si>
    <t>CUTE BIRD CEATURE SCREEN</t>
  </si>
  <si>
    <t>84732B</t>
  </si>
  <si>
    <t>3 BIRDS CANVAS SCREEN</t>
  </si>
  <si>
    <t>LILLIES CANVAS PICTURE</t>
  </si>
  <si>
    <t>FREESTYLE CANVAS ART PICTURE</t>
  </si>
  <si>
    <t>CHERRY BLOSSOM CANVAS ART PICTURE</t>
  </si>
  <si>
    <t>MANHATTAN CANVAS ART PICTURE</t>
  </si>
  <si>
    <t>DOT MATRIX CANVAS ART PICTURE</t>
  </si>
  <si>
    <t>SET OF 6 ICE CREAM SKITTLES</t>
  </si>
  <si>
    <t>PINK JEWELLED PHOTO FRAME</t>
  </si>
  <si>
    <t>84712B</t>
  </si>
  <si>
    <t>PINK OVAL SHAPE TRINKET BOX</t>
  </si>
  <si>
    <t>84711B</t>
  </si>
  <si>
    <t>SILVER OVAL SHAPE TRINKET BOX</t>
  </si>
  <si>
    <t>84711A</t>
  </si>
  <si>
    <t>PINK OVAL JEWELLED MIRROR</t>
  </si>
  <si>
    <t>84709B</t>
  </si>
  <si>
    <t>SILVER OVAL JEWELLED MIRROR</t>
  </si>
  <si>
    <t>84709A</t>
  </si>
  <si>
    <t>84708B</t>
  </si>
  <si>
    <t>PINK JEWELLED MIRROR TRINKET TRAY</t>
  </si>
  <si>
    <t>84707B</t>
  </si>
  <si>
    <t>SILVER JEWELLED MIRROR TRINKET TRAY</t>
  </si>
  <si>
    <t>84707A</t>
  </si>
  <si>
    <t>RED PEONY TABLE CLOCK</t>
  </si>
  <si>
    <t>84706F</t>
  </si>
  <si>
    <t>CHERRY BLOSSOM TABLE CLOCK</t>
  </si>
  <si>
    <t>84706D</t>
  </si>
  <si>
    <t>PINK FLOCK TABLE CLOCK</t>
  </si>
  <si>
    <t>84706C</t>
  </si>
  <si>
    <t>FAIRY CAKES TABLE CLOCK</t>
  </si>
  <si>
    <t>84706B</t>
  </si>
  <si>
    <t>ENGLISH ROSE TABLE CLOCK</t>
  </si>
  <si>
    <t>84706A</t>
  </si>
  <si>
    <t>FAIRY CAKES PHOTO FRAME</t>
  </si>
  <si>
    <t>84705b</t>
  </si>
  <si>
    <t>RED PEONY PHOTO FRAME</t>
  </si>
  <si>
    <t>84705F</t>
  </si>
  <si>
    <t>CHERRY BLOSSOM PHOTO FRAME</t>
  </si>
  <si>
    <t>84705D</t>
  </si>
  <si>
    <t>PINK FLOCK PHOTO FRAME</t>
  </si>
  <si>
    <t>84705C</t>
  </si>
  <si>
    <t>84705B</t>
  </si>
  <si>
    <t>ENGLISH ROSE PHOTO FRAME</t>
  </si>
  <si>
    <t>84705A</t>
  </si>
  <si>
    <t>BOX OF 24 COCKTAIL PARASOLS</t>
  </si>
  <si>
    <t>PACK 20 DOLLY PEGS</t>
  </si>
  <si>
    <t>S/2 BEACH HUT STOOLS</t>
  </si>
  <si>
    <t>S/2 BEACH HUT TREASURE CHESTS</t>
  </si>
  <si>
    <t>BEACH HUT DESIGN BLACKBOARD</t>
  </si>
  <si>
    <t>BEACH HUT SHELF W 3 DRAWERS</t>
  </si>
  <si>
    <t>BEACH HUT MIRROR</t>
  </si>
  <si>
    <t>BEACH HUT KEY CABINET</t>
  </si>
  <si>
    <t>BEACH HUT PHOTO FRAME</t>
  </si>
  <si>
    <t>CLASSICAL ROSE CANDLESTAND</t>
  </si>
  <si>
    <t>CLASSICAL ROSE DISH</t>
  </si>
  <si>
    <t>CLASSICAL ROSE URN</t>
  </si>
  <si>
    <t>CLASSICAL ROSE TABLE LAMP</t>
  </si>
  <si>
    <t>CLASSICAL ROSE SMALL VASE</t>
  </si>
  <si>
    <t>BATH DUCK WATERING CAN</t>
  </si>
  <si>
    <t>FROG KING WATERING CAN</t>
  </si>
  <si>
    <t>FLYING PIG WATERING CAN</t>
  </si>
  <si>
    <t>BLUE FLY SWAT</t>
  </si>
  <si>
    <t>84673B</t>
  </si>
  <si>
    <t>PINK FLY SWAT</t>
  </si>
  <si>
    <t>84673A</t>
  </si>
  <si>
    <t>CROCHET BEAR WITH BLUE STRIPES</t>
  </si>
  <si>
    <t>84671B</t>
  </si>
  <si>
    <t>JAPANESE CROCHETED ANIMAL</t>
  </si>
  <si>
    <t>SQUARE CHERRY BLOSSOM CABINET</t>
  </si>
  <si>
    <t>CHERRY BLOSSOM BATHROOM CABINET</t>
  </si>
  <si>
    <t>GRASS HOPPER WOODEN WALL CLOCK</t>
  </si>
  <si>
    <t>84663A</t>
  </si>
  <si>
    <t>PINK SQUARE TABLE CLOCK</t>
  </si>
  <si>
    <t>84661c</t>
  </si>
  <si>
    <t>BLACK SQUARE TABLE CLOCK</t>
  </si>
  <si>
    <t>84661b</t>
  </si>
  <si>
    <t>WHITE SQUARE TABLE CLOCK</t>
  </si>
  <si>
    <t>84661a</t>
  </si>
  <si>
    <t>84661C</t>
  </si>
  <si>
    <t>84661B</t>
  </si>
  <si>
    <t>84661A</t>
  </si>
  <si>
    <t>PINK STITCHED WALL CLOCK</t>
  </si>
  <si>
    <t>84660c</t>
  </si>
  <si>
    <t>BLACK STITCHED WALL CLOCK</t>
  </si>
  <si>
    <t>84660b</t>
  </si>
  <si>
    <t>WHITE STITCHED WALL CLOCK</t>
  </si>
  <si>
    <t>84660a</t>
  </si>
  <si>
    <t>84660C</t>
  </si>
  <si>
    <t>84660B</t>
  </si>
  <si>
    <t>84660A</t>
  </si>
  <si>
    <t>WHITE TRAVEL ALARM CLOCK</t>
  </si>
  <si>
    <t>84659A</t>
  </si>
  <si>
    <t>WHITE STITCHED CUSHION COVER</t>
  </si>
  <si>
    <t>GREEN ROSE CUSHION COVER</t>
  </si>
  <si>
    <t>WHITE ROSE C/COVER</t>
  </si>
  <si>
    <t>GREEN ROSE QUILT</t>
  </si>
  <si>
    <t>NEW BAROQUE WALL MIRROR</t>
  </si>
  <si>
    <t>SMALL KITCHEN FLOWER POTS PLAQUE</t>
  </si>
  <si>
    <t>KITCHEN FLOWER POTS WALL PLAQUE</t>
  </si>
  <si>
    <t>DECORATIVE HANGING SHELVING UNIT</t>
  </si>
  <si>
    <t>FRUIT TREE AND BIRDS WALL PLAQUE</t>
  </si>
  <si>
    <t>FLOWERS AND BIRDS WALL PLAQUE</t>
  </si>
  <si>
    <t>WHITE 3 FRAME BIRDS AND TREE</t>
  </si>
  <si>
    <t>CANDY STRIPE ROSE C/COVER</t>
  </si>
  <si>
    <t>CANDY STRIPE ROSE QUILT</t>
  </si>
  <si>
    <t>WHITE NEWBAROQUE CANDLESTICK CANDLE</t>
  </si>
  <si>
    <t>84625D</t>
  </si>
  <si>
    <t>BLUE NEW BAROQUE CANDLESTICK CANDLE</t>
  </si>
  <si>
    <t>84625C</t>
  </si>
  <si>
    <t>BLCK NEW BAROQUE CANDLESTICK CANDLE</t>
  </si>
  <si>
    <t>84625B</t>
  </si>
  <si>
    <t>PINK NEW BAROQUECANDLESTICK CANDLE</t>
  </si>
  <si>
    <t>84625A</t>
  </si>
  <si>
    <t>PINK GINGHAM ROSE FLOOR CUSHION</t>
  </si>
  <si>
    <t>PINK GINGHAM ROSE CUSHION COVER</t>
  </si>
  <si>
    <t>BLUE GINGHAM ROSE FLOOR CUSHION</t>
  </si>
  <si>
    <t>BLUE GINGHAM ROSE CUSHION COVER</t>
  </si>
  <si>
    <t>BLUE GINGHAM ROSE QUILT</t>
  </si>
  <si>
    <t>NEW BAROQUE BLACK BOXES</t>
  </si>
  <si>
    <t>SILVER ROCCOCO CHANDELIER</t>
  </si>
  <si>
    <t>PINK ROUND BUTTERFLY MIRROR</t>
  </si>
  <si>
    <t>BLUE BAROQUE FLOCK CANDLE HOLDER</t>
  </si>
  <si>
    <t>84614C</t>
  </si>
  <si>
    <t>PINK BAROQUE FLOCK CANDLE HOLDER</t>
  </si>
  <si>
    <t>84614A</t>
  </si>
  <si>
    <t>BLUE NEW BAROQUE FLOCK CANDLESTICK</t>
  </si>
  <si>
    <t>84613C</t>
  </si>
  <si>
    <t>PINK NEW BAROQUE FLOCK CANDLESTICK</t>
  </si>
  <si>
    <t>84613A</t>
  </si>
  <si>
    <t>SET/4 BLACK  BAROQUE FLOCK COASTER</t>
  </si>
  <si>
    <t>84612B</t>
  </si>
  <si>
    <t>BLACK NEW BAROQUE FLOCK BOX</t>
  </si>
  <si>
    <t>84611B</t>
  </si>
  <si>
    <t>TALL ROCOCO CANDLE HOLDER</t>
  </si>
  <si>
    <t>ORNATE EDWARDIAN CANDLE HOLDER</t>
  </si>
  <si>
    <t>NEW BAROQUE IVORY CUSHION COVER</t>
  </si>
  <si>
    <t>84601A</t>
  </si>
  <si>
    <t>NEW BAROQUE JEWELLERY BOX</t>
  </si>
  <si>
    <t>CANDY STRIPE ROSE FLOOR CUSHION</t>
  </si>
  <si>
    <t>BOYS ALPHABET IRON ON PATCHES</t>
  </si>
  <si>
    <t>RETRO PINK BALL ASHTRAY</t>
  </si>
  <si>
    <t>84597C</t>
  </si>
  <si>
    <t>RETRO BROWN BALL ASHTRAY</t>
  </si>
  <si>
    <t>84597B</t>
  </si>
  <si>
    <t>BISCUITS SMALL BOWL LIGHT BLUE</t>
  </si>
  <si>
    <t>84596l</t>
  </si>
  <si>
    <t>MIXED NUTS LIGHT GREEN BOWL</t>
  </si>
  <si>
    <t>84596j</t>
  </si>
  <si>
    <t>SMALL CHOCOLATES PINK BOWL</t>
  </si>
  <si>
    <t>84596g</t>
  </si>
  <si>
    <t>SMALL MARSHMALLOWS PINK BOWL</t>
  </si>
  <si>
    <t>84596f</t>
  </si>
  <si>
    <t>SMALL LICORICE DES PINK BOWL</t>
  </si>
  <si>
    <t>84596e</t>
  </si>
  <si>
    <t>SMALL DOLLY MIX DESIGN ORANGE BOWL</t>
  </si>
  <si>
    <t>84596b</t>
  </si>
  <si>
    <t>84596L</t>
  </si>
  <si>
    <t>JELLY BABIES YELLOW SMALL BOWL</t>
  </si>
  <si>
    <t>84596K</t>
  </si>
  <si>
    <t>84596J</t>
  </si>
  <si>
    <t>WRAP SWEETS LIGHT PINK SMALL BOWL</t>
  </si>
  <si>
    <t>84596I</t>
  </si>
  <si>
    <t>84596G</t>
  </si>
  <si>
    <t>84596F</t>
  </si>
  <si>
    <t>84596E</t>
  </si>
  <si>
    <t>84596B</t>
  </si>
  <si>
    <t>LARGE TORTILLA DESIGN RED BOWL</t>
  </si>
  <si>
    <t>84595E</t>
  </si>
  <si>
    <t>LARGE TRIFLE DESIGN L BLUE BOWL</t>
  </si>
  <si>
    <t>84595B</t>
  </si>
  <si>
    <t>CROCHET ROSE DES CLOTHES HANGER</t>
  </si>
  <si>
    <t>CROCHET ROSE PURSE WITH SUEDE BACK</t>
  </si>
  <si>
    <t>PINK ROSES/GINGHAM PATCH RABBIT 8"</t>
  </si>
  <si>
    <t>84586L</t>
  </si>
  <si>
    <t>PINK GINGHAM CAT WITH SCARF</t>
  </si>
  <si>
    <t>PINK CROCHET CAT WITH SCARF</t>
  </si>
  <si>
    <t>DOG TOY WITH PINK CROCHET SKIRT</t>
  </si>
  <si>
    <t>MOUSE TOY WITH PINK T-SHIRT</t>
  </si>
  <si>
    <t>ELEPHANT TOY WITH BLUE T-SHIRT</t>
  </si>
  <si>
    <t>BLUE CAT BISCUIT BARREL PINK HEART</t>
  </si>
  <si>
    <t>BROWN DOG CANNISTER W BONE</t>
  </si>
  <si>
    <t>84575B</t>
  </si>
  <si>
    <t>PINK DOG CANNISTER</t>
  </si>
  <si>
    <t>84575A</t>
  </si>
  <si>
    <t>6 HOOK JEWEL STAND LILAC DRESS</t>
  </si>
  <si>
    <t>WHITE SATIN DRESS JEWEL STAND</t>
  </si>
  <si>
    <t>84570B</t>
  </si>
  <si>
    <t>PACK 6 HEART/ICE-CREAM PATCHES</t>
  </si>
  <si>
    <t>84569D</t>
  </si>
  <si>
    <t>PACK 4 FLOWER/BUTTERFLY PATCHES</t>
  </si>
  <si>
    <t>84569C</t>
  </si>
  <si>
    <t>PACK 3 FIRE ENGINE/CAR PATCHES</t>
  </si>
  <si>
    <t>84569B</t>
  </si>
  <si>
    <t>PACK 3 IRON ON DOG PATCHES</t>
  </si>
  <si>
    <t>84569A</t>
  </si>
  <si>
    <t>GIRLS ALPHABET IRON ON PATCHES</t>
  </si>
  <si>
    <t>FROSTED GLASS WITH SILVER SURROUND</t>
  </si>
  <si>
    <t>6 SEGMENT COLOURED SNACK BOWL</t>
  </si>
  <si>
    <t>BLUE &amp; WHITE BREAKFAST TRAY</t>
  </si>
  <si>
    <t>84563B</t>
  </si>
  <si>
    <t>PINK &amp; WHITE BREAKFAST TRAY</t>
  </si>
  <si>
    <t>84563A</t>
  </si>
  <si>
    <t>BLUE/WHITE RIBBED MELAMINE JUG</t>
  </si>
  <si>
    <t>84562B</t>
  </si>
  <si>
    <t>PINK/WHITE RIBBED MELAMINE JUG</t>
  </si>
  <si>
    <t>84562A</t>
  </si>
  <si>
    <t>3D SHEET OF SEA WORLD STICKERS</t>
  </si>
  <si>
    <t>84559d</t>
  </si>
  <si>
    <t>3D SHEET OF CAT STICKERS</t>
  </si>
  <si>
    <t>84559b</t>
  </si>
  <si>
    <t>3D SHEET OF DOG STICKERS</t>
  </si>
  <si>
    <t>84559a</t>
  </si>
  <si>
    <t>84559D</t>
  </si>
  <si>
    <t>84559B</t>
  </si>
  <si>
    <t>84559A</t>
  </si>
  <si>
    <t>3D DOG PICTURE PLAYING CARDS</t>
  </si>
  <si>
    <t>84558a</t>
  </si>
  <si>
    <t>84558A</t>
  </si>
  <si>
    <t>YELLOW VW BEETLE CERAMIC MONEY BOX</t>
  </si>
  <si>
    <t>84555A</t>
  </si>
  <si>
    <t>CROCHET DOG KEYRING</t>
  </si>
  <si>
    <t>CROCHET LILAC/RED BEAR KEYRING</t>
  </si>
  <si>
    <t>CROCHET WHITE RABBIT KEYRING</t>
  </si>
  <si>
    <t>CROCHET BEAR RED/BLUE  KEYRING</t>
  </si>
  <si>
    <t>CROCHET POODLE KEYRING</t>
  </si>
  <si>
    <t>KNITTED RABBIT DOLL</t>
  </si>
  <si>
    <t>FAIRY CAKES GIFT BAG</t>
  </si>
  <si>
    <t>84537B</t>
  </si>
  <si>
    <t>FAIRY CAKES NOTEBOOK A7 SIZE</t>
  </si>
  <si>
    <t>84536b</t>
  </si>
  <si>
    <t>ENGLISH ROSE NOTEBOOK A7 SIZE</t>
  </si>
  <si>
    <t>84536a</t>
  </si>
  <si>
    <t>84536B</t>
  </si>
  <si>
    <t>84536A</t>
  </si>
  <si>
    <t>FAIRY CAKES NOTEBOOK A6 SIZE</t>
  </si>
  <si>
    <t>84535B</t>
  </si>
  <si>
    <t>ENGLISH ROSE NOTEBOOK A6 SIZE</t>
  </si>
  <si>
    <t>84535A</t>
  </si>
  <si>
    <t>FAIRY CAKE NOTEBOOK A5 SIZE</t>
  </si>
  <si>
    <t>84534b</t>
  </si>
  <si>
    <t>84534B</t>
  </si>
  <si>
    <t>FAIRY CAKES ROUND NESTING BOXES</t>
  </si>
  <si>
    <t>84533B</t>
  </si>
  <si>
    <t>FAIRY CAKES RECTANGLUAR BOXES</t>
  </si>
  <si>
    <t>84532B</t>
  </si>
  <si>
    <t>BLUE KNITTED EGG COSY</t>
  </si>
  <si>
    <t>84531B</t>
  </si>
  <si>
    <t>PINK KNITTED EGG COSY</t>
  </si>
  <si>
    <t>84531A</t>
  </si>
  <si>
    <t>YELLOW KNITTED KIDS RUCKSACK</t>
  </si>
  <si>
    <t>84529C</t>
  </si>
  <si>
    <t>BLUE KNITTED KID'S RUCKSACK</t>
  </si>
  <si>
    <t>84529B</t>
  </si>
  <si>
    <t>PINK KNITTED KIDS RUCKSACK</t>
  </si>
  <si>
    <t>84529A</t>
  </si>
  <si>
    <t>FLAMES SUNGLASSES PINK LENSES</t>
  </si>
  <si>
    <t>GIANT BLACK SUNGLASSES</t>
  </si>
  <si>
    <t>PINK PARTY SUNGLASSES</t>
  </si>
  <si>
    <t>PACK 20 ENGLISH ROSE PAPER NAPKINS</t>
  </si>
  <si>
    <t>84520b</t>
  </si>
  <si>
    <t>PACK OF 20 FAIRY CAKE PAPER NAPKINS</t>
  </si>
  <si>
    <t>84520D</t>
  </si>
  <si>
    <t>84520B</t>
  </si>
  <si>
    <t>CARROT CHARLIE+LOLA COASTER SET</t>
  </si>
  <si>
    <t>84519B</t>
  </si>
  <si>
    <t>TOMATO CHARLIE+LOLA COASTER SET</t>
  </si>
  <si>
    <t>84519A</t>
  </si>
  <si>
    <t>SET OF 4 GREEN CAROUSEL COASTERS</t>
  </si>
  <si>
    <t>84510e</t>
  </si>
  <si>
    <t>SET OF 4 POLKADOTS COASTERS</t>
  </si>
  <si>
    <t>84510c</t>
  </si>
  <si>
    <t>SET OF 4 FAIRY CAKES COASTERS</t>
  </si>
  <si>
    <t>84510b</t>
  </si>
  <si>
    <t>SET OF 4 ENGLISH ROSE COASTERS</t>
  </si>
  <si>
    <t>84510a</t>
  </si>
  <si>
    <t>SET OF 4 NEW ENGLAND COASTERS</t>
  </si>
  <si>
    <t>84510F</t>
  </si>
  <si>
    <t>84510E</t>
  </si>
  <si>
    <t>84510C</t>
  </si>
  <si>
    <t>84510B</t>
  </si>
  <si>
    <t>84510A</t>
  </si>
  <si>
    <t>SET OF 4 FAIRY CAKE PLACEMATS</t>
  </si>
  <si>
    <t>84509g</t>
  </si>
  <si>
    <t>SET OF 4 CAROUSEL PLACEMATS</t>
  </si>
  <si>
    <t>84509e</t>
  </si>
  <si>
    <t>DOTTY PLACEMATS</t>
  </si>
  <si>
    <t>84509c</t>
  </si>
  <si>
    <t>84509b</t>
  </si>
  <si>
    <t>ENGLISH ROSE PLACEMATS</t>
  </si>
  <si>
    <t>84509a</t>
  </si>
  <si>
    <t>FAIRY CAKE PLACEMATS</t>
  </si>
  <si>
    <t>84509G</t>
  </si>
  <si>
    <t>NEW ENGLAND PLACEMATS</t>
  </si>
  <si>
    <t>84509F</t>
  </si>
  <si>
    <t>CAROUSEL PLACEMATS</t>
  </si>
  <si>
    <t>84509E</t>
  </si>
  <si>
    <t>84509C</t>
  </si>
  <si>
    <t>84509B</t>
  </si>
  <si>
    <t>84509A</t>
  </si>
  <si>
    <t>BLUE CIRCLES DESIGN TEDDY</t>
  </si>
  <si>
    <t>84508C</t>
  </si>
  <si>
    <t>STRIPES DESIGN TEDDY</t>
  </si>
  <si>
    <t>84508B</t>
  </si>
  <si>
    <t>CAMOFLAGE DESIGN TEDDY</t>
  </si>
  <si>
    <t>84508A</t>
  </si>
  <si>
    <t>BLUE CIRCLES DESIGN MONKEY DOLL</t>
  </si>
  <si>
    <t>84507C</t>
  </si>
  <si>
    <t>STRIPES DESIGN MONKEY DOLL</t>
  </si>
  <si>
    <t>84507B</t>
  </si>
  <si>
    <t>BLACK FLOWER CANDLE PLATE</t>
  </si>
  <si>
    <t>BUTTONS AND STRIPES NOTEBOOK</t>
  </si>
  <si>
    <t>BLUE/PINK NEST STRIPE BOX</t>
  </si>
  <si>
    <t>BUTTONS DESIGN JEWELLERY BOX</t>
  </si>
  <si>
    <t>PINK AND LILAC QUILTED THROW</t>
  </si>
  <si>
    <t>ROSE DES PADDED FLOOR CUSHION</t>
  </si>
  <si>
    <t>ENGLISH ROSE DESIGN QUILTED THROW</t>
  </si>
  <si>
    <t>TOP SECRET PEN SET</t>
  </si>
  <si>
    <t>15 PINK FLUFFY CHICKS IN BOX</t>
  </si>
  <si>
    <t>S/60 PINK FLUFFY CHICKS IN BOX</t>
  </si>
  <si>
    <t>3 PINK HEN+CHICKS IN BASKET</t>
  </si>
  <si>
    <t>12 PINK HEN+CHICKS IN BASKET</t>
  </si>
  <si>
    <t>YELLOW METAL CHICKEN HEART</t>
  </si>
  <si>
    <t>84459B</t>
  </si>
  <si>
    <t>PINK METAL CHICKEN HEART</t>
  </si>
  <si>
    <t>84459A</t>
  </si>
  <si>
    <t>S/3 RABBIT FLOWER/EGG/CARROT ROPE</t>
  </si>
  <si>
    <t>SET/3 RABBITS FLOWER SKIPPPING ROPE</t>
  </si>
  <si>
    <t>SET OF 3 RABBIT EGG EASTER</t>
  </si>
  <si>
    <t>SET OF 3 RABBIT CARROTS EASTER</t>
  </si>
  <si>
    <t>WOBBLING METAL CHICKEN EASTER</t>
  </si>
  <si>
    <t>METAL RABBIT LADDER EASTER</t>
  </si>
  <si>
    <t>YELLOW RABBIT SAT EASTER</t>
  </si>
  <si>
    <t>84450B</t>
  </si>
  <si>
    <t>PINK RABBIT SITTING EASTER</t>
  </si>
  <si>
    <t>84450A</t>
  </si>
  <si>
    <t>6 RABBIT CHAIN EASTER</t>
  </si>
  <si>
    <t>S/6 PINK EASTER DECS IN BOX</t>
  </si>
  <si>
    <t>84437A</t>
  </si>
  <si>
    <t>MEDIUM PINK BUDDHA HEAD</t>
  </si>
  <si>
    <t>84429A</t>
  </si>
  <si>
    <t>BLACK GLASS TV DOUBLE P/FRAME 15X10</t>
  </si>
  <si>
    <t>84427B</t>
  </si>
  <si>
    <t>WHITE GLASS TV TRIPLE FRAME</t>
  </si>
  <si>
    <t>84425A</t>
  </si>
  <si>
    <t>FOUR PICTURE WHITE GLASS FRAME</t>
  </si>
  <si>
    <t>84424A</t>
  </si>
  <si>
    <t>PINK/BLUE DISC/MIRROR STRING</t>
  </si>
  <si>
    <t>BLUE FLOCK CUSHION COVER</t>
  </si>
  <si>
    <t>84415B</t>
  </si>
  <si>
    <t>PINK FLOCK SUEDE CUSHION COVER</t>
  </si>
  <si>
    <t>84415A</t>
  </si>
  <si>
    <t>FUSCHIA/GREEN STRIPE WOOLLY BLANKET</t>
  </si>
  <si>
    <t>84414B</t>
  </si>
  <si>
    <t>CREAM CUPID HEARTS COAT HANGER</t>
  </si>
  <si>
    <t>84406b</t>
  </si>
  <si>
    <t>84406B</t>
  </si>
  <si>
    <t>S/3 PINK COL METAL BASKET W HANDLE</t>
  </si>
  <si>
    <t>84405A</t>
  </si>
  <si>
    <t>PINK DRESS JEWELLERY STAND</t>
  </si>
  <si>
    <t>84402D</t>
  </si>
  <si>
    <t>PURPLE DRESS JEWELLERY STAND</t>
  </si>
  <si>
    <t>84402B</t>
  </si>
  <si>
    <t>6 HOOK JEWELLERY STAND BLACK DRESS</t>
  </si>
  <si>
    <t>WISE MAN STAR SHAPE EGG PAN</t>
  </si>
  <si>
    <t>BIRD ON BRANCH CANVAS SCREEN</t>
  </si>
  <si>
    <t>84387A</t>
  </si>
  <si>
    <t>SET OF 3 BUTTERFLY COOKIE CUTTERS</t>
  </si>
  <si>
    <t>SET OF 3 HEART COOKIE CUTTERS</t>
  </si>
  <si>
    <t>SET OF 20 KIDS COOKIE CUTTERS</t>
  </si>
  <si>
    <t>BIG PINK POODLE</t>
  </si>
  <si>
    <t>LA STREGA CANVAS PICTURE</t>
  </si>
  <si>
    <t>VENDETTA CANVAS PICTURE</t>
  </si>
  <si>
    <t>TABLE LAMP WHITE SHADE WOOD BASE</t>
  </si>
  <si>
    <t>FLOOR LAMP SHADE WOOD BASE</t>
  </si>
  <si>
    <t>POMPOM CURTAIN</t>
  </si>
  <si>
    <t>SILVER CHRISTMAS TREE BAUBLE STAND</t>
  </si>
  <si>
    <t>ROTATING SILVER ANGELS T-LIGHT HLDR</t>
  </si>
  <si>
    <t>SMALL PINK MAGIC CHRISTMAS TREE</t>
  </si>
  <si>
    <t>84341B</t>
  </si>
  <si>
    <t>LARGE FIBRE OPTIC CHRISTMAS TREE</t>
  </si>
  <si>
    <t>PINK JUMPER LARRY THE LAMB</t>
  </si>
  <si>
    <t>84327A</t>
  </si>
  <si>
    <t>ORANGE TV TRAY TABLE</t>
  </si>
  <si>
    <t>84313C</t>
  </si>
  <si>
    <t>BLUE TV TRAY TABLE</t>
  </si>
  <si>
    <t>84313B</t>
  </si>
  <si>
    <t>PINK TV TRAY TABLE</t>
  </si>
  <si>
    <t>84313A</t>
  </si>
  <si>
    <t>CAMOFLAGE CUSHION COVER</t>
  </si>
  <si>
    <t>S/3 PINK SQUARE PLANTERS ROSES</t>
  </si>
  <si>
    <t>BLUE COL METAL FOLDING CHAIR</t>
  </si>
  <si>
    <t>84292B</t>
  </si>
  <si>
    <t>ROSE PINK METAL FOLDING CHAIR</t>
  </si>
  <si>
    <t>SET/2 BLUE  NOODLE BASKETS</t>
  </si>
  <si>
    <t>84288B</t>
  </si>
  <si>
    <t>CHERRY BLOSSOM  DECORATIVE FLASK</t>
  </si>
  <si>
    <t>84279P</t>
  </si>
  <si>
    <t>CHERRY BLOSSOM DECORATIVE FLASK</t>
  </si>
  <si>
    <t>84279B</t>
  </si>
  <si>
    <t>ASSTD DESIGN BUBBLE GUM RING</t>
  </si>
  <si>
    <t>ORANGE COCKTAIL GLASS LAMP</t>
  </si>
  <si>
    <t>84255B</t>
  </si>
  <si>
    <t>PINK GLASS COCKTAIL LAMP</t>
  </si>
  <si>
    <t>84255A</t>
  </si>
  <si>
    <t>GREETING CARD, THE BLACK CAT</t>
  </si>
  <si>
    <t>84251J</t>
  </si>
  <si>
    <t>GREETING CARD, OVERCROWDED POOL.</t>
  </si>
  <si>
    <t>84251G</t>
  </si>
  <si>
    <t>GREETING CARD, RITA</t>
  </si>
  <si>
    <t>84251F</t>
  </si>
  <si>
    <t>GREETING CARD, TWO SISTERS.</t>
  </si>
  <si>
    <t>84251C</t>
  </si>
  <si>
    <t>GREETING CARD, STICKY GORDON</t>
  </si>
  <si>
    <t>84251B</t>
  </si>
  <si>
    <t>GREETING CARD, BLACKPOOL ROCK</t>
  </si>
  <si>
    <t>84250M</t>
  </si>
  <si>
    <t>FAIRY CAKE GREETINGS CARD</t>
  </si>
  <si>
    <t>84249D</t>
  </si>
  <si>
    <t>GREETING CARD,SQUARE, DOUGHNUTS</t>
  </si>
  <si>
    <t>84249A</t>
  </si>
  <si>
    <t>PACK/12 BLUE FOLKART CARDS</t>
  </si>
  <si>
    <t>84247N</t>
  </si>
  <si>
    <t>FAWN AND MUSHROOM GREETING CARD</t>
  </si>
  <si>
    <t>84247L</t>
  </si>
  <si>
    <t>FOLK ART GREETING CARD,pack/12</t>
  </si>
  <si>
    <t>84247K</t>
  </si>
  <si>
    <t>PACK/12 RUSSIAN DOLL CARDS</t>
  </si>
  <si>
    <t>84247J</t>
  </si>
  <si>
    <t>PACK/12 DECOUPAGE CARD</t>
  </si>
  <si>
    <t>84247H</t>
  </si>
  <si>
    <t>DECOUPAGE,GREETING CARD,</t>
  </si>
  <si>
    <t>84247G</t>
  </si>
  <si>
    <t>PACK/12 XMAS FUN CARD</t>
  </si>
  <si>
    <t>84247E</t>
  </si>
  <si>
    <t>PACK/12 BLUE REINDEER CARD</t>
  </si>
  <si>
    <t>84247C</t>
  </si>
  <si>
    <t>EASTER BUNNY WITH BASKET ON BACK</t>
  </si>
  <si>
    <t>HEN HOUSE W CHICK STANDING</t>
  </si>
  <si>
    <t>HEN HOUSE W CHICK IN NEST</t>
  </si>
  <si>
    <t>HEN HOUSE W FAMILY IN BARN &amp; NEST</t>
  </si>
  <si>
    <t>BOX/12 MOTHER &amp; CHICK IN BASKET/BOW</t>
  </si>
  <si>
    <t>BOX/12 CHICK &amp; EGG IN BASKET</t>
  </si>
  <si>
    <t>ASSORTED FLOWER COLOUR "LEIS"</t>
  </si>
  <si>
    <t>CHAMPAGNE TRAY BLANK CARD</t>
  </si>
  <si>
    <t>84206C</t>
  </si>
  <si>
    <t>CAT W SUNGLASSES BLANK CARD</t>
  </si>
  <si>
    <t>84206B</t>
  </si>
  <si>
    <t>3 BLACK CATS W HEARTS BLANK CARD</t>
  </si>
  <si>
    <t>84206A</t>
  </si>
  <si>
    <t>HAPPY BIRTHDAY GINGER CAT CARD</t>
  </si>
  <si>
    <t>84205C</t>
  </si>
  <si>
    <t>HAPPY BIRTHDAY CARD TEDDY/CAKE</t>
  </si>
  <si>
    <t>84201C</t>
  </si>
  <si>
    <t>HAPPY BIRTHDAY CARD STRIPEY TEDDY</t>
  </si>
  <si>
    <t>84201B</t>
  </si>
  <si>
    <t>GLOW IN DARK DOLPHINS</t>
  </si>
  <si>
    <t>ASSORTED COLOUR METAL CAT</t>
  </si>
  <si>
    <t>PINK/PURPLE RETRO RADIO</t>
  </si>
  <si>
    <t>84086C</t>
  </si>
  <si>
    <t>YELLOW/BLUE RETRO RADIO</t>
  </si>
  <si>
    <t>84086B</t>
  </si>
  <si>
    <t>WHITE CERAMIC PARTY SET (5PCS)</t>
  </si>
  <si>
    <t>SET/4 WHITE RETRO STORAGE CUBES</t>
  </si>
  <si>
    <t>84078A</t>
  </si>
  <si>
    <t>WORLD WAR 2 GLIDERS ASSTD DESIGNS</t>
  </si>
  <si>
    <t>ASS COLOUR GLOWING TIARAS</t>
  </si>
  <si>
    <t>PINK HEART SHAPE EGG FRYING PAN</t>
  </si>
  <si>
    <t>FLAG OF ST GEORGE</t>
  </si>
  <si>
    <t>CHARLIE + LOLA RED HOT WATER BOTTLE</t>
  </si>
  <si>
    <t>84032B</t>
  </si>
  <si>
    <t>CHARLIE+LOLA PINK HOT WATER BOTTLE</t>
  </si>
  <si>
    <t>84032A</t>
  </si>
  <si>
    <t>CHARLIE LOLA BLUE HOT WATER BOTTLE</t>
  </si>
  <si>
    <t>84031b</t>
  </si>
  <si>
    <t>CHARLIE+LOLA RED HOT WATER BOTTLE</t>
  </si>
  <si>
    <t>84031a</t>
  </si>
  <si>
    <t>84031B</t>
  </si>
  <si>
    <t>84031A</t>
  </si>
  <si>
    <t>ENGLISH ROSE HOT WATER BOTTLE</t>
  </si>
  <si>
    <t>84030e</t>
  </si>
  <si>
    <t>KNITTED RAINBOW HOT WATER BOTTLE</t>
  </si>
  <si>
    <t>84030c</t>
  </si>
  <si>
    <t>KNITTED POM POM HOT WATER BOTTLE</t>
  </si>
  <si>
    <t>84030b</t>
  </si>
  <si>
    <t>84030E</t>
  </si>
  <si>
    <t>84030C</t>
  </si>
  <si>
    <t>84030B</t>
  </si>
  <si>
    <t>BROWN FURRY HOT WATER BOTTLE</t>
  </si>
  <si>
    <t>84029c</t>
  </si>
  <si>
    <t>KNITTED UNION FLAG HOT WATER BOTTLE</t>
  </si>
  <si>
    <t>84029G</t>
  </si>
  <si>
    <t>RED WOOLLY HOTTIE WHITE HEART.</t>
  </si>
  <si>
    <t>84029E</t>
  </si>
  <si>
    <t>LEOPARD PRINT HOT WATER BOTTLE</t>
  </si>
  <si>
    <t>84029D</t>
  </si>
  <si>
    <t>84029C</t>
  </si>
  <si>
    <t>FLAG OF ST GEORGE CAR FLAG</t>
  </si>
  <si>
    <t>MAGIC SHEEP WOOL GROWING FROM PAPER</t>
  </si>
  <si>
    <t>MAGIC GARDEN MOUNT FUJI</t>
  </si>
  <si>
    <t>MAGIC TREE -PAPER FLOWERS</t>
  </si>
  <si>
    <t>MIDNIGHT GLAMOUR SCARF KNITTING KIT</t>
  </si>
  <si>
    <t>82616C</t>
  </si>
  <si>
    <t>FRAPPUCINO SCARF KNITTING KIT</t>
  </si>
  <si>
    <t>82616B</t>
  </si>
  <si>
    <t>BUBBLE GUM SCARF KNITTING KIT</t>
  </si>
  <si>
    <t>82616A</t>
  </si>
  <si>
    <t>PINK MARSHMALLOW SCARF KNITTING KIT</t>
  </si>
  <si>
    <t>METAL SIGN,CUPCAKE SINGLE HOOK</t>
  </si>
  <si>
    <t>82613c</t>
  </si>
  <si>
    <t>82613b</t>
  </si>
  <si>
    <t>82613a</t>
  </si>
  <si>
    <t>METAL SIGN CUPCAKE SINGLE HOOK</t>
  </si>
  <si>
    <t>82613D</t>
  </si>
  <si>
    <t>82613C</t>
  </si>
  <si>
    <t>82613B</t>
  </si>
  <si>
    <t>82613A</t>
  </si>
  <si>
    <t>GLASS BONBON JAR. D'AMANDES</t>
  </si>
  <si>
    <t>82607E</t>
  </si>
  <si>
    <t>GLASS BONBON JAR. SUPERFINES</t>
  </si>
  <si>
    <t>82607C</t>
  </si>
  <si>
    <t>GLASS BONBON JAR PARFUME AUX FLEURE</t>
  </si>
  <si>
    <t>82607A</t>
  </si>
  <si>
    <t>OLD DOC.RUSSEL METAL SIGN</t>
  </si>
  <si>
    <t>NO SINGING METAL SIGN</t>
  </si>
  <si>
    <t>FANNY'S REST STOPMETAL SIGN</t>
  </si>
  <si>
    <t>BOMBS AWAY METAL SIGN</t>
  </si>
  <si>
    <t>TEXRIO TOMATOES CANDLE+CUP</t>
  </si>
  <si>
    <t>SWEET VALENCIA CANDLE+CUP</t>
  </si>
  <si>
    <t>HOT BATHS METAL SIGN</t>
  </si>
  <si>
    <t>AREA PATROLLED METAL SIGN</t>
  </si>
  <si>
    <t>TOILET METAL SIGN</t>
  </si>
  <si>
    <t>BATHROOM METAL SIGN</t>
  </si>
  <si>
    <t>KITCHEN METAL SIGN</t>
  </si>
  <si>
    <t>AIRLINE LOUNGE,METAL SIGN</t>
  </si>
  <si>
    <t>POP'S GREASY SPOON METAL SIGN</t>
  </si>
  <si>
    <t>WASHROOM METAL SIGN</t>
  </si>
  <si>
    <t>LAUNDRY 15C METAL SIGN</t>
  </si>
  <si>
    <t>COGNAC AUX OEUFS METAL 1 HOOK</t>
  </si>
  <si>
    <t>82545A</t>
  </si>
  <si>
    <t>WOODEN FRAME ANTIQUE WHITE</t>
  </si>
  <si>
    <t>82494l</t>
  </si>
  <si>
    <t>82494L</t>
  </si>
  <si>
    <t>WOOD S/3 CABINET ANT WHITE FINISH</t>
  </si>
  <si>
    <t>WOOD BLACK BOARD ANT WHITE FINISH</t>
  </si>
  <si>
    <t>WOOD 2 DRAWER CABINET WHITE FINISH</t>
  </si>
  <si>
    <t>WOODEN PICTURE FRAME WHITE FINISH</t>
  </si>
  <si>
    <t>HEART BUTTONS JEWELLERY BOX</t>
  </si>
  <si>
    <t>HEART SHAPE BUTTON FRAME</t>
  </si>
  <si>
    <t>PINK HEARTS PHOTO ALBUM</t>
  </si>
  <si>
    <t>BEECH WOOD PHOTO FRAME</t>
  </si>
  <si>
    <t>WHITE WOOD SINGLE P/FRAME</t>
  </si>
  <si>
    <t>BEECH WOOD P/FRAME</t>
  </si>
  <si>
    <t>BATHROOM SCALES, FAG BREAK</t>
  </si>
  <si>
    <t>82011E</t>
  </si>
  <si>
    <t>BATHROOM SCALES FOOTPRINTS IN SAND</t>
  </si>
  <si>
    <t>82011C</t>
  </si>
  <si>
    <t>BATHROOM SCALES RUBBER DUCKS</t>
  </si>
  <si>
    <t>82011B</t>
  </si>
  <si>
    <t>BATHROOM SCALES, TROPICAL BEACH</t>
  </si>
  <si>
    <t>82011A</t>
  </si>
  <si>
    <t>VINYL RECORD FRAME SILVER</t>
  </si>
  <si>
    <t>82001s</t>
  </si>
  <si>
    <t>82001S</t>
  </si>
  <si>
    <t>ICON ALARM CLOCK,FUSCHIA  PIN UP</t>
  </si>
  <si>
    <t>81985A</t>
  </si>
  <si>
    <t>ROUND ARTICULATED PINK CLOCK W/SUCK</t>
  </si>
  <si>
    <t>81953P</t>
  </si>
  <si>
    <t>ROUND ARTICULATED BLUE CLOCK W/SUCK</t>
  </si>
  <si>
    <t>81953B</t>
  </si>
  <si>
    <t>ROUND PURPLE CLOCK W/SUCKER</t>
  </si>
  <si>
    <t>81952V</t>
  </si>
  <si>
    <t>ROUND BLUE CLOCK W/SUCKER</t>
  </si>
  <si>
    <t>81952B</t>
  </si>
  <si>
    <t>FLOWER PURPLE CLOCK W/SUCKER</t>
  </si>
  <si>
    <t>81950V</t>
  </si>
  <si>
    <t>FLOWER BLUE CLOCK W/SUCKER</t>
  </si>
  <si>
    <t>81950B</t>
  </si>
  <si>
    <t>MULTICOLOUR GLASS PLATE</t>
  </si>
  <si>
    <t>MOSAIC GLASS BALL CANDLEHOLDER</t>
  </si>
  <si>
    <t>GLASS WINE GLASS DECORATIONS</t>
  </si>
  <si>
    <t>FROSTED WHITE BASE</t>
  </si>
  <si>
    <t>BROWN FLOWER LIGHTS</t>
  </si>
  <si>
    <t>79342b</t>
  </si>
  <si>
    <t>79342B</t>
  </si>
  <si>
    <t>WILLOW BRANCH LIGHTS.</t>
  </si>
  <si>
    <t>DARK PINK FLOCK GLASS CANDLEHOLDER</t>
  </si>
  <si>
    <t>BLUE FLOCK GLASS CANDLEHOLDER</t>
  </si>
  <si>
    <t>LIGHT PINK FLOCK GLASS CANDLEHOLDER</t>
  </si>
  <si>
    <t>PINK FLOCK GLASS CANDLEHOLDER</t>
  </si>
  <si>
    <t>WHITE CHERRY LIGHTS</t>
  </si>
  <si>
    <t>79323W</t>
  </si>
  <si>
    <t>SILVER CHERRY LIGHTS</t>
  </si>
  <si>
    <t>79323S</t>
  </si>
  <si>
    <t>PINK CHERRY LIGHTS</t>
  </si>
  <si>
    <t>79323P</t>
  </si>
  <si>
    <t>LIGHT PINK CHERRY LIGHTS</t>
  </si>
  <si>
    <t>79323LP</t>
  </si>
  <si>
    <t>GREEN CHERRY LIGHTS</t>
  </si>
  <si>
    <t>79323GR</t>
  </si>
  <si>
    <t>GOLD  CHERRY LIGHTS</t>
  </si>
  <si>
    <t>79323G</t>
  </si>
  <si>
    <t>BLACK CHERRY LIGHTS</t>
  </si>
  <si>
    <t>79323B</t>
  </si>
  <si>
    <t>CHILLI LIGHTS</t>
  </si>
  <si>
    <t>FLAMINGO LIGHTS</t>
  </si>
  <si>
    <t>FLYING SAUCER TABLE LIGHT IN WHITE</t>
  </si>
  <si>
    <t>79315W</t>
  </si>
  <si>
    <t>MOSAIC CANDLE DISH BLUE PURPLE</t>
  </si>
  <si>
    <t>79308B</t>
  </si>
  <si>
    <t>LILAC FLOWER BLOCK TABLE LAMP</t>
  </si>
  <si>
    <t>79303D</t>
  </si>
  <si>
    <t>BLUE STAR BLOCK TABLE LAMP</t>
  </si>
  <si>
    <t>79303B</t>
  </si>
  <si>
    <t>WHITE ROHMBIC BLOCK TABLE LAMP</t>
  </si>
  <si>
    <t>79303A</t>
  </si>
  <si>
    <t>ART LIGHTS,FUNK MONKEY</t>
  </si>
  <si>
    <t>79302m</t>
  </si>
  <si>
    <t>79302M</t>
  </si>
  <si>
    <t>FEATHER HEART LIGHTS</t>
  </si>
  <si>
    <t>RETRO PLASTIC 70'S TRAY</t>
  </si>
  <si>
    <t>79192A</t>
  </si>
  <si>
    <t>RETRO PLASTIC DAISY TRAY</t>
  </si>
  <si>
    <t>79191D</t>
  </si>
  <si>
    <t>RETRO PLASTIC ELEPHANT TRAY</t>
  </si>
  <si>
    <t>79191C</t>
  </si>
  <si>
    <t>RETRO PLASTIC POLKA TRAY</t>
  </si>
  <si>
    <t>79191B</t>
  </si>
  <si>
    <t>79190D</t>
  </si>
  <si>
    <t>79190B</t>
  </si>
  <si>
    <t>79190A</t>
  </si>
  <si>
    <t>PURPLE TINT ACRYLIC FLOWER VASE</t>
  </si>
  <si>
    <t>79172D</t>
  </si>
  <si>
    <t>BLACK WINE GLASS</t>
  </si>
  <si>
    <t>BLACK CHAMPAGNE GLASS</t>
  </si>
  <si>
    <t>ST GEORGE SET OF 10 PARTY LIGHTS</t>
  </si>
  <si>
    <t>79161A</t>
  </si>
  <si>
    <t>HEART SHAPE WIRELESS DOORBELL</t>
  </si>
  <si>
    <t>UBO-LIGHT TRIOBASE PURPLE</t>
  </si>
  <si>
    <t>79157V</t>
  </si>
  <si>
    <t>UBO-LIGHT TRIOBASE BLUE</t>
  </si>
  <si>
    <t>79157B</t>
  </si>
  <si>
    <t>SILICON CUBE 25W, BLUE</t>
  </si>
  <si>
    <t>79151B</t>
  </si>
  <si>
    <t>SILICON STAR BULB  BLUE</t>
  </si>
  <si>
    <t>79149B</t>
  </si>
  <si>
    <t>PAINTED LIGHTBULB RAINBOW DESIGN</t>
  </si>
  <si>
    <t>79144C</t>
  </si>
  <si>
    <t>PAINTED LIGHTBULB STAR+ MOON</t>
  </si>
  <si>
    <t>79144B</t>
  </si>
  <si>
    <t>ASS WINDPROOF MARIJUANA LIGHTERS</t>
  </si>
  <si>
    <t>TEATIME CAKE TIN WITH HANDLE</t>
  </si>
  <si>
    <t>ENGLISH ROSE METAL WASTE BIN</t>
  </si>
  <si>
    <t>79071B</t>
  </si>
  <si>
    <t>ENGLISH ROSE SQUARE CAKE TINS</t>
  </si>
  <si>
    <t>79070b</t>
  </si>
  <si>
    <t>CORONA MEXICAN TRAY</t>
  </si>
  <si>
    <t>RETRO MOD TRAY</t>
  </si>
  <si>
    <t>79066k</t>
  </si>
  <si>
    <t>79066K</t>
  </si>
  <si>
    <t>TEATIME ROUND CAKE TINS</t>
  </si>
  <si>
    <t>79065A</t>
  </si>
  <si>
    <t>RETRO PILL BOX , REVOLUTIONARY</t>
  </si>
  <si>
    <t>79063D</t>
  </si>
  <si>
    <t>RETRO PILL BOX KEY CHAIN,THE KING</t>
  </si>
  <si>
    <t>79063C</t>
  </si>
  <si>
    <t>RETRO TIN ASHTRAY,REVOLUTIONARY</t>
  </si>
  <si>
    <t>79062D</t>
  </si>
  <si>
    <t>SMOKEY GREY COLOUR D.O.F. GLASS</t>
  </si>
  <si>
    <t>79051a</t>
  </si>
  <si>
    <t>79051A</t>
  </si>
  <si>
    <t>TUMBLER, NEW ENGLAND</t>
  </si>
  <si>
    <t>79030G</t>
  </si>
  <si>
    <t>TUMBLER, BAROQUE</t>
  </si>
  <si>
    <t>79030D</t>
  </si>
  <si>
    <t>TUMBLER, ENGLISH ROSE</t>
  </si>
  <si>
    <t>79030A</t>
  </si>
  <si>
    <t>GLASS HONEYPOT WASP CATCHER</t>
  </si>
  <si>
    <t>S/4 ICON COASTER,ELVIS LIVES</t>
  </si>
  <si>
    <t>79026B</t>
  </si>
  <si>
    <t>MOROCCAN TEA GLASS</t>
  </si>
  <si>
    <t>MAGAZINE RACK GEBRA ASSORTED</t>
  </si>
  <si>
    <t>CAMOUFLAGE BACKPACK ON WHEELS</t>
  </si>
  <si>
    <t>BLUE NETTING STORAGE HANGER</t>
  </si>
  <si>
    <t>78034B</t>
  </si>
  <si>
    <t>FLAG OF ST GEORGE CHAIR</t>
  </si>
  <si>
    <t>SEAGRASS S/2 CORNER LAUNDRY</t>
  </si>
  <si>
    <t>SEAGRASS S/3 SQU LAUNDRY BOX</t>
  </si>
  <si>
    <t>UNION FLAG WINDSOCK</t>
  </si>
  <si>
    <t>77101A</t>
  </si>
  <si>
    <t>FLOWER WINDMILL</t>
  </si>
  <si>
    <t>DOLPHIN WINDMILL</t>
  </si>
  <si>
    <t>ASSTD COL BUTTERFLY/CRYSTAL W/CHIME</t>
  </si>
  <si>
    <t>PAINTED SEA SHELL METAL WINDCHIME</t>
  </si>
  <si>
    <t>STRING CRYSTALS NATURAL</t>
  </si>
  <si>
    <t>75149N</t>
  </si>
  <si>
    <t>METAL TUBE CHIME ON BAMBOO</t>
  </si>
  <si>
    <t>LARGE CIRCULAR MIRROR MOBILE</t>
  </si>
  <si>
    <t>75049L</t>
  </si>
  <si>
    <t>STRING OF 8 BUTTERFLIES,PINK</t>
  </si>
  <si>
    <t>75013B</t>
  </si>
  <si>
    <t>BLUE DAISY MOBILE</t>
  </si>
  <si>
    <t>CUPID SCENTED CANDLE IN GLASS</t>
  </si>
  <si>
    <t>CUPID DESIGN SCENTED CANDLES</t>
  </si>
  <si>
    <t>CHRISTMAS DECOUPAGE CANDLE</t>
  </si>
  <si>
    <t>SET/2 CHRISTMAS DECOUPAGE CANDLES</t>
  </si>
  <si>
    <t>SET/3 CHRISTMAS DECOUPAGE CANDLES</t>
  </si>
  <si>
    <t>3 WICK CHRISTMAS BRIAR CANDLE</t>
  </si>
  <si>
    <t>SET/3 CHRISTMAS BRIAR CANDLES</t>
  </si>
  <si>
    <t>LARGE ZINC/GLASS CANDLEHOLDER</t>
  </si>
  <si>
    <t>SMALL ZINC/GLASS CANDLEHOLDER</t>
  </si>
  <si>
    <t>SET/3 VANILLA SCENTED CANDLE IN BOX</t>
  </si>
  <si>
    <t>72807c</t>
  </si>
  <si>
    <t>SET/3 OCEAN SCENT CANDLE JEWEL BOX</t>
  </si>
  <si>
    <t>72807b</t>
  </si>
  <si>
    <t>SET/3 ROSE CANDLE IN JEWELLED BOX</t>
  </si>
  <si>
    <t>72807a</t>
  </si>
  <si>
    <t>72807C</t>
  </si>
  <si>
    <t>72807B</t>
  </si>
  <si>
    <t>72807A</t>
  </si>
  <si>
    <t>VANILLA CANDLE IN EMBOSSED ZINC POT</t>
  </si>
  <si>
    <t>OCEAN SCENT CANDLE JEWELLED DRAWER</t>
  </si>
  <si>
    <t>72803b</t>
  </si>
  <si>
    <t>72803B</t>
  </si>
  <si>
    <t>ROSE SCENT CANDLE JEWELLED DRAWER</t>
  </si>
  <si>
    <t>72803A</t>
  </si>
  <si>
    <t>VANILLA SCENT CANDLE JEWELLED BOX</t>
  </si>
  <si>
    <t>72802c</t>
  </si>
  <si>
    <t>ROSE SCENT CANDLE IN JEWELLED BOX</t>
  </si>
  <si>
    <t>72802a</t>
  </si>
  <si>
    <t>72802C</t>
  </si>
  <si>
    <t>OCEAN SCENT CANDLE IN JEWELLED BOX</t>
  </si>
  <si>
    <t>72802B</t>
  </si>
  <si>
    <t>72802A</t>
  </si>
  <si>
    <t>S/4 BURGUNDY WINE DINNER CANDLES</t>
  </si>
  <si>
    <t>72801g</t>
  </si>
  <si>
    <t>S/4 FESTIVE GREEN DINNER CANDLES</t>
  </si>
  <si>
    <t>72801e</t>
  </si>
  <si>
    <t>S/4 SKY BLUE DINNER CANDLES</t>
  </si>
  <si>
    <t>72801d</t>
  </si>
  <si>
    <t>S/4 ROSE PINK DINNER CANDLES</t>
  </si>
  <si>
    <t>72801c</t>
  </si>
  <si>
    <t>72801G</t>
  </si>
  <si>
    <t>S/4 FESTIVE RED DINNER CANDLES</t>
  </si>
  <si>
    <t>72801F</t>
  </si>
  <si>
    <t>72801E</t>
  </si>
  <si>
    <t>72801D</t>
  </si>
  <si>
    <t>72801C</t>
  </si>
  <si>
    <t>4 IVORY DINNER CANDLES GOLD FLOCK</t>
  </si>
  <si>
    <t>72800F</t>
  </si>
  <si>
    <t>4 IVORY DINNER CANDLES SILVER FLOCK</t>
  </si>
  <si>
    <t>72800E</t>
  </si>
  <si>
    <t>S/4 BLUE DINNER CANDLE SILVER FLOCK</t>
  </si>
  <si>
    <t>72800D</t>
  </si>
  <si>
    <t>S/4 PINK DINNER CANDLE SILVER FLOCK</t>
  </si>
  <si>
    <t>72800C</t>
  </si>
  <si>
    <t>S/4 PURPLE DINNER CANDLE BLK FLOCK</t>
  </si>
  <si>
    <t>72800B</t>
  </si>
  <si>
    <t>S/4 BLACK DINNER CANDLE SILVER FLOC</t>
  </si>
  <si>
    <t>72800A</t>
  </si>
  <si>
    <t>IVORY PILLAR CANDLE GOLD FLOCK</t>
  </si>
  <si>
    <t>72799F</t>
  </si>
  <si>
    <t>IVORY PILLAR CANDLE SILVER FLOCK</t>
  </si>
  <si>
    <t>72799E</t>
  </si>
  <si>
    <t>BLUE PILLAR CANDLE SILVER FLOCK</t>
  </si>
  <si>
    <t>72799D</t>
  </si>
  <si>
    <t>PINK PILLAR CANDLE SILVER FLOCK</t>
  </si>
  <si>
    <t>72799C</t>
  </si>
  <si>
    <t>PURPLE PILLAR CANDLE BLACK FLOCK</t>
  </si>
  <si>
    <t>72799B</t>
  </si>
  <si>
    <t>BLACK PILLAR CANDLE SILVER FLOCK</t>
  </si>
  <si>
    <t>72799A</t>
  </si>
  <si>
    <t>SET/4 GARDEN ROSE DINNER CANDLE</t>
  </si>
  <si>
    <t>72798C</t>
  </si>
  <si>
    <t>S/3 ROSE GARDEN SCENT SQU CANDLE</t>
  </si>
  <si>
    <t>72796C</t>
  </si>
  <si>
    <t>S/3 FRENCH VANILLA SQU CANDLE</t>
  </si>
  <si>
    <t>72796B</t>
  </si>
  <si>
    <t>S/3 ENGLISH LAVENDER SQU CANDLE</t>
  </si>
  <si>
    <t>72796A</t>
  </si>
  <si>
    <t>BLACK BOX MIRROR LANTERN</t>
  </si>
  <si>
    <t>BASKET/8 SCENTED LOVE TOKEN CANDLES</t>
  </si>
  <si>
    <t>S/4 CONTEMPORY RED ROSEBUD CANDLES</t>
  </si>
  <si>
    <t>72785B</t>
  </si>
  <si>
    <t>S/4 CONTEMPORY PINK ROSEBUD CANDLES</t>
  </si>
  <si>
    <t>72785A</t>
  </si>
  <si>
    <t>BLACK SIL'T SQU CANDLE PLATE</t>
  </si>
  <si>
    <t>BLACK SILOUETTE CANDLE PLATE</t>
  </si>
  <si>
    <t>SET/6 BLACK ROSE T-LIGHT CANDLES</t>
  </si>
  <si>
    <t>SET/4 SCENTED CANDLES IN RAMEKINS</t>
  </si>
  <si>
    <t>BLACK FLOCK GOLD CANDLE</t>
  </si>
  <si>
    <t>72771C</t>
  </si>
  <si>
    <t>BURG FLOCK GOLD CUP/CANDLE</t>
  </si>
  <si>
    <t>72771B</t>
  </si>
  <si>
    <t>VINTAGE CREAM 3 BASKET CAKE STAND</t>
  </si>
  <si>
    <t>72760B</t>
  </si>
  <si>
    <t>FAIRY CAKE CANDLES</t>
  </si>
  <si>
    <t>FLOWER FAIRY OIL BURNER SET SUMMER</t>
  </si>
  <si>
    <t>72755D</t>
  </si>
  <si>
    <t>FLOWER FAIRY OIL BURNER SET ROSE</t>
  </si>
  <si>
    <t>72755C</t>
  </si>
  <si>
    <t>F FAIRY POTPOURRI CUSHIONS SUMMER</t>
  </si>
  <si>
    <t>72754D</t>
  </si>
  <si>
    <t>F FAIRY POTPOURRI CUSHIONS LAVENDER</t>
  </si>
  <si>
    <t>72754B</t>
  </si>
  <si>
    <t>FLOWER FAIRY POTPOURRI CUSHION LILY</t>
  </si>
  <si>
    <t>72754A</t>
  </si>
  <si>
    <t>S/3 FLWR FAIRY SUMMER CANDLES</t>
  </si>
  <si>
    <t>72753D</t>
  </si>
  <si>
    <t>S/3 FLWR FAIRY ROSE CANDLES</t>
  </si>
  <si>
    <t>72753C</t>
  </si>
  <si>
    <t>S/3 FLWR FAIRY LAVENDER CANDLES</t>
  </si>
  <si>
    <t>72753B</t>
  </si>
  <si>
    <t>S/3 FLWR FAIRY LILLY CANDLES</t>
  </si>
  <si>
    <t>72753A</t>
  </si>
  <si>
    <t>F.FAIRY,CANDLE IN GLASS,LAVENDER</t>
  </si>
  <si>
    <t>72752B</t>
  </si>
  <si>
    <t>F.FAIRY,CANDLE IN GLASS,LILY/VALLEY</t>
  </si>
  <si>
    <t>72752A</t>
  </si>
  <si>
    <t>F.FAIRY S/3 SML CANDLE, ROSE</t>
  </si>
  <si>
    <t>72751C</t>
  </si>
  <si>
    <t>F.FAIRY S/3 SML CANDLE, LAVENDER</t>
  </si>
  <si>
    <t>72751B</t>
  </si>
  <si>
    <t>F.FAIRY S/3 SML CANDLE,LILY/VALLEY</t>
  </si>
  <si>
    <t>72751A</t>
  </si>
  <si>
    <t>F.FAIRY S/3 CANDLE/GLASS</t>
  </si>
  <si>
    <t>72750D</t>
  </si>
  <si>
    <t>F.FAIRY S/3 CANDLE/GLASS, ROSE</t>
  </si>
  <si>
    <t>72750C</t>
  </si>
  <si>
    <t>F.FAIRY S/3 CANDLE/GLASS,LAVENDER</t>
  </si>
  <si>
    <t>72750B</t>
  </si>
  <si>
    <t>F.FAIRY S/3 CANDLE/GLASS,LILY/VALLY</t>
  </si>
  <si>
    <t>72750A</t>
  </si>
  <si>
    <t>GRAND CHOCOLATECANDLE</t>
  </si>
  <si>
    <t>LARGE WHITE CHOCOLATE CANDLE</t>
  </si>
  <si>
    <t>72740B</t>
  </si>
  <si>
    <t>LARGE STRAWBERRY CHOCOLATE CANDLE</t>
  </si>
  <si>
    <t>72740A</t>
  </si>
  <si>
    <t>DARK CHOCOLATE SCENTCANDLE</t>
  </si>
  <si>
    <t>72739C</t>
  </si>
  <si>
    <t>WHITE CHOCOLATE SCENT CANDLE</t>
  </si>
  <si>
    <t>72739B</t>
  </si>
  <si>
    <t>ROSE SCENT CANDLES IN GLASS</t>
  </si>
  <si>
    <t>SET/6 CHRISTMAS ICICLE T-LIGHTS</t>
  </si>
  <si>
    <t>SPHERICAL IVORY CANDLE</t>
  </si>
  <si>
    <t>IVORY SCULPTED RND CANDLE</t>
  </si>
  <si>
    <t>SCULPTED ROUND IVORY CANDLE</t>
  </si>
  <si>
    <t>BROWN ANTIQUE CUBE CANDLE</t>
  </si>
  <si>
    <t>72606A</t>
  </si>
  <si>
    <t>SET/12 TAPER CANDLES</t>
  </si>
  <si>
    <t>S/6 HALLOWEEN GHOST T LIGHTS, 5CM H</t>
  </si>
  <si>
    <t>WHITE ADVENT CANDLE</t>
  </si>
  <si>
    <t>72529w</t>
  </si>
  <si>
    <t>72529W</t>
  </si>
  <si>
    <t>ROSES WHITE ROUND CANDLE</t>
  </si>
  <si>
    <t>ROSES IN WHITE HEART CANDLE</t>
  </si>
  <si>
    <t>PINK CLEAR GLASS CANDLE PLATE</t>
  </si>
  <si>
    <t>72369A</t>
  </si>
  <si>
    <t>SET/6 TURQUOISE BUTTERFLY T-LIGHTS</t>
  </si>
  <si>
    <t>72351a</t>
  </si>
  <si>
    <t>SET/6 PINK  BUTTERFLY T-LIGHTS</t>
  </si>
  <si>
    <t>72351B</t>
  </si>
  <si>
    <t>72351A</t>
  </si>
  <si>
    <t>SET/6 PURPLE BUTTERFLY T-LIGHTS</t>
  </si>
  <si>
    <t>72349b</t>
  </si>
  <si>
    <t>72349B</t>
  </si>
  <si>
    <t>PREMIUM CHURCH CANDLE</t>
  </si>
  <si>
    <t>FENG SHUI PILLAR CANDLE</t>
  </si>
  <si>
    <t>VANILLA SCENT CAKE CANDLE</t>
  </si>
  <si>
    <t>72225D</t>
  </si>
  <si>
    <t>LAVENDER SCENT CAKE CANDLE</t>
  </si>
  <si>
    <t>72225C</t>
  </si>
  <si>
    <t>HAPPY ANNIVERSARY CANDLE LETTERS</t>
  </si>
  <si>
    <t>72140F</t>
  </si>
  <si>
    <t>BEST DAD CANDLE LETTERS</t>
  </si>
  <si>
    <t>72140E</t>
  </si>
  <si>
    <t>COLUMBIAN  CUBE CANDLE</t>
  </si>
  <si>
    <t>COLUMBIAN CANDLE RECTANGLE</t>
  </si>
  <si>
    <t>COLUMBIAN CUBE CANDLE</t>
  </si>
  <si>
    <t>COLUMBIAN CANDLE ROUND</t>
  </si>
  <si>
    <t>COFFEE SCENT PILLAR CANDLE</t>
  </si>
  <si>
    <t>CHOCOLATE ICE CREAM CANDLE</t>
  </si>
  <si>
    <t>72084B</t>
  </si>
  <si>
    <t>STRAWBERY SWIRL FLARE CANDLE</t>
  </si>
  <si>
    <t>72083A</t>
  </si>
  <si>
    <t>BAG OF SILVER STONES</t>
  </si>
  <si>
    <t>72051S</t>
  </si>
  <si>
    <t>ROSES ON BLUE TEACUP CANDLE</t>
  </si>
  <si>
    <t>72045D</t>
  </si>
  <si>
    <t>PRICE'S CANDLE PEACH</t>
  </si>
  <si>
    <t>72038P</t>
  </si>
  <si>
    <t>LILAC VOTIVE CANDLE</t>
  </si>
  <si>
    <t>72024U</t>
  </si>
  <si>
    <t>RED ORGANIC CANDLE IN GLASS</t>
  </si>
  <si>
    <t>72023F</t>
  </si>
  <si>
    <t>FROSTED BOX 9 WHITE T-LIGHT CANDLES</t>
  </si>
  <si>
    <t>SQUARE METAL CANDLEHOLDER BASE</t>
  </si>
  <si>
    <t>A4 WALL TIDY RED FLOWERS</t>
  </si>
  <si>
    <t>71496B</t>
  </si>
  <si>
    <t>A4 WALL TIDY BLUE OFFICE</t>
  </si>
  <si>
    <t>71496A</t>
  </si>
  <si>
    <t>CD WALL TIDY RED FLOWERS</t>
  </si>
  <si>
    <t>71495B</t>
  </si>
  <si>
    <t>CD WALL TIDY BLUE OFFICE</t>
  </si>
  <si>
    <t>71495A</t>
  </si>
  <si>
    <t>COLOUR GLASS. STAR T-LIGHT HOLDER</t>
  </si>
  <si>
    <t>HANGING JAM JAR T-LIGHT HOLDER</t>
  </si>
  <si>
    <t>BLACK RND BULLET"KEEP CLEAN" BIN</t>
  </si>
  <si>
    <t>71434B</t>
  </si>
  <si>
    <t>BLACK ORANGE SQUEEZER</t>
  </si>
  <si>
    <t>71406C</t>
  </si>
  <si>
    <t>PINK/WHITE "KEEP CLEAN" BULLET BIN</t>
  </si>
  <si>
    <t>PINK GLASS CANDLEHOLDER</t>
  </si>
  <si>
    <t>PHOTO CLIP LINE</t>
  </si>
  <si>
    <t>METAL BASE FOR CANDLES</t>
  </si>
  <si>
    <t>SILVER BOOK MARK WITH BEADS</t>
  </si>
  <si>
    <t>STANDING FAIRY POLE SUPPORT</t>
  </si>
  <si>
    <t>71101E</t>
  </si>
  <si>
    <t>ANGEL ON KNEES METAL POLE 100CM H</t>
  </si>
  <si>
    <t>71101A</t>
  </si>
  <si>
    <t>WHITE METAL LANTERN</t>
  </si>
  <si>
    <t>SMALL SINGLE FLAME CANDLE HOLDER</t>
  </si>
  <si>
    <t>WHITE HANGING BEADS CANDLE HOLDER</t>
  </si>
  <si>
    <t>SILVER BLUE EGG T-LIGHT HOLDER</t>
  </si>
  <si>
    <t>71028B</t>
  </si>
  <si>
    <t>HI TEC ALPINE HAND WARMER</t>
  </si>
  <si>
    <t>LOVE HEART POCKET WARMER</t>
  </si>
  <si>
    <t>BLUE STRIPES SHOULDER BAG</t>
  </si>
  <si>
    <t>62097B</t>
  </si>
  <si>
    <t>PINK STRIPES SHOULDER BAG</t>
  </si>
  <si>
    <t>62097A</t>
  </si>
  <si>
    <t>PURPLE/TURQ FLOWERS HANDBAG</t>
  </si>
  <si>
    <t>62096B</t>
  </si>
  <si>
    <t>PINK/YELLOW FLOWERS HANDBAG</t>
  </si>
  <si>
    <t>62096A</t>
  </si>
  <si>
    <t>TURQOISE ICE CREAM SUNHAT</t>
  </si>
  <si>
    <t>62095B</t>
  </si>
  <si>
    <t>TURQ ICE CREAM BUM BAG</t>
  </si>
  <si>
    <t>62094B</t>
  </si>
  <si>
    <t>PINK RETRO BIG FLOWER BAG</t>
  </si>
  <si>
    <t>62086A</t>
  </si>
  <si>
    <t>ELEPHANT CLIP W SUCTION CUP</t>
  </si>
  <si>
    <t>62074B</t>
  </si>
  <si>
    <t>BLUE CHECK BAG W HANDLE 34X20CM</t>
  </si>
  <si>
    <t>62043B</t>
  </si>
  <si>
    <t>SOMBRERO</t>
  </si>
  <si>
    <t>STRIPY DESIGN SHOWER CAP</t>
  </si>
  <si>
    <t>51020B</t>
  </si>
  <si>
    <t>SUMMER FUN DESIGN SHOWER CAP</t>
  </si>
  <si>
    <t>51020A</t>
  </si>
  <si>
    <t>FEATHER PEN,COAL BLACK</t>
  </si>
  <si>
    <t>51014c</t>
  </si>
  <si>
    <t>FEATHER PEN,LIGHT PINK</t>
  </si>
  <si>
    <t>51014L</t>
  </si>
  <si>
    <t>51014C</t>
  </si>
  <si>
    <t>FEATHER PEN,HOT PINK</t>
  </si>
  <si>
    <t>51014A</t>
  </si>
  <si>
    <t>FEATHER DUSTER, LIGHT PINK</t>
  </si>
  <si>
    <t>51012L</t>
  </si>
  <si>
    <t>FEATHER DUSTER, COAL BLACK</t>
  </si>
  <si>
    <t>51012C</t>
  </si>
  <si>
    <t>AFGHAN SLIPPER SOCK PAIR</t>
  </si>
  <si>
    <t>DOOR MAT BIRD ON THE WIRE</t>
  </si>
  <si>
    <t>DOOR MAT GREEN PAISLEY</t>
  </si>
  <si>
    <t>DOORMAT HEARTS</t>
  </si>
  <si>
    <t>DOOR MAT FRIENDSHIP</t>
  </si>
  <si>
    <t>DOOR MAT WELCOME PUPPIES</t>
  </si>
  <si>
    <t>DOOR MAT NEW ENGLAND</t>
  </si>
  <si>
    <t>DOOR MAT FAIRY CAKE</t>
  </si>
  <si>
    <t>DOOR MAT ENGLISH ROSE</t>
  </si>
  <si>
    <t>DOOR MAT SWEET HOME</t>
  </si>
  <si>
    <t>DOOR MAT CAMOUFLAGE</t>
  </si>
  <si>
    <t>DOOR MAT BLACK FLOCK</t>
  </si>
  <si>
    <t>48173c</t>
  </si>
  <si>
    <t>48173C</t>
  </si>
  <si>
    <t>DOOR MAT BLUE FLOCK</t>
  </si>
  <si>
    <t>48173A</t>
  </si>
  <si>
    <t>DOOR MAT UNION FLAG</t>
  </si>
  <si>
    <t>DOOR MAT TOPIARY</t>
  </si>
  <si>
    <t>DOOR MAT MULTICOLOUR STRIPE</t>
  </si>
  <si>
    <t>DOOR MAT 3 SMILEY CATS</t>
  </si>
  <si>
    <t>DOOR MAT KISS MY.......</t>
  </si>
  <si>
    <t>BLUE PARTY BAGS</t>
  </si>
  <si>
    <t>47599B</t>
  </si>
  <si>
    <t>PINK PARTY BAGS</t>
  </si>
  <si>
    <t>47599A</t>
  </si>
  <si>
    <t>NEW ENGLAND EGG WARMER</t>
  </si>
  <si>
    <t>NEW ENGLAND TEATOWELS</t>
  </si>
  <si>
    <t>CAROUSEL DESIGN WASHBAG</t>
  </si>
  <si>
    <t>47594a</t>
  </si>
  <si>
    <t>SCOTTIES DESIGN WASHBAG</t>
  </si>
  <si>
    <t>47594B</t>
  </si>
  <si>
    <t>47594A</t>
  </si>
  <si>
    <t>SCOTTIE DOGS BABY BIB</t>
  </si>
  <si>
    <t>47593b</t>
  </si>
  <si>
    <t>CAROUSEL DESIGN BABY BIB</t>
  </si>
  <si>
    <t>47593a</t>
  </si>
  <si>
    <t>SCOTTIES DESIGN BABY BIB</t>
  </si>
  <si>
    <t>47593B</t>
  </si>
  <si>
    <t>47593A</t>
  </si>
  <si>
    <t>SCOTTIES DESIGN CHILD'S OVERALL</t>
  </si>
  <si>
    <t>47592B</t>
  </si>
  <si>
    <t>CAROUSEL DES CHILD'S OVERALL</t>
  </si>
  <si>
    <t>47592A</t>
  </si>
  <si>
    <t>PINK FAIRY CAKE CHILDRENS APRON</t>
  </si>
  <si>
    <t>47591d</t>
  </si>
  <si>
    <t>BLUE FAIRY CAKE CHILD'S APRON</t>
  </si>
  <si>
    <t>47591c</t>
  </si>
  <si>
    <t>SCOTTIES CHILDRENS APRON</t>
  </si>
  <si>
    <t>47591b</t>
  </si>
  <si>
    <t>PINK FAIRY CAKE CHILD'S APRON</t>
  </si>
  <si>
    <t>47591D</t>
  </si>
  <si>
    <t>47591C</t>
  </si>
  <si>
    <t>SCOTTIES DES CHILD'S APRON</t>
  </si>
  <si>
    <t>47591B</t>
  </si>
  <si>
    <t>CAROUSEL DES CHILD'S APRON</t>
  </si>
  <si>
    <t>47591A</t>
  </si>
  <si>
    <t>PINK HAPPY BIRTHDAY BUNTING</t>
  </si>
  <si>
    <t>47590b</t>
  </si>
  <si>
    <t>BLUE HAPPY BIRTHDAY BUNTING</t>
  </si>
  <si>
    <t>47590a</t>
  </si>
  <si>
    <t>47590B</t>
  </si>
  <si>
    <t>47590A</t>
  </si>
  <si>
    <t>CONGRATULATIONS BUNTING</t>
  </si>
  <si>
    <t>PINK FAIRY CAKE COASTER</t>
  </si>
  <si>
    <t>47587A</t>
  </si>
  <si>
    <t>PINK FAIRY CAKE CUSHION COVER</t>
  </si>
  <si>
    <t>47586A</t>
  </si>
  <si>
    <t>47585A</t>
  </si>
  <si>
    <t>SET OF 3 WICKER BASKET TEA AND CAKE</t>
  </si>
  <si>
    <t>47583B</t>
  </si>
  <si>
    <t>SET OF 3 WICKER BASKET ROSE</t>
  </si>
  <si>
    <t>47583A</t>
  </si>
  <si>
    <t>FAIRY CAKE WICKER PICNIC BASKET</t>
  </si>
  <si>
    <t>47581B</t>
  </si>
  <si>
    <t>TEA TIME DES TEA COSY</t>
  </si>
  <si>
    <t>TEA TIME BREAKFAST BASKET</t>
  </si>
  <si>
    <t>ENGLISH ROSE SMALL SCENTED FLOWER</t>
  </si>
  <si>
    <t>47578A</t>
  </si>
  <si>
    <t>ENGLISH ROSE SCENTED HANGING HEART</t>
  </si>
  <si>
    <t>47574B</t>
  </si>
  <si>
    <t>ENGLISH ROSE SCENTED HANGING FLOWER</t>
  </si>
  <si>
    <t>47574A</t>
  </si>
  <si>
    <t>TEA TIME TABLE CLOTH</t>
  </si>
  <si>
    <t>47570b</t>
  </si>
  <si>
    <t>47570B</t>
  </si>
  <si>
    <t>ENGLISH ROSE TABLE CLOTH</t>
  </si>
  <si>
    <t>ENGLISH ROSE DESIGN SHOPPING BAG</t>
  </si>
  <si>
    <t>ENGLISH ROSE DESIGN PEG BAG</t>
  </si>
  <si>
    <t>TEA TIME KITCHEN APRON</t>
  </si>
  <si>
    <t>47567b</t>
  </si>
  <si>
    <t>47567B</t>
  </si>
  <si>
    <t>TEA TIME PARTY BUNTING</t>
  </si>
  <si>
    <t>47566b</t>
  </si>
  <si>
    <t>47566B</t>
  </si>
  <si>
    <t>PARTY BUNTING</t>
  </si>
  <si>
    <t>WAVELINE SURF IRONING BOARD COVER</t>
  </si>
  <si>
    <t>47563B</t>
  </si>
  <si>
    <t>RETRO LONGBOARD IRONING BOARD COVER</t>
  </si>
  <si>
    <t>47563A</t>
  </si>
  <si>
    <t>ENGLISH ROSE IRONING BOARD COVER</t>
  </si>
  <si>
    <t>TEA TIME OVEN GLOVE</t>
  </si>
  <si>
    <t>47559b</t>
  </si>
  <si>
    <t>47559B</t>
  </si>
  <si>
    <t>TEA TIME TEA TOWELS</t>
  </si>
  <si>
    <t>47556b</t>
  </si>
  <si>
    <t>47556B</t>
  </si>
  <si>
    <t>SET/2 SPOTTY + ROSE TEA TOWELS</t>
  </si>
  <si>
    <t>S/3 COLOURS FLOCK TEA TOWELS</t>
  </si>
  <si>
    <t>DOTS IRONING BOARD COVER</t>
  </si>
  <si>
    <t>47552A</t>
  </si>
  <si>
    <t>ICON PLACEMAT POP ART ELVIS</t>
  </si>
  <si>
    <t>47518f</t>
  </si>
  <si>
    <t>47518F</t>
  </si>
  <si>
    <t>MINATURE COLOURED GARDENING SET</t>
  </si>
  <si>
    <t>ENGLISH ROSE GARDEN SECATEURS</t>
  </si>
  <si>
    <t>47504K</t>
  </si>
  <si>
    <t>ENGLISH ROSE SET/3 GARDEN TOOLS</t>
  </si>
  <si>
    <t>47504J</t>
  </si>
  <si>
    <t>ENGLISH ROSE SPIRIT LEVEL</t>
  </si>
  <si>
    <t>47504H</t>
  </si>
  <si>
    <t>ENGLISH ROSE TAPE MEASURE</t>
  </si>
  <si>
    <t>47504G</t>
  </si>
  <si>
    <t>ENGLISH ROSE TORCH</t>
  </si>
  <si>
    <t>47504F</t>
  </si>
  <si>
    <t>ENGLISH ROSE SCISSORS</t>
  </si>
  <si>
    <t>47504E</t>
  </si>
  <si>
    <t>ASSORTED FLORAL SECATEURS</t>
  </si>
  <si>
    <t>47503K</t>
  </si>
  <si>
    <t>SET/3 FLORAL GARDEN TOOLS IN BAG</t>
  </si>
  <si>
    <t>47503J</t>
  </si>
  <si>
    <t>ASS FLORAL PRINT SPIRIT LEVEL</t>
  </si>
  <si>
    <t>47503H</t>
  </si>
  <si>
    <t>ASS FLORAL PRINT TAPE MEASURE</t>
  </si>
  <si>
    <t>47503G</t>
  </si>
  <si>
    <t>ASS FLORAL PRINT TORCH</t>
  </si>
  <si>
    <t>47503F</t>
  </si>
  <si>
    <t>ASS FLORAL PRINT SCISSORS</t>
  </si>
  <si>
    <t>47503E</t>
  </si>
  <si>
    <t>ASS FLORAL PRINT MULTI SCREWDRIVER</t>
  </si>
  <si>
    <t>47503A</t>
  </si>
  <si>
    <t>POLKADOT CUTLERY 24 PCS IN TRAY</t>
  </si>
  <si>
    <t>50CM METAL STRING WITH  7 CLIPS</t>
  </si>
  <si>
    <t>HANGING PHOTO CLIP ROPE LADDER</t>
  </si>
  <si>
    <t>RAINBOW PEGS PHOTO CLIP STRING</t>
  </si>
  <si>
    <t>ASSORTED SHAPES PHOTO CLIP SILVER</t>
  </si>
  <si>
    <t>ASSORTED MONKEY SUCTION CUP HOOK</t>
  </si>
  <si>
    <t>ASSORTED COLOUR LIZARD SUCTION HOOK</t>
  </si>
  <si>
    <t>ASSORTED COLOUR SUCTION CUP HOOK</t>
  </si>
  <si>
    <t>BLUE GREEN EMBROIDERY COSMETIC BAG</t>
  </si>
  <si>
    <t>47369B</t>
  </si>
  <si>
    <t>PINK GREEN EMBROIDERY COSMETIC BAG</t>
  </si>
  <si>
    <t>47369A</t>
  </si>
  <si>
    <t>PAIR PADDED HANGERS PINK CHECK</t>
  </si>
  <si>
    <t>47367B</t>
  </si>
  <si>
    <t>BLUE  VOILE LAMPSHADE</t>
  </si>
  <si>
    <t>47351B</t>
  </si>
  <si>
    <t>FUSCHIA VOILE POINTY SHOE DEC</t>
  </si>
  <si>
    <t>47348A</t>
  </si>
  <si>
    <t>BLUE FLOWER T-LIGHT HOLDER</t>
  </si>
  <si>
    <t>47347B</t>
  </si>
  <si>
    <t>BLUE FLOWER DES PURSE</t>
  </si>
  <si>
    <t>47344B</t>
  </si>
  <si>
    <t>FUSCHIA FLOWER PURSE WITH BEADS</t>
  </si>
  <si>
    <t>47343A</t>
  </si>
  <si>
    <t>BLUE TABLE RUN FLOWER</t>
  </si>
  <si>
    <t>47341B</t>
  </si>
  <si>
    <t>FUSCHIA TABLE RUN FLOWER</t>
  </si>
  <si>
    <t>47341A</t>
  </si>
  <si>
    <t>SMALL POP BOX,FUNKY MONKEY</t>
  </si>
  <si>
    <t>47310M</t>
  </si>
  <si>
    <t>SET/6 BEAD COASTERS GAUZE BAG GOLD</t>
  </si>
  <si>
    <t>47021G</t>
  </si>
  <si>
    <t>LIGHT DECORATION BATTERY OPERATED</t>
  </si>
  <si>
    <t>WINE BOTTLE DRESSING DARK BLUE</t>
  </si>
  <si>
    <t>47013C</t>
  </si>
  <si>
    <t>WINE BOTTLE DRESSING LT.BLUE</t>
  </si>
  <si>
    <t>47013A</t>
  </si>
  <si>
    <t>WOVEN ROSE GARDEN CUSHION COVER</t>
  </si>
  <si>
    <t>46776f</t>
  </si>
  <si>
    <t>WOVEN CANDY CUSHION COVER</t>
  </si>
  <si>
    <t>46776e</t>
  </si>
  <si>
    <t>WOVEN BERRIES CUSHION COVER</t>
  </si>
  <si>
    <t>46776b</t>
  </si>
  <si>
    <t>WOVEN BUBBLE GUM CUSHION COVER</t>
  </si>
  <si>
    <t>46776a</t>
  </si>
  <si>
    <t>46776F</t>
  </si>
  <si>
    <t>46776E</t>
  </si>
  <si>
    <t>WOVEN SUNSET CUSHION COVER</t>
  </si>
  <si>
    <t>46776D</t>
  </si>
  <si>
    <t>WOVEN FROST CUSHION COVER</t>
  </si>
  <si>
    <t>46776C</t>
  </si>
  <si>
    <t>46776B</t>
  </si>
  <si>
    <t>46776A</t>
  </si>
  <si>
    <t>CANDY POP CHUNKY KNITTED THROW</t>
  </si>
  <si>
    <t>46775E</t>
  </si>
  <si>
    <t>SUNSET COLOUR CHUNKY KNITTED THROW</t>
  </si>
  <si>
    <t>46775D</t>
  </si>
  <si>
    <t>BERRIES CHUNKY KNITTED THROW</t>
  </si>
  <si>
    <t>46775B</t>
  </si>
  <si>
    <t>BUBBLE GUM CHUNKY KNITTED THROW</t>
  </si>
  <si>
    <t>46775A</t>
  </si>
  <si>
    <t>ROSES BLUE BASE CUSHION COVER</t>
  </si>
  <si>
    <t>GREEN CHENILLE SHAGGY C/COVER</t>
  </si>
  <si>
    <t>46138D</t>
  </si>
  <si>
    <t>BLUE CHENILLE SHAGGY CUSHION COVER</t>
  </si>
  <si>
    <t>46138B</t>
  </si>
  <si>
    <t>GREEN CHENILLE SHAGGY RUG</t>
  </si>
  <si>
    <t>46137D</t>
  </si>
  <si>
    <t>ELVIS WALLHANGING / CURTAIN</t>
  </si>
  <si>
    <t>46126A</t>
  </si>
  <si>
    <t>FUNKY MONKEY CUSHION COVER</t>
  </si>
  <si>
    <t>GREEN POP ART MAO CUSHION COVER</t>
  </si>
  <si>
    <t>46115B</t>
  </si>
  <si>
    <t>PINK CANVAS DES CUSHION COVER</t>
  </si>
  <si>
    <t>46037A</t>
  </si>
  <si>
    <t>POLYESTER FILLER PAD 30CMx30CM</t>
  </si>
  <si>
    <t>46000U</t>
  </si>
  <si>
    <t>POLYESTER FILLER PAD 40x40cm</t>
  </si>
  <si>
    <t>46000S</t>
  </si>
  <si>
    <t>POLYESTER FILLER PAD 45x30cm</t>
  </si>
  <si>
    <t>46000R</t>
  </si>
  <si>
    <t>POLYESTER FILLER PAD 65CMx65CM</t>
  </si>
  <si>
    <t>46000P</t>
  </si>
  <si>
    <t>POLYESTER FILLER PAD 45x45cm</t>
  </si>
  <si>
    <t>46000M</t>
  </si>
  <si>
    <t>DECORATIVE NET CANOPY LEOPARD</t>
  </si>
  <si>
    <t>FOLDING SHIRT TIDY</t>
  </si>
  <si>
    <t>FOLDING SHOE TIDY</t>
  </si>
  <si>
    <t>DECORATIVE NET CANOPY CREAM</t>
  </si>
  <si>
    <t>45008C</t>
  </si>
  <si>
    <t>M/COLOUR POM-POM CURTAIN</t>
  </si>
  <si>
    <t>PINK FEATHERS CURTAIN</t>
  </si>
  <si>
    <t>44242B</t>
  </si>
  <si>
    <t>LILAC FEATHERS CURTAIN</t>
  </si>
  <si>
    <t>44242A</t>
  </si>
  <si>
    <t>BLUE BUTTERFLY ON SPRING</t>
  </si>
  <si>
    <t>44241C</t>
  </si>
  <si>
    <t>PINK/PURPLE CIRCLE CURTAIN</t>
  </si>
  <si>
    <t>ASS COL CIRCLE MOBILE</t>
  </si>
  <si>
    <t>ASSORTED CIRCULAR MOBILE</t>
  </si>
  <si>
    <t>SQUARE MIRROR CURTAIN</t>
  </si>
  <si>
    <t>CANNABIS LEAF BEAD CURTAIN</t>
  </si>
  <si>
    <t>MULTICOLOUR FEATHERS CURTAIN</t>
  </si>
  <si>
    <t>44217M</t>
  </si>
  <si>
    <t>PURPLE/COPPER HANGING LAMPSHADE</t>
  </si>
  <si>
    <t>44092C</t>
  </si>
  <si>
    <t>BLUE WHITE PLASTIC RINGS LAMPSHADE</t>
  </si>
  <si>
    <t>44092B</t>
  </si>
  <si>
    <t>MULTICOLOUR CRUSOE CHECK LAMPSHADE</t>
  </si>
  <si>
    <t>44091C</t>
  </si>
  <si>
    <t>BLUE CRUSOE CHECK LAMPSHADE</t>
  </si>
  <si>
    <t>44091A</t>
  </si>
  <si>
    <t>LILAC GAUZE BUTTERFLY LAMPSHADE</t>
  </si>
  <si>
    <t>44089C</t>
  </si>
  <si>
    <t>PINK GAUZE BUTTERFLY LAMPSHADE</t>
  </si>
  <si>
    <t>44089A</t>
  </si>
  <si>
    <t>PINK BUTTERFLY PAPER LAMPSHADE</t>
  </si>
  <si>
    <t>40046C</t>
  </si>
  <si>
    <t>RED DAISY PAPER LAMPSHADE</t>
  </si>
  <si>
    <t>40046A</t>
  </si>
  <si>
    <t>CHERRY DESIGN PAPERLANTERNS</t>
  </si>
  <si>
    <t>40018F</t>
  </si>
  <si>
    <t>TEA TIME PAPER LANTERNS</t>
  </si>
  <si>
    <t>40018E</t>
  </si>
  <si>
    <t>CHINESE DRAGON PAPER LANTERNS</t>
  </si>
  <si>
    <t>BLUE ORGANDY ROUND LAMPSHADE W BEA</t>
  </si>
  <si>
    <t>40005B</t>
  </si>
  <si>
    <t>WHITE BAMBOO RIBS LAMPSHADE</t>
  </si>
  <si>
    <t>NEW ENGLAND MUG W GIFT BOX</t>
  </si>
  <si>
    <t>NEW ENGLAND CERAMIC CAKE SERVER</t>
  </si>
  <si>
    <t>NEW ENGLAND MILK JUG W GIFT BOX</t>
  </si>
  <si>
    <t>TEA TIME CAKE STAND IN GIFT BOX</t>
  </si>
  <si>
    <t>TEA TIME MUG IN GIFT BOX</t>
  </si>
  <si>
    <t>TEA TIME TEA SET IN GIFT BOX</t>
  </si>
  <si>
    <t>TEA TIME TEAPOT IN GIFT BOX</t>
  </si>
  <si>
    <t>FAIRY CAKE BIRTHDAY CANDLE SET</t>
  </si>
  <si>
    <t>FAIRY CAKE CERAMIC BUTTER DISH</t>
  </si>
  <si>
    <t>37494a</t>
  </si>
  <si>
    <t>37494A</t>
  </si>
  <si>
    <t>PURPLE GREEN FLOWER PIGGY BANK</t>
  </si>
  <si>
    <t>37492D</t>
  </si>
  <si>
    <t>GREEN BLUE FLOWER PIGGY BANK</t>
  </si>
  <si>
    <t>37492C</t>
  </si>
  <si>
    <t>BLUE YELLOW FLOWER PIGGY BANK</t>
  </si>
  <si>
    <t>37492B</t>
  </si>
  <si>
    <t>YELLOW RED FLOWER PIGGY BANK</t>
  </si>
  <si>
    <t>37492A</t>
  </si>
  <si>
    <t>PURPLE/BLUE CERAMIC CANDLE HOLDER</t>
  </si>
  <si>
    <t>37491D</t>
  </si>
  <si>
    <t>GREEN/BLUE CERAMIC CANDLE HOLDER</t>
  </si>
  <si>
    <t>37491C</t>
  </si>
  <si>
    <t>BLUE/YELLOW CERAMIC CANDLE HOLDER</t>
  </si>
  <si>
    <t>37491B</t>
  </si>
  <si>
    <t>YELLOW/PINK CERAMIC CANDLE HOLDER</t>
  </si>
  <si>
    <t>37491A</t>
  </si>
  <si>
    <t>PINK/GREEN FLOWER DESIGN BIG MUG</t>
  </si>
  <si>
    <t>37489D</t>
  </si>
  <si>
    <t>GREEN/BLUE FLOWER DESIGN BIG MUG</t>
  </si>
  <si>
    <t>37489C</t>
  </si>
  <si>
    <t>BLUE/YELLOW FLOWER DESIGN BIG MUG</t>
  </si>
  <si>
    <t>37489B</t>
  </si>
  <si>
    <t>YELLOW/PINK FLOWER DESIGN BIG MUG</t>
  </si>
  <si>
    <t>37489A</t>
  </si>
  <si>
    <t>YELLOW PINK FLOWER DESIGN BIG BOWL</t>
  </si>
  <si>
    <t>37488A</t>
  </si>
  <si>
    <t>YELLOW/ORANGE FLOWER DESIGN PLATE</t>
  </si>
  <si>
    <t>37487B</t>
  </si>
  <si>
    <t>ENGLISH ROSE TEA SET IN GIFT BOX</t>
  </si>
  <si>
    <t>ENGLISH ROSE TEA FOR ONE GIFT BOX</t>
  </si>
  <si>
    <t>ENGLISH ROSE MUG IN GIFT BOX</t>
  </si>
  <si>
    <t>CUBIC MUG PINK POLKA DOT</t>
  </si>
  <si>
    <t>37482p</t>
  </si>
  <si>
    <t>CUBIC MUG BLUE POLKA DOT</t>
  </si>
  <si>
    <t>37482b</t>
  </si>
  <si>
    <t>37482P</t>
  </si>
  <si>
    <t>37482B</t>
  </si>
  <si>
    <t>CUBIC MUG TEATIME CAKES</t>
  </si>
  <si>
    <t>CUBIC MUG FLOCK PINK ON BROWN</t>
  </si>
  <si>
    <t>37479P</t>
  </si>
  <si>
    <t>CUBIC MUG FLOCK BLUE ON BROWN</t>
  </si>
  <si>
    <t>37479B</t>
  </si>
  <si>
    <t>FLOWER FAIRY MUG+COASTER,ROSE</t>
  </si>
  <si>
    <t>37477C</t>
  </si>
  <si>
    <t>FLOWER FAIRY MUG+COASTER,LAVENDER</t>
  </si>
  <si>
    <t>37477B</t>
  </si>
  <si>
    <t>CONDIMENT TRAY 4 BOWLS AND 4 SPOONS</t>
  </si>
  <si>
    <t>SET/4 COLOURFUL MIXING BOWLS</t>
  </si>
  <si>
    <t>SET/4 2 TONE EGG SHAPE MIXING BOWLS</t>
  </si>
  <si>
    <t>MULTICOLOUR DOTS PLATE</t>
  </si>
  <si>
    <t>HARDMAN MUG 3 ASSORTED</t>
  </si>
  <si>
    <t>PIG MUG IN TWO COLOUR DESIGNS</t>
  </si>
  <si>
    <t>ROBOT MUG IN DISPLAY BOX</t>
  </si>
  <si>
    <t>PET MUG, GOLDFISH</t>
  </si>
  <si>
    <t>37462E</t>
  </si>
  <si>
    <t>PET MUG, BUDGIE</t>
  </si>
  <si>
    <t>37462B</t>
  </si>
  <si>
    <t>FUNKY MONKEY MUG</t>
  </si>
  <si>
    <t>CERAMIC CAKE TEAPOT WITH CHERRY</t>
  </si>
  <si>
    <t>CERAMIC CAKE BOWL + HANGING CAKES</t>
  </si>
  <si>
    <t>CERAMIC CAKE STAND + HANGING CAKES</t>
  </si>
  <si>
    <t>CERAMIC CAKE DESIGN SPOTTED MUG</t>
  </si>
  <si>
    <t>CERAMIC CAKE DESIGN SPOTTED PLATE</t>
  </si>
  <si>
    <t>MINI CAKE STAND WITH HANGING CAKES</t>
  </si>
  <si>
    <t>PINK BREAKFAST CUP AND SAUCER</t>
  </si>
  <si>
    <t>37444C</t>
  </si>
  <si>
    <t>BLUE BREAKFAST CUP AND SAUCER</t>
  </si>
  <si>
    <t>37444B</t>
  </si>
  <si>
    <t>YELLOW BREAKFAST CUP AND SAUCER</t>
  </si>
  <si>
    <t>37444A</t>
  </si>
  <si>
    <t>ASSORTED WHITE EMBOSSED CHINA MUGS</t>
  </si>
  <si>
    <t>FUNKY FLOWER COFFEE POT</t>
  </si>
  <si>
    <t>MUG PINK AND PURPLE ARABIC DESIGN</t>
  </si>
  <si>
    <t>WHITE WITH BLACK CATS MUG</t>
  </si>
  <si>
    <t>WHITE WITH BLACK CATS PLATE</t>
  </si>
  <si>
    <t>WHITE WITH BLACK CATS BOWL</t>
  </si>
  <si>
    <t>ICON MUG REVOLUTIONARY</t>
  </si>
  <si>
    <t>BLACK AND WHITE PAISLEY FLOWER MUG</t>
  </si>
  <si>
    <t>ASSORTED DESIGN FLOWER MUGS</t>
  </si>
  <si>
    <t>ASSORTED DESIGN GEISHA GIRL MUGS</t>
  </si>
  <si>
    <t>ASS RETROSPOOF MUGS,SPORTS</t>
  </si>
  <si>
    <t>BLUE CHERRY BLOSSOM CUP &amp; SAUCER</t>
  </si>
  <si>
    <t>37379B</t>
  </si>
  <si>
    <t>PINK CHERRY BLOSSOM CUP &amp; SAUCER</t>
  </si>
  <si>
    <t>37379A</t>
  </si>
  <si>
    <t>RETRO COFFEE MUGS ASSORTED</t>
  </si>
  <si>
    <t>BIRD IN TREE MUG</t>
  </si>
  <si>
    <t>ORANGE FLOWER MUG</t>
  </si>
  <si>
    <t>SET OF 4 PASTEL STACKING MUGS</t>
  </si>
  <si>
    <t>ASSTD HEARTS DESIGN MUGS</t>
  </si>
  <si>
    <t>SPOTS DESIGN MUG W PINK INSIDE</t>
  </si>
  <si>
    <t>SPOTTY COFFEE CUP &amp; SAUCER</t>
  </si>
  <si>
    <t>MULTICOLOUR SPRING FLOWER MUG</t>
  </si>
  <si>
    <t>RETRO "TEA FOR ONE"</t>
  </si>
  <si>
    <t>SPOTS MUG</t>
  </si>
  <si>
    <t>ASSTD MULTICOLOUR CIRCLES MUG</t>
  </si>
  <si>
    <t>FAIRY DESIGN MUGS</t>
  </si>
  <si>
    <t>YELLOW BIRDS FELT DES FOODCOVER</t>
  </si>
  <si>
    <t>S/6 SCANDINAVIAN HEART T-LIGHT</t>
  </si>
  <si>
    <t>SET/6 BLACK GLITTER REINDEER CANDLE</t>
  </si>
  <si>
    <t>SET/6 BLACK SNOWFLAKE T-LIGHTS</t>
  </si>
  <si>
    <t>WHITE SNOW SCANDINAVIAN STOCKING</t>
  </si>
  <si>
    <t>35981C</t>
  </si>
  <si>
    <t>REDWHITE STRIPE SCANDINAVIAN HEART</t>
  </si>
  <si>
    <t>35980C</t>
  </si>
  <si>
    <t>RED TOP SCANDINAVIAN HEART</t>
  </si>
  <si>
    <t>35980B</t>
  </si>
  <si>
    <t>SIX STRING SCANDINAVIAN HEART DECS</t>
  </si>
  <si>
    <t>WHITE SCANDINAVIAN HEART CHRISTMAS</t>
  </si>
  <si>
    <t>35976B</t>
  </si>
  <si>
    <t>S/6 CHRISTMAS TREE PLACE SETTING</t>
  </si>
  <si>
    <t>GERANIUM FOLKART HEART DECORATION</t>
  </si>
  <si>
    <t>DAISY FOLKART HEART DECORATION</t>
  </si>
  <si>
    <t>ROSE FOLKART HEART DECORATIONS</t>
  </si>
  <si>
    <t>ZINC FOLKART SLEIGH BELLS</t>
  </si>
  <si>
    <t>FOLKART CROWN TABLE DECORATIONS</t>
  </si>
  <si>
    <t>FOLK ART METAL HEART T-LIGHT HOLDER</t>
  </si>
  <si>
    <t>FOLK ART METAL STAR T-LIGHT HOLDER</t>
  </si>
  <si>
    <t>FOLKART CHRISTMAS TREE T-LIGHT HOLD</t>
  </si>
  <si>
    <t>FOLKART HEART NAPKIN RINGS</t>
  </si>
  <si>
    <t>FOLKART CLIP ON STARS</t>
  </si>
  <si>
    <t>FOLKART ZINC CLIP ON ANGEL WINGS</t>
  </si>
  <si>
    <t>12 ASS ZINC CHRISTMAS DECORATIONS</t>
  </si>
  <si>
    <t>FOLKART ZINC HEART CHRISTMAS DEC</t>
  </si>
  <si>
    <t>FOLKART ZINC STAR CHRISTMAS DEC</t>
  </si>
  <si>
    <t>SMALLFOLKART BAUBLE CHRISTMAS DEC</t>
  </si>
  <si>
    <t>SMALL FOLKART CHRISTMAS TREE DEC</t>
  </si>
  <si>
    <t>SMALL FOLKART STAR CHRISTMAS DEC</t>
  </si>
  <si>
    <t>FOLKART STAR CHRISTMAS DECORATIONS</t>
  </si>
  <si>
    <t>FOLKART BAUBLE CHRISTMAS DECORATION</t>
  </si>
  <si>
    <t>FOLKART HEART CHRISTMAS DECORATIONS</t>
  </si>
  <si>
    <t>GOLD CHRISTMAS STOCKING DECORATION</t>
  </si>
  <si>
    <t>CERISE+GOLD CHRISTMAS STOCKING DEC</t>
  </si>
  <si>
    <t>CERISE+GOLD CHRISTMAS TREE DEC</t>
  </si>
  <si>
    <t>PINK STOCKING CHRISTMAS DECORATION</t>
  </si>
  <si>
    <t>PINK CHRISTMAS TREE DECORATION</t>
  </si>
  <si>
    <t>PINK STAR CHRISTMAS DECORATION</t>
  </si>
  <si>
    <t>PINK HEART CHRISTMAS DECORATION</t>
  </si>
  <si>
    <t>HANGING FAIRY CAKE DECORATION</t>
  </si>
  <si>
    <t>CANDY HEART HANGING DECORATION</t>
  </si>
  <si>
    <t>EASTER BUNNY WREATH</t>
  </si>
  <si>
    <t>EASTER BUNNY HANGING GARLAND</t>
  </si>
  <si>
    <t>FOUR RABBIT EASTER DECORATIONS</t>
  </si>
  <si>
    <t>BLUE FLORIBUNDA EGG WARMER</t>
  </si>
  <si>
    <t>35918B</t>
  </si>
  <si>
    <t>PINK FELT HANGING HEART W FLOWER</t>
  </si>
  <si>
    <t>35916C</t>
  </si>
  <si>
    <t>BLUE FELT HANGING HEART W FLOWER</t>
  </si>
  <si>
    <t>35916B</t>
  </si>
  <si>
    <t>YELLOW FELT HANGING HEART W FLOWER</t>
  </si>
  <si>
    <t>35916A</t>
  </si>
  <si>
    <t>PEACH KNITTED HEN</t>
  </si>
  <si>
    <t>35915C</t>
  </si>
  <si>
    <t>BLUE KNITTED HEN</t>
  </si>
  <si>
    <t>35915B</t>
  </si>
  <si>
    <t>CREAM KNITTED HEN</t>
  </si>
  <si>
    <t>35915A</t>
  </si>
  <si>
    <t>PINK CHICK EGG WARMER + EGG CUP</t>
  </si>
  <si>
    <t>WHITE/PINK CHICK EASTER DECORATION</t>
  </si>
  <si>
    <t>35913B</t>
  </si>
  <si>
    <t>WHITE/PINK CHICK DECORATION</t>
  </si>
  <si>
    <t>35912B</t>
  </si>
  <si>
    <t>PINK/FLOWER RABBIT EGG WARMER</t>
  </si>
  <si>
    <t>35911B</t>
  </si>
  <si>
    <t>MULTICOLOUR RABBIT EGG WARMER</t>
  </si>
  <si>
    <t>35911A</t>
  </si>
  <si>
    <t>PINK FLOWERS RABBIT EASTER</t>
  </si>
  <si>
    <t>35910B</t>
  </si>
  <si>
    <t>MULTICOLOUR EASTER RABBIT</t>
  </si>
  <si>
    <t>35910A</t>
  </si>
  <si>
    <t>35909B</t>
  </si>
  <si>
    <t>RABBIT EASTER DECORATION</t>
  </si>
  <si>
    <t>35909A</t>
  </si>
  <si>
    <t>FLAT GLASS  BAUBLE WHITE FLOCK</t>
  </si>
  <si>
    <t>S/6 SILVER ORNAMENETAL CANDLE</t>
  </si>
  <si>
    <t>35838B</t>
  </si>
  <si>
    <t>S/6 MULTICOLOUR ORNAMENETAL CANDLE</t>
  </si>
  <si>
    <t>35838A</t>
  </si>
  <si>
    <t>SET OF SIX SILVER+RED FLOCK BAUBLES</t>
  </si>
  <si>
    <t>4 PINK FLOCK CHRISTMAS BALLS</t>
  </si>
  <si>
    <t>35833P</t>
  </si>
  <si>
    <t>4 GOLD FLOCK CHRISTMAS BALLS</t>
  </si>
  <si>
    <t>35833G</t>
  </si>
  <si>
    <t>WOOLLY HAT SOCK GLOVE ADVENT STRING</t>
  </si>
  <si>
    <t>HANGING FLOWERS+MIRROR,PINK</t>
  </si>
  <si>
    <t>35824P</t>
  </si>
  <si>
    <t>HANGING FLOWERS+MIRROR,CLEAR</t>
  </si>
  <si>
    <t>35824C</t>
  </si>
  <si>
    <t>HANGING FLOWERS+MIRROR,BLUE</t>
  </si>
  <si>
    <t>35824B</t>
  </si>
  <si>
    <t>ACRYLIC BEAD GARLAND,PINK</t>
  </si>
  <si>
    <t>35823P</t>
  </si>
  <si>
    <t>ACRYLIC BEAD CHAIN, PINK</t>
  </si>
  <si>
    <t>35822P</t>
  </si>
  <si>
    <t>ACRYLIC BEAD CHAIN, BLUE</t>
  </si>
  <si>
    <t>35822B</t>
  </si>
  <si>
    <t>JEWELLED DECORATION,PINK</t>
  </si>
  <si>
    <t>35821P</t>
  </si>
  <si>
    <t>JEWELLED DECORATION,BLUE</t>
  </si>
  <si>
    <t>35821B</t>
  </si>
  <si>
    <t>ACRYLIC HANGING JEWEL,PINK</t>
  </si>
  <si>
    <t>35819P</t>
  </si>
  <si>
    <t>ACRYLIC HANGING JEWEL,BLUE</t>
  </si>
  <si>
    <t>35819B</t>
  </si>
  <si>
    <t>ACRYLIC JEWEL ICICLE, PINK</t>
  </si>
  <si>
    <t>35818P</t>
  </si>
  <si>
    <t>ACRYLIC JEWEL ICICLE, CLEAR</t>
  </si>
  <si>
    <t>35818C</t>
  </si>
  <si>
    <t>ACRYLIC JEWEL ICICLE, BLUE</t>
  </si>
  <si>
    <t>35818B</t>
  </si>
  <si>
    <t>ACRYLIC JEWEL SNOWFLAKE,PINK</t>
  </si>
  <si>
    <t>35817P</t>
  </si>
  <si>
    <t>ACRYLIC JEWEL SNOWFLAKE,BLUE</t>
  </si>
  <si>
    <t>35817B</t>
  </si>
  <si>
    <t>ACRYLIC JEWEL ANGEL,PINK</t>
  </si>
  <si>
    <t>35816P</t>
  </si>
  <si>
    <t>ACRYLIC JEWEL ANGEL,BLUE</t>
  </si>
  <si>
    <t>35816B</t>
  </si>
  <si>
    <t>ACRYLIC JEWEL SNOWFLAKE, PINK</t>
  </si>
  <si>
    <t>35815P</t>
  </si>
  <si>
    <t>35815B</t>
  </si>
  <si>
    <t>ENAMEL PINK SUGAR CONTAINER</t>
  </si>
  <si>
    <t>35811A</t>
  </si>
  <si>
    <t>ENAMEL BLUE RIM COFFEE CONTAINER</t>
  </si>
  <si>
    <t>35810B</t>
  </si>
  <si>
    <t>ENAMEL PINK COFFEE CONTAINER</t>
  </si>
  <si>
    <t>35810A</t>
  </si>
  <si>
    <t>ENAMEL PINK TEA CONTAINER</t>
  </si>
  <si>
    <t>35809a</t>
  </si>
  <si>
    <t>ENAMEL BLUE RIM TEA CONTAINER</t>
  </si>
  <si>
    <t>35809B</t>
  </si>
  <si>
    <t>35809A</t>
  </si>
  <si>
    <t>S/3 PUPPIES CHRISTMAS DECORATIONS</t>
  </si>
  <si>
    <t>PINK CURRENT CANDLE RING</t>
  </si>
  <si>
    <t>35751D</t>
  </si>
  <si>
    <t>PURPLE CURRENT CANDLE RING</t>
  </si>
  <si>
    <t>35751C</t>
  </si>
  <si>
    <t>VINTAGE BEAD FILLED PINK CUSHION</t>
  </si>
  <si>
    <t>VINTAGE BEAD NOTEBOOK</t>
  </si>
  <si>
    <t>VINTAGE BEAD CHAISE LONG JEWEL BOX</t>
  </si>
  <si>
    <t>VINTAGE BEAD PINK SCARF</t>
  </si>
  <si>
    <t>VINTAGE BEAD PINK JEWEL STAND</t>
  </si>
  <si>
    <t>VINTAGE BEAD COSMETIC BAG</t>
  </si>
  <si>
    <t>VINTAGE BEAD PINK PURSE</t>
  </si>
  <si>
    <t>VINTAGE BEAD PINK SHADE</t>
  </si>
  <si>
    <t>VINTAGE BEAD PINK EVENING BAG</t>
  </si>
  <si>
    <t>VINTAGE BEAD PINK JEWEL BOX</t>
  </si>
  <si>
    <t>PAIR PINK/BLACK COATHANGERS</t>
  </si>
  <si>
    <t>PINK/BLUE STRING CURTAIN</t>
  </si>
  <si>
    <t>35638B</t>
  </si>
  <si>
    <t>PINK AND BLACK STRING CURTAIN</t>
  </si>
  <si>
    <t>35638A</t>
  </si>
  <si>
    <t>PINK STRING CURTAIN WITH POLE</t>
  </si>
  <si>
    <t>35637C</t>
  </si>
  <si>
    <t>IVORY STRING CURTAIN WITH POLE</t>
  </si>
  <si>
    <t>35637A</t>
  </si>
  <si>
    <t>BLUE TINSEL GARLAND</t>
  </si>
  <si>
    <t>35633B</t>
  </si>
  <si>
    <t>BLACK ASSORTED DROPLET DECORATION</t>
  </si>
  <si>
    <t>35611B</t>
  </si>
  <si>
    <t>WHITE CHRISTMAS FLOCK DROPLET</t>
  </si>
  <si>
    <t>35610C</t>
  </si>
  <si>
    <t>BLACK CHRISTMAS FLOCK DROPLET</t>
  </si>
  <si>
    <t>35610B</t>
  </si>
  <si>
    <t>PINK CHRISTMAS FLOCK DROPLET</t>
  </si>
  <si>
    <t>35610A</t>
  </si>
  <si>
    <t>PINK FEATHER CHRISTMAS DECORATION</t>
  </si>
  <si>
    <t>35609A</t>
  </si>
  <si>
    <t>BLACK FEATHER CHRISTMAS DECORATION</t>
  </si>
  <si>
    <t>35607B</t>
  </si>
  <si>
    <t>PINK FLUFFY CHRISTMAS DECORATION</t>
  </si>
  <si>
    <t>35607A</t>
  </si>
  <si>
    <t>SET/16 WHITE SHINY &amp; MATT BAUBLES</t>
  </si>
  <si>
    <t>35603C</t>
  </si>
  <si>
    <t>S/16 BLACK SHINY/MAT BAUBLES</t>
  </si>
  <si>
    <t>35603B</t>
  </si>
  <si>
    <t>PINK AND WHITE CHRISTMAS TREE 180CM</t>
  </si>
  <si>
    <t>35600D</t>
  </si>
  <si>
    <t>PINK AND WHITE CHRISTMAS TREE 120CM</t>
  </si>
  <si>
    <t>35599D</t>
  </si>
  <si>
    <t>BLACK CHRISTMAS TREE 120CM</t>
  </si>
  <si>
    <t>35599B</t>
  </si>
  <si>
    <t>PINK/WHITE CHRISTMAS TREE 60CM</t>
  </si>
  <si>
    <t>35598D</t>
  </si>
  <si>
    <t>WHITE CHRISTMAS TREE 60CM</t>
  </si>
  <si>
    <t>35598C</t>
  </si>
  <si>
    <t>BLACK CHRISTMAS TREE 60CM</t>
  </si>
  <si>
    <t>35598B</t>
  </si>
  <si>
    <t>DUSTY PINK CHRISTMAS TREE 60CM</t>
  </si>
  <si>
    <t>35598A</t>
  </si>
  <si>
    <t>PINK/WHITE CHRISTMAS TREE 30CM</t>
  </si>
  <si>
    <t>35597D</t>
  </si>
  <si>
    <t>BLACKCHRISTMAS TREE 30CM</t>
  </si>
  <si>
    <t>35597B</t>
  </si>
  <si>
    <t>DUSTY PINK CHRISTMAS TREE 30CM</t>
  </si>
  <si>
    <t>35597A</t>
  </si>
  <si>
    <t>WOOD XMAS TREE 9 FIG SHELVES</t>
  </si>
  <si>
    <t>WOODEN CHRISTMAS TREE 3 HANGING</t>
  </si>
  <si>
    <t>TURQUOISE CHRISTMAS TREE</t>
  </si>
  <si>
    <t>35591T</t>
  </si>
  <si>
    <t>CANDLE RING W/CLEAR BEADS</t>
  </si>
  <si>
    <t>SET OF 3 BIRD LIGHT PINK FEATHER</t>
  </si>
  <si>
    <t>35471D</t>
  </si>
  <si>
    <t>SET OF 3 BIRD L.BLUE FEATHER</t>
  </si>
  <si>
    <t>35471A</t>
  </si>
  <si>
    <t>RASTA IN BATH W SPLIFF ASHTRAY</t>
  </si>
  <si>
    <t>WOODEN BOX ADVENT CALENDAR</t>
  </si>
  <si>
    <t>GOLD PRINT PAPER BAG</t>
  </si>
  <si>
    <t>35271S</t>
  </si>
  <si>
    <t>COLOURFUL FLOWER FRUIT BOWL</t>
  </si>
  <si>
    <t>ENAMEL BLUE RIM BISCUIT BIN</t>
  </si>
  <si>
    <t>ENAMEL BLUE RIM OVAL TRAY SET/2</t>
  </si>
  <si>
    <t>PASTA ENAMEL/BRASS CONTAINER</t>
  </si>
  <si>
    <t>BUDDHA INCENSE HOLDER ASSORTED</t>
  </si>
  <si>
    <t>RED VICTORIAN FABRIC HEART BOX</t>
  </si>
  <si>
    <t>35096B</t>
  </si>
  <si>
    <t>BLUE VICTORIAN FABRIC HEART BOX</t>
  </si>
  <si>
    <t>35096A</t>
  </si>
  <si>
    <t>RED VICTORIAN FABRIC OVAL BOX</t>
  </si>
  <si>
    <t>35095B</t>
  </si>
  <si>
    <t>BLUE VICTORIAN FABRIC OVAL BOX</t>
  </si>
  <si>
    <t>35095A</t>
  </si>
  <si>
    <t>IVORY ROSE LAMPSHADE</t>
  </si>
  <si>
    <t>35085E</t>
  </si>
  <si>
    <t>ASSORTED SANTA CHRISTMAS DECORATION</t>
  </si>
  <si>
    <t>PINK BEADED CONE CHRISTMAS</t>
  </si>
  <si>
    <t>35051B</t>
  </si>
  <si>
    <t>JACOBS LADDER SMALL</t>
  </si>
  <si>
    <t>SET OF 3 SILVER FLYING DUCKS</t>
  </si>
  <si>
    <t>35004s</t>
  </si>
  <si>
    <t>SET OF 3 PINK FLYING DUCKS</t>
  </si>
  <si>
    <t>35004p</t>
  </si>
  <si>
    <t>SET OF 3 COLOURED  FLYING DUCKS</t>
  </si>
  <si>
    <t>35004c</t>
  </si>
  <si>
    <t>35004S</t>
  </si>
  <si>
    <t>35004P</t>
  </si>
  <si>
    <t>SET OF 3 GOLD FLYING DUCKS</t>
  </si>
  <si>
    <t>35004G</t>
  </si>
  <si>
    <t>35004C</t>
  </si>
  <si>
    <t>SET OF 3 BLACK FLYING DUCKS</t>
  </si>
  <si>
    <t>35004B</t>
  </si>
  <si>
    <t>HAND OPEN SHAPE DECO.WHITE</t>
  </si>
  <si>
    <t>35001W</t>
  </si>
  <si>
    <t>HAND OPEN SHAPE PINK</t>
  </si>
  <si>
    <t>35001P</t>
  </si>
  <si>
    <t>HAND OPEN SHAPE GOLD</t>
  </si>
  <si>
    <t>35001G</t>
  </si>
  <si>
    <t>HAND OPEN SHAPE BLACK</t>
  </si>
  <si>
    <t>35001B</t>
  </si>
  <si>
    <t>ASSORTED FRUIT STRAWS</t>
  </si>
  <si>
    <t>30086C</t>
  </si>
  <si>
    <t>PAPER CRAFT , LITTLE BIRDIE</t>
  </si>
  <si>
    <t>High Resolution Image</t>
  </si>
  <si>
    <t>A PRETTY THANK YOU CARD</t>
  </si>
  <si>
    <t>DOILY THANK YOU CARD</t>
  </si>
  <si>
    <t>PAISLEY PARK CARD</t>
  </si>
  <si>
    <t>WRAP A PRETTY THANK YOU</t>
  </si>
  <si>
    <t>KEEP CALM BIRTHDAY WRAP</t>
  </si>
  <si>
    <t>LUNCH BAG RED VINTAGE DOILY</t>
  </si>
  <si>
    <t>FLOWER SHOP DESIGN MUG</t>
  </si>
  <si>
    <t>MILK MAIDS MUG</t>
  </si>
  <si>
    <t>HENRIETTA HEN MUG</t>
  </si>
  <si>
    <t>SET 10 CARD SNOWMAN 16965</t>
  </si>
  <si>
    <t>SET 10 CARD CHRISTMAS STAMPS 16963</t>
  </si>
  <si>
    <t>SET 10 CARDS FILIGREE BAUBLE 16961</t>
  </si>
  <si>
    <t>SET 10 CARDS DECK THE HALLS 16960</t>
  </si>
  <si>
    <t>SET 10 CARDS JINGLE BELLS 16957</t>
  </si>
  <si>
    <t>SET 10 CHRISTMAS CARDS HOHOHO 16956</t>
  </si>
  <si>
    <t>SET 10 CARDS CHRISTMAS TREE 16955</t>
  </si>
  <si>
    <t>SET 10 CARDS CHRISTMAS BAUBLE 16954</t>
  </si>
  <si>
    <t>SET 10 CARDS SCOTTIE DOG 17211</t>
  </si>
  <si>
    <t>SET 10 CARDS MAGICAL TREE 17086</t>
  </si>
  <si>
    <t>SET 10 CARDS ROBIN WATERPUMP  17096</t>
  </si>
  <si>
    <t>SET 10 CARDS OUT OF ORDER 17216</t>
  </si>
  <si>
    <t>SET 10 CARDS WISHING TREE 17116</t>
  </si>
  <si>
    <t>SET 10 CARDS CHRISTMAS HOLLY  17259</t>
  </si>
  <si>
    <t>SET 10 CARDS XMAS CHOIR 17068</t>
  </si>
  <si>
    <t>SET 10 CARDS WORLD CHILDREN 17067</t>
  </si>
  <si>
    <t>SET 10 CARDS CHEERFUL ROBIN 17065</t>
  </si>
  <si>
    <t>SET 10 CARDS HANGING BAUBLES 17080</t>
  </si>
  <si>
    <t>SET 10 CARDS DRESSING UP 17077</t>
  </si>
  <si>
    <t>SET 10 CARDS TRIANGLE ICONS  17220</t>
  </si>
  <si>
    <t>SET 10 CARDS XMAS GRAPHIC  17218</t>
  </si>
  <si>
    <t>SET 10 CARDS DINKY TREE 17076</t>
  </si>
  <si>
    <t>SET 6 CARDS SPARKLY REINDEER 17262</t>
  </si>
  <si>
    <t>SET 10 CARD PERFECT NATIVITY 17089</t>
  </si>
  <si>
    <t>SET 10 CARD CHRISTMAS WELCOME 17112</t>
  </si>
  <si>
    <t>SET 10 CARDS DAVID'S MADONNA 17074</t>
  </si>
  <si>
    <t>SET 10 CARDS PERFECT POST 17090</t>
  </si>
  <si>
    <t>SET 10 CARDS POINSETTIA 17093</t>
  </si>
  <si>
    <t>SET 10 CARDS SWIRLY XMAS TREE 17104</t>
  </si>
  <si>
    <t>SET 10 CARDS JINGLE BELLS 17217</t>
  </si>
  <si>
    <t>SET 10 CARDS PRINTED GRAPHIC 17219</t>
  </si>
  <si>
    <t>SET 10 CARDS 12 DAYS WRAP  17058</t>
  </si>
  <si>
    <t>SET 10 XMAS CARDS &amp; BADGES 17070</t>
  </si>
  <si>
    <t>SET 10 MINICARDS CUTE SNOWMAN 17071</t>
  </si>
  <si>
    <t>SET 10 CARDS RED RIDING HOOD 17214</t>
  </si>
  <si>
    <t>SET 10 CARDS CHRISTMAS ROBIN 17095</t>
  </si>
  <si>
    <t>SET 10 CARDS SNOWY ROBIN 17099</t>
  </si>
  <si>
    <t>SET 10 CARDS RUDOLPHS NOSE 17097</t>
  </si>
  <si>
    <t>SET 10 CARDS HATS &amp; STOCKINGS 17081</t>
  </si>
  <si>
    <t>SET 10 CARDS 12 DAYS OF XMAS 17059</t>
  </si>
  <si>
    <t>SET 10 MINI SANTA &amp; SNOWMAN  17087</t>
  </si>
  <si>
    <t>SET 10 CARD KRAFT REINDEER 17084</t>
  </si>
  <si>
    <t>SET 10 CARDS 3 WISE MEN 17107</t>
  </si>
  <si>
    <t>SET 10 CARDS SNOWY SNOWDROPS  17100</t>
  </si>
  <si>
    <t>PAPER BUNTING VINTAGE PARTY</t>
  </si>
  <si>
    <t>PAPER BUNTING PAISLEY PARK</t>
  </si>
  <si>
    <t>LUNCH BAG PAISLEY PARK</t>
  </si>
  <si>
    <t>VINTAGE DOILY JUMBO BAG RED</t>
  </si>
  <si>
    <t>JUMBO BAG PAISLEY PARK</t>
  </si>
  <si>
    <t>SNACK TRAY HAPPY FOREST</t>
  </si>
  <si>
    <t>SNACK TRAY I LOVE LONDON</t>
  </si>
  <si>
    <t>SNACK TRAY RED GINGHAM</t>
  </si>
  <si>
    <t>SNACK TRAY RED VINTAGE DOILY</t>
  </si>
  <si>
    <t>SNACK TRAY PAISLEY PARK</t>
  </si>
  <si>
    <t>PACKING CHARGE</t>
  </si>
  <si>
    <t>TRADITIONAL NAUGHTS &amp; CROSSES</t>
  </si>
  <si>
    <t>TRADITIONAL PICK UP STICKS GAME</t>
  </si>
  <si>
    <t>TRADTIONAL ALPHABET STAMP SET</t>
  </si>
  <si>
    <t>EGG CUP HENRIETTA HEN CREAM</t>
  </si>
  <si>
    <t>EGG CUP HENRIETTA HEN PINK</t>
  </si>
  <si>
    <t>EGG CUP MILKMAID HEIDI</t>
  </si>
  <si>
    <t>EGG CUP MILKMAID HELGA</t>
  </si>
  <si>
    <t>EGG CUP MILKMAID INGRID</t>
  </si>
  <si>
    <t>SET OF 6 RIBBONS PERFECTLY PRETTY</t>
  </si>
  <si>
    <t>SET OF 6 RIBBONS PARTY</t>
  </si>
  <si>
    <t>SET OF 6 RIBBONS COUNTRY STYLE</t>
  </si>
  <si>
    <t>WOODLAND BUNNIES LOLLY MAKERS</t>
  </si>
  <si>
    <t>LANDMARK FRAME LONDON BRIDGE</t>
  </si>
  <si>
    <t>LANDMARK FRAME BAKER STREET</t>
  </si>
  <si>
    <t>LANDMARK FRAME COVENT GARDEN</t>
  </si>
  <si>
    <t>LANDMARK FRAME NOTTING HILL</t>
  </si>
  <si>
    <t>LANDMARK FRAME OXFORD STREET</t>
  </si>
  <si>
    <t>LANDMARK FRAME CAMDEN TOWN</t>
  </si>
  <si>
    <t>BICYCLE PUNCTURE REPAIR KIT</t>
  </si>
  <si>
    <t>PACK OF 12 PAISLEY PARK TISSUES</t>
  </si>
  <si>
    <t>WRAP ALPHABET POSTER</t>
  </si>
  <si>
    <t>WRAP BIRD GARDEN</t>
  </si>
  <si>
    <t>WRAP MAGIC FOREST</t>
  </si>
  <si>
    <t>WRAP FLOWER SHOP</t>
  </si>
  <si>
    <t>WRAP PAISLEY PARK</t>
  </si>
  <si>
    <t>WRAP RED DOILEY</t>
  </si>
  <si>
    <t>WALL ART MID CENTURY MODERN</t>
  </si>
  <si>
    <t>KEEP CALM WALL ART</t>
  </si>
  <si>
    <t>70'S ALPHABET WALL ART</t>
  </si>
  <si>
    <t>WALL ART ,PUDDINGS</t>
  </si>
  <si>
    <t>WALL ART , THE MAGIC FOREST</t>
  </si>
  <si>
    <t>WALL ART , LOVES' SECRET</t>
  </si>
  <si>
    <t>WALL ART VINTAGE HEART</t>
  </si>
  <si>
    <t>I LOVE LONDON WALL ART</t>
  </si>
  <si>
    <t>VILLAGE SHOW WALL ART</t>
  </si>
  <si>
    <t>BICYCLE SAFTEY WALL ART</t>
  </si>
  <si>
    <t>STOP FOR TEA WALL ART</t>
  </si>
  <si>
    <t>WALL ART GARDEN HAVEN</t>
  </si>
  <si>
    <t>WALL ART WORK REST AND PLAY</t>
  </si>
  <si>
    <t>WALL ART BIG LOVE</t>
  </si>
  <si>
    <t>WALL ART ONLY ONE PERSON</t>
  </si>
  <si>
    <t>DOLLY GIRL WALL ART</t>
  </si>
  <si>
    <t>SPACEBOY WALL ART</t>
  </si>
  <si>
    <t>ANIMALS AND NATURE WALL ART</t>
  </si>
  <si>
    <t>DOG LICENCE WALL ART</t>
  </si>
  <si>
    <t>BUFFALO BILL WALL ART</t>
  </si>
  <si>
    <t>HORSE &amp; PONY WALL ART</t>
  </si>
  <si>
    <t>TREASURE AHOY WALL ART</t>
  </si>
  <si>
    <t>DOG AND BALL WALL ART</t>
  </si>
  <si>
    <t>CAT AND BIRD WALL ART</t>
  </si>
  <si>
    <t>EMBROIDERED RIBBON REEL RUBY</t>
  </si>
  <si>
    <t>EMBROIDERED RIBBON REEL CLAIRE</t>
  </si>
  <si>
    <t>EMBROIDERED RIBBON REEL RACHEL</t>
  </si>
  <si>
    <t>EMBROIDERED RIBBON REEL REBECCA</t>
  </si>
  <si>
    <t>EMBROIDERED RIBBON REEL SOPHIE</t>
  </si>
  <si>
    <t>EMBROIDERED RIBBON REEL DAISY</t>
  </si>
  <si>
    <t>EMBROIDERED RIBBON REEL SALLY</t>
  </si>
  <si>
    <t>EMBROIDERED RIBBON REEL SUSIE</t>
  </si>
  <si>
    <t>EMBROIDERED RIBBON REEL ROSIE</t>
  </si>
  <si>
    <t>EMBROIDERED RIBBON REEL EMILY</t>
  </si>
  <si>
    <t>MINI PLAYING CARDS GYMKHANA</t>
  </si>
  <si>
    <t>MINI PLAYING CARDS FUN FAIR</t>
  </si>
  <si>
    <t>MINI PLAYING CARDS DOLLY GIRL</t>
  </si>
  <si>
    <t>MINI PLAYING CARDS BUFFALO BILL</t>
  </si>
  <si>
    <t>MINI PLAYING CARDS SPACEBOY</t>
  </si>
  <si>
    <t>PLAYING CARDS I LOVE LONDON</t>
  </si>
  <si>
    <t>PLAYING CARDS JUBILEE UNION JACK</t>
  </si>
  <si>
    <t>PLAYING CARDS KEEP CALM &amp; CARRY ON</t>
  </si>
  <si>
    <t>PLAYING CARDS VINTAGE DOILEY</t>
  </si>
  <si>
    <t>KEY RING BASEBALL BOOT UNION JACK</t>
  </si>
  <si>
    <t>KEY RING BASEBALL BOOT ASSORTED</t>
  </si>
  <si>
    <t>SET 12 VINTAGE DOILY CHALK</t>
  </si>
  <si>
    <t>CLASSIC BICYCLE CLIPS</t>
  </si>
  <si>
    <t>CLASSIC CHROME BICYCLE BELL</t>
  </si>
  <si>
    <t>PANTRY KITCHEN THERMOMETER</t>
  </si>
  <si>
    <t>SET OF 3 PANTRY WOODEN SPOONS</t>
  </si>
  <si>
    <t>VINTAGE DOILY DELUXE SEWING KIT</t>
  </si>
  <si>
    <t>VINTAGE DOILY TRAVEL SEWING KIT</t>
  </si>
  <si>
    <t>VINTAGE JINGLE BELLS WREATH</t>
  </si>
  <si>
    <t>VINTAGE JINGLE BELLS HEART</t>
  </si>
  <si>
    <t>T-LIGHT HOLDER HANGING LOVE BIRD</t>
  </si>
  <si>
    <t>GARLAND, VINTAGE BELLS</t>
  </si>
  <si>
    <t>SWEET HEART CAKE CARRIER</t>
  </si>
  <si>
    <t>ANTIQUE HEART SHELF UNIT</t>
  </si>
  <si>
    <t>BOTANICAL GARDENS WALL CLOCK</t>
  </si>
  <si>
    <t>HEART TRELLISTRIPLE T-LIGHT HOLDER</t>
  </si>
  <si>
    <t>HANGING  BUTTERFLY T-LIGHT HOLDER</t>
  </si>
  <si>
    <t>PEARLISED IVORY HEART LARGE</t>
  </si>
  <si>
    <t>PEARLISED IVORY HEART SMALL</t>
  </si>
  <si>
    <t>MINI LIGHTS WOODLAND MUSHROOMS</t>
  </si>
  <si>
    <t>WIRE EGG BASKET</t>
  </si>
  <si>
    <t>WOODLAND LARGE PINK FELT HEART</t>
  </si>
  <si>
    <t>WOODLAND LARGE BLUE FELT HEART</t>
  </si>
  <si>
    <t>WOODLAND LARGE RED FELT HEART</t>
  </si>
  <si>
    <t>WOODLAND SMALL PINK FELT HEART</t>
  </si>
  <si>
    <t>WOODLAND SMALL BLUE FELT HEART</t>
  </si>
  <si>
    <t>WOODLAND SMALL RED FELT HEART</t>
  </si>
  <si>
    <t>NINE DRAWER OFFICE TIDY</t>
  </si>
  <si>
    <t>SIX DRAWER OFFICE TIDY</t>
  </si>
  <si>
    <t>CARD HOLDER LOVE BIRD LARGE</t>
  </si>
  <si>
    <t>CARD HOLDER LOVE BIRD SMALL</t>
  </si>
  <si>
    <t>TUSCAN VILLA BIRD TABLE</t>
  </si>
  <si>
    <t>VINTAGE ZINC PLANTER</t>
  </si>
  <si>
    <t>TUSCAN VILLA DOVECOTE</t>
  </si>
  <si>
    <t>TUSCAN VILLA FEEDING STATION</t>
  </si>
  <si>
    <t>VINTAGE ZINC WATERING CAN SMALL</t>
  </si>
  <si>
    <t>VINTAGE ZINC WATERING CAN</t>
  </si>
  <si>
    <t>ROCOCO WALL MIROR</t>
  </si>
  <si>
    <t>SWEETHEART BIRD HOUSE</t>
  </si>
  <si>
    <t>SWEETHEART WALL TIDY</t>
  </si>
  <si>
    <t>DOLLY CABINET 2 DRAWERS</t>
  </si>
  <si>
    <t>DOLLY CABINET 3 DRAWERS</t>
  </si>
  <si>
    <t>LARGE PARLOUR PICTURE FRAME</t>
  </si>
  <si>
    <t>MEDIUM PARLOUR PICTURE FRAME</t>
  </si>
  <si>
    <t>SMALL PARLOUR PICTURE FRAME</t>
  </si>
  <si>
    <t>SET OF 3 MINI HANGING PORTRAITS</t>
  </si>
  <si>
    <t>OVAL  MINI PORTRAIT FRAME</t>
  </si>
  <si>
    <t>HEART MINI PORTRAIT FRAME</t>
  </si>
  <si>
    <t>SQUARE MINI PORTRAIT FRAME</t>
  </si>
  <si>
    <t>SET OF 6 EASTER RAINBOW CHICKS</t>
  </si>
  <si>
    <t>CREAM BUNNY EASTER EGG BASKET</t>
  </si>
  <si>
    <t>PINK BUNNY EASTER EGG BASKET</t>
  </si>
  <si>
    <t>BLUE BUNNY EASTER EGG BASKET</t>
  </si>
  <si>
    <t>ICE CREAM BUBBLES</t>
  </si>
  <si>
    <t>Next Day Carriage</t>
  </si>
  <si>
    <t>12 HANGING EGGS HAND PAINTED</t>
  </si>
  <si>
    <t>HAND PAINTED HANGING EASTER EGG</t>
  </si>
  <si>
    <t>PAINT YOUR OWN EGGS IN CRATE</t>
  </si>
  <si>
    <t>HAND WARMER RED LOVE HEART</t>
  </si>
  <si>
    <t>RED SPOT GIFT BAG LARGE</t>
  </si>
  <si>
    <t>50'S CHRISTMAS GIFT BAG LARGE</t>
  </si>
  <si>
    <t>GIFT BAG LARGE VINTAGE CHRISTMAS</t>
  </si>
  <si>
    <t>3 RAFFIA RIBBONS VINTAGE CHRISTMAS</t>
  </si>
  <si>
    <t>3 RAFFIA RIBBONS 50'S CHRISTMAS</t>
  </si>
  <si>
    <t>HANGING QUILTED PATCHWORK APPLES</t>
  </si>
  <si>
    <t>PRETTY HANGING QUILTED HEARTS</t>
  </si>
  <si>
    <t>NATURAL HANGING QUILTED HEARTS</t>
  </si>
  <si>
    <t>BLUE RETRO KITCHEN WALL CLOCK</t>
  </si>
  <si>
    <t>RED RETRO KITCHEN WALL CLOCK</t>
  </si>
  <si>
    <t>IVORY RETRO KITCHEN WALL CLOCK</t>
  </si>
  <si>
    <t>STOOL HOME SWEET HOME</t>
  </si>
  <si>
    <t>METAL SIGN DROP YOUR PANTS</t>
  </si>
  <si>
    <t>STORAGE TIN HOME SWEET HOME</t>
  </si>
  <si>
    <t>GINGHAM RECIPE BOOK BOX</t>
  </si>
  <si>
    <t>PANTRY 3 HOOK ROLLING PIN HANGER</t>
  </si>
  <si>
    <t>PANTRY HOOK BALLOON WHISK</t>
  </si>
  <si>
    <t>PANTRY HOOK SPATULA</t>
  </si>
  <si>
    <t>PANTRY HOOK TEA STRAINER</t>
  </si>
  <si>
    <t>HOME SWEET HOME BOTTLE</t>
  </si>
  <si>
    <t>LAVENDER TOILETTE BOTTLE</t>
  </si>
  <si>
    <t>BATHROOM HOOK</t>
  </si>
  <si>
    <t>CHAMBRE HOOK</t>
  </si>
  <si>
    <t>HOME SWEET HOME HOOK</t>
  </si>
  <si>
    <t>ZINC BOX SIGN HOME</t>
  </si>
  <si>
    <t>VINTAGE COFFEE GRINDER BOX</t>
  </si>
  <si>
    <t>HEART MIRROR ANTIQUE WHITE</t>
  </si>
  <si>
    <t>TRELLIS COAT RACK</t>
  </si>
  <si>
    <t>CURIO CABINET LINEN AND LACE</t>
  </si>
  <si>
    <t>PHOTO FRAME LINEN AND LACE LARGE</t>
  </si>
  <si>
    <t>PHOTO FRAME LINEN AND LACE SMALL</t>
  </si>
  <si>
    <t>SET OF 2 TRAYS HOME SWEET HOME</t>
  </si>
  <si>
    <t>HOME SWEET HOME KEY HOLDER</t>
  </si>
  <si>
    <t>HOME SWEET HOME 2 DRAWER CABINET</t>
  </si>
  <si>
    <t>HOME SWEET HOME BLACKBOARD</t>
  </si>
  <si>
    <t>LETTER HOLDER HOME SWEET HOME</t>
  </si>
  <si>
    <t>HOME SWEEET HOME 3 PEG HANGER</t>
  </si>
  <si>
    <t>RUSTIC MIRROR WITH LACE HEART</t>
  </si>
  <si>
    <t>SHELF WITH 4 HOOKS HOME SWEET HOME</t>
  </si>
  <si>
    <t>HOME SWEET HOME HANGING HEART</t>
  </si>
  <si>
    <t>HANGING HEART BONHEUR</t>
  </si>
  <si>
    <t>FOOT STOOL HOME SWEET HOME</t>
  </si>
  <si>
    <t>BUTTERFLY CUSHION COVER</t>
  </si>
  <si>
    <t>BELLE JARDINIERE CUSHION COVER</t>
  </si>
  <si>
    <t>POSTE FRANCE CUSHION COVER</t>
  </si>
  <si>
    <t>HOME SWEET HOME CUSHION COVER</t>
  </si>
  <si>
    <t>SPACEBOY ROCKET LOLLY MAKERS</t>
  </si>
  <si>
    <t>I LOVE LONDON MINI BACKPACK</t>
  </si>
  <si>
    <t>DOLLY GIRL MINI BACKPACK</t>
  </si>
  <si>
    <t>SPACEBOY MINI BACKPACK</t>
  </si>
  <si>
    <t>WOODLAND MINI BACKPACK</t>
  </si>
  <si>
    <t>BOX OF 6 CHRISTMAS CAKE DECORATIONS</t>
  </si>
  <si>
    <t>PACK OF 12 VINTAGE LEAF TISSUES</t>
  </si>
  <si>
    <t>PACK OF 12 DOILEY TISSUES</t>
  </si>
  <si>
    <t>PACK OF 12 RED APPLE TISSUES</t>
  </si>
  <si>
    <t>PACK OF 12 50'S CHRISTMAS TISSUES</t>
  </si>
  <si>
    <t>PACK OF 12 DOLLY GIRL TISSUES</t>
  </si>
  <si>
    <t>PACK OF 12 VINTAGE CHRISTMAS TISSUE</t>
  </si>
  <si>
    <t>50'S CHRISTMAS PAPER GIFT BAG</t>
  </si>
  <si>
    <t>RED SPOT PAPER GIFT BAG</t>
  </si>
  <si>
    <t>VINTAGE CHRISTMAS PAPER GIFT BAG</t>
  </si>
  <si>
    <t>SET 36 COLOUR PENCILS DOLLY GIRL</t>
  </si>
  <si>
    <t>SET 36 COLOUR PENCILS SPACEBOY</t>
  </si>
  <si>
    <t>SET 36 COLOUR PENCILS DOILEY</t>
  </si>
  <si>
    <t>SET 36 COLOUR PENCILS LOVE LONDON</t>
  </si>
  <si>
    <t>SET 12 COLOUR PENCILS DOLLY GIRL</t>
  </si>
  <si>
    <t>SET 12 COLOUR PENCILS SPACEBOY</t>
  </si>
  <si>
    <t>SET 12 COLOUR PENCILS DOILEY</t>
  </si>
  <si>
    <t>SET 12 COLOUR PENCILS LOVE LONDON</t>
  </si>
  <si>
    <t>SET 8 CANDLES VINTAGE DOILEY</t>
  </si>
  <si>
    <t>SET OF 12 T-LIGHTS VINTAGE DOILEY</t>
  </si>
  <si>
    <t>HOT STUFF HOT WATER BOTTLE</t>
  </si>
  <si>
    <t>HOT WATER BOTTLE SEX BOMB</t>
  </si>
  <si>
    <t>LOVE HOT WATER BOTTLE</t>
  </si>
  <si>
    <t>HOT WATER BOTTLE KEEP CALM</t>
  </si>
  <si>
    <t>6 GIFT TAGS 50'S CHRISTMAS</t>
  </si>
  <si>
    <t>6 GIFT TAGS VINTAGE CHRISTMAS</t>
  </si>
  <si>
    <t>ROLL WRAP 50'S RED CHRISTMAS</t>
  </si>
  <si>
    <t>ROLL WRAP 50'S CHRISTMAS</t>
  </si>
  <si>
    <t>ROLL WRAP VINTAGE SPOT</t>
  </si>
  <si>
    <t>ROLL WRAP VINTAGE CHRISTMAS</t>
  </si>
  <si>
    <t>CHILDRENS TOY COOKING UTENSIL SET</t>
  </si>
  <si>
    <t>I LOVE LONDON BEAKER</t>
  </si>
  <si>
    <t>SPACEBOY BEAKER</t>
  </si>
  <si>
    <t>DOLLY GIRL BEAKER</t>
  </si>
  <si>
    <t>JUMBO BAG 50'S CHRISTMAS</t>
  </si>
  <si>
    <t>JUMBO BAG VINTAGE CHRISTMAS</t>
  </si>
  <si>
    <t>MINT DINER WALL CLOCK</t>
  </si>
  <si>
    <t>PINK DINER WALL CLOCK</t>
  </si>
  <si>
    <t>VINTAGE CHRISTMAS CAKE FRILL</t>
  </si>
  <si>
    <t>EGG FRYING PAN BLUE</t>
  </si>
  <si>
    <t>EGG FRYING PAN RED</t>
  </si>
  <si>
    <t>EGG FRYING PAN MINT</t>
  </si>
  <si>
    <t>EGG FRYING PAN PINK</t>
  </si>
  <si>
    <t>EGG FRYING PAN IVORY</t>
  </si>
  <si>
    <t>IVORY WICKER HEART SMALL</t>
  </si>
  <si>
    <t>IVORY WICKER HEART MEDIUM</t>
  </si>
  <si>
    <t>IVORY WICKER HEART LARGE</t>
  </si>
  <si>
    <t>DECORATIVE WICKER HEART SMALL</t>
  </si>
  <si>
    <t>DECORATIVE WICKER HEART MEDIUM</t>
  </si>
  <si>
    <t>DECORATIVE WICKER HEART LARGE</t>
  </si>
  <si>
    <t>SET 6 SCHOOL MILK BOTTLES IN CRATE</t>
  </si>
  <si>
    <t>HANGING CLEAR MINI BOTTLE</t>
  </si>
  <si>
    <t>HANGING MINI COLOURED BOTTLES</t>
  </si>
  <si>
    <t>RUSTIC STRAWBERRY JAM POT SMALL</t>
  </si>
  <si>
    <t>RUSTIC STRAWBERRY JAM POT LARGE</t>
  </si>
  <si>
    <t>WHITE WICKER STAR</t>
  </si>
  <si>
    <t>LARGE WHITE HEART OF WICKER</t>
  </si>
  <si>
    <t>SMALL WHITE HEART OF WICKER</t>
  </si>
  <si>
    <t>GIANT 50'S CHRISTMAS CRACKER</t>
  </si>
  <si>
    <t>BOX OF 6 MINI 50'S CRACKERS</t>
  </si>
  <si>
    <t>BOX OF 6 MINI VINTAGE CRACKERS</t>
  </si>
  <si>
    <t>BLUE REFECTORY CLOCK</t>
  </si>
  <si>
    <t>RED REFECTORY CLOCK</t>
  </si>
  <si>
    <t>IVORY REFECTORY CLOCK</t>
  </si>
  <si>
    <t>VINTAGE CHRISTMAS TABLECLOTH</t>
  </si>
  <si>
    <t>VINTAGE CHRISTMAS BUNTING</t>
  </si>
  <si>
    <t>VINTAGE CHRISTMAS GIFT SACK</t>
  </si>
  <si>
    <t>VINTAGE CHRISTMAS STOCKING</t>
  </si>
  <si>
    <t>BUBBLEGUM RING ASSORTED</t>
  </si>
  <si>
    <t>SET OF 60 I LOVE LONDON CAKE CASES</t>
  </si>
  <si>
    <t>SET OF 60 VINTAGE LEAF CAKE CASES</t>
  </si>
  <si>
    <t>SET OF 60 PANTRY DESIGN CAKE CASES</t>
  </si>
  <si>
    <t>SET OF 36 DOILIES PANTRY DESIGN</t>
  </si>
  <si>
    <t>SET 4 PICNIC CUTLERY BLUEBERRY</t>
  </si>
  <si>
    <t>SET 4 PICNIC CUTLERY CHERRY</t>
  </si>
  <si>
    <t>SET 4 PICNIC CUTLERY FONDANT</t>
  </si>
  <si>
    <t>KNEELING MAT HOUSEWORK  DESIGN</t>
  </si>
  <si>
    <t>GARDENERS KNEELING PAD KEEP CALM</t>
  </si>
  <si>
    <t>GARDENERS KNEELING PAD CUP OF TEA</t>
  </si>
  <si>
    <t>FOOD COVER WITH BEADS , SET 2 SIZES</t>
  </si>
  <si>
    <t>BUNTING , SPOTTY</t>
  </si>
  <si>
    <t>SET 40 HEART SHAPE PETIT FOUR CASES</t>
  </si>
  <si>
    <t>SET OF 6 TEA TIME BAKING CASES</t>
  </si>
  <si>
    <t>SET OF 12 MINI LOAF BAKING CASES</t>
  </si>
  <si>
    <t>SET OF 6 SNACK LOAF BAKING CASES</t>
  </si>
  <si>
    <t>SET OF 12 FAIRY CAKE BAKING CASES</t>
  </si>
  <si>
    <t>SPACE BOY CHILDRENS CUP</t>
  </si>
  <si>
    <t>DOLLY GIRL CHILDRENS CUP</t>
  </si>
  <si>
    <t>SPACEBOY CHILDRENS BOWL</t>
  </si>
  <si>
    <t>DOLLY GIRL CHILDRENS BOWL</t>
  </si>
  <si>
    <t>GREEN VINTAGE SPOT BEAKER</t>
  </si>
  <si>
    <t>RED VINTAGE SPOT BEAKER</t>
  </si>
  <si>
    <t>BLUE VINTAGE SPOT BEAKER</t>
  </si>
  <si>
    <t>PINK VINTAGE SPOT BEAKER</t>
  </si>
  <si>
    <t>DOORMAT KEEP CALM AND COME IN</t>
  </si>
  <si>
    <t>DOORMAT VINTAGE LEAVES DESIGN</t>
  </si>
  <si>
    <t>FOLDING BUTTERFLY MIRROR IVORY</t>
  </si>
  <si>
    <t>FOLDING BUTTERFLY MIRROR RED</t>
  </si>
  <si>
    <t>FOLDING BUTTERFLY MIRROR HOT PINK</t>
  </si>
  <si>
    <t>SET OF 3 HANGING OWLS OLLIE BEAK</t>
  </si>
  <si>
    <t>STAR T-LIGHT HOLDER WILLIE WINKIE</t>
  </si>
  <si>
    <t>HEART T-LIGHT HOLDER WILLIE WINKIE</t>
  </si>
  <si>
    <t>TREE T-LIGHT HOLDER WILLIE WINKIE</t>
  </si>
  <si>
    <t>CHRISTMAS TABLE CANDLE SILVER SPIKE</t>
  </si>
  <si>
    <t>SET OF 2 CERAMIC PAINTED HEARTS</t>
  </si>
  <si>
    <t>SET OF 2 CERAMIC CHRISTMAS TREES</t>
  </si>
  <si>
    <t>SET OF 2 CERAMIC CHRISTMAS REINDEER</t>
  </si>
  <si>
    <t>SET OF 4 SANTA PLACE SETTINGS</t>
  </si>
  <si>
    <t>SET OF 3 WOODEN STOCKING DECORATION</t>
  </si>
  <si>
    <t>SET OF 3 WOODEN TREE DECORATIONS</t>
  </si>
  <si>
    <t>SET OF 3 WOODEN SLEIGH DECORATIONS</t>
  </si>
  <si>
    <t>SET OF 3 WOODEN HEART DECORATIONS</t>
  </si>
  <si>
    <t>CHILDRENS CUTLERY SPACEBOY</t>
  </si>
  <si>
    <t>CHILDRENS CUTLERY CIRCUS PARADE</t>
  </si>
  <si>
    <t>CHILDRENS CUTLERY DOLLY GIRL</t>
  </si>
  <si>
    <t>16 PIECE CUTLERY SET PANTRY DESIGN</t>
  </si>
  <si>
    <t>VINTAGE RED ENAMEL TRIM JUG</t>
  </si>
  <si>
    <t>VINTAGE RED ENAMEL TRIM MUG</t>
  </si>
  <si>
    <t>VINTAGE RED TRIM ENAMEL BOWL</t>
  </si>
  <si>
    <t>VINTAGE RED ENAMEL TRIM PLATE</t>
  </si>
  <si>
    <t>BISCUIT TIN 50'S CHRISTMAS</t>
  </si>
  <si>
    <t>SET OF 3 REGENCY CAKE TINS</t>
  </si>
  <si>
    <t>CANNISTER VINTAGE LEAF DESIGN</t>
  </si>
  <si>
    <t>SET OF TEA COFFEE SUGAR TINS PANTRY</t>
  </si>
  <si>
    <t>TREASURE TIN BUFFALO BILL</t>
  </si>
  <si>
    <t>TREASURE TIN GYMKHANA DESIGN</t>
  </si>
  <si>
    <t>SET OF 4 KNICK KNACK TINS DOILEY</t>
  </si>
  <si>
    <t>SET OF 4 KNICK KNACK TINS POPPIES</t>
  </si>
  <si>
    <t>SET OF 4 KNICK KNACK TINS LONDON</t>
  </si>
  <si>
    <t>SET OF 4 KNICK KNACK TINS LEAVES</t>
  </si>
  <si>
    <t>DOILEY BISCUIT TIN</t>
  </si>
  <si>
    <t>BISCUIT TIN VINTAGE LEAF</t>
  </si>
  <si>
    <t>BISCUIT TIN VINTAGE CHRISTMAS</t>
  </si>
  <si>
    <t>WRAP POPPIES  DESIGN</t>
  </si>
  <si>
    <t>WRAP VINTAGE PETALS  DESIGN</t>
  </si>
  <si>
    <t>WRAP DOILEY DESIGN</t>
  </si>
  <si>
    <t>WRAP ALPHABET DESIGN</t>
  </si>
  <si>
    <t>DONKEY TAIL GAME</t>
  </si>
  <si>
    <t>FILIGREE HEART BIRD WHITE</t>
  </si>
  <si>
    <t>FILIGREE HEART BUTTERFLY WHITE</t>
  </si>
  <si>
    <t>FILIGREE HEART DAISY WHITE</t>
  </si>
  <si>
    <t>CHERUB HEART DECORATION SILVER</t>
  </si>
  <si>
    <t>CHERUB HEART DECORATION GOLD</t>
  </si>
  <si>
    <t>CHRISTMAS TREE HANGING SILVER</t>
  </si>
  <si>
    <t>CHRISTMAS TREE HANGING GOLD</t>
  </si>
  <si>
    <t>REINDEER HEART DECORATION SILVER</t>
  </si>
  <si>
    <t>REINDEER HEART DECORATION GOLD</t>
  </si>
  <si>
    <t>LAUREL STAR ANTIQUE SILVER</t>
  </si>
  <si>
    <t>LAUREL STAR ANTIQUE GOLD</t>
  </si>
  <si>
    <t>LAUREL HEART ANTIQUE SILVER</t>
  </si>
  <si>
    <t>LAUREL HEART ANTIQUE GOLD</t>
  </si>
  <si>
    <t>JINGLE BELL HEART ANTIQUE SILVER</t>
  </si>
  <si>
    <t>JINGLE BELL HEART ANTIQUE GOLD</t>
  </si>
  <si>
    <t>STAR WREATH DECORATION WITH BELL</t>
  </si>
  <si>
    <t>HEART WREATH DECORATION WITH BELL</t>
  </si>
  <si>
    <t>RED ROCKING HORSE HAND PAINTED</t>
  </si>
  <si>
    <t>WHITE ROCKING HORSE HAND PAINTED</t>
  </si>
  <si>
    <t>LUNCH BAG DOILEY PATTERN</t>
  </si>
  <si>
    <t>LUNCH BAG VINTAGE LEAF DESIGN</t>
  </si>
  <si>
    <t>LUNCH BAG ALPHABET DESIGN</t>
  </si>
  <si>
    <t>LUNCH BAG APPLE DESIGN</t>
  </si>
  <si>
    <t>CHARLOTTE BAG ALPHABET  DESIGN</t>
  </si>
  <si>
    <t>CHARLOTTE BAG APPLES DESIGN</t>
  </si>
  <si>
    <t>JUMBO BAG DOILEY PATTERNS</t>
  </si>
  <si>
    <t>JUMBO BAG VINTAGE LEAF</t>
  </si>
  <si>
    <t>JUMBO BAG ALPHABET</t>
  </si>
  <si>
    <t>JUMBO BAG PEARS</t>
  </si>
  <si>
    <t>JUMBO BAG APPLES</t>
  </si>
  <si>
    <t>PANTRY MAGNETIC  SHOPPING LIST</t>
  </si>
  <si>
    <t>SKETCHBOOK MAGNETIC SHOPPING LIST</t>
  </si>
  <si>
    <t>RETO LEAVES MAGNETIC SHOPPING LIST</t>
  </si>
  <si>
    <t>GYMKHANA TREASURE BOOK BOX</t>
  </si>
  <si>
    <t>BUFFALO BILL TREASURE BOOK BOX</t>
  </si>
  <si>
    <t>BUNDLE OF 3 ALPHABET EXERCISE BOOKS</t>
  </si>
  <si>
    <t>BUNDLE OF 3 RETRO EXERCISE BOOKS</t>
  </si>
  <si>
    <t>BUNDLE OF 3 SCHOOL EXERCISE BOOKS</t>
  </si>
  <si>
    <t>SET OF 12 FORK CANDLES</t>
  </si>
  <si>
    <t>VINTAGE  2 METER FOLDING RULER</t>
  </si>
  <si>
    <t>FRENCH STYLE STORAGE JAR BONBONS</t>
  </si>
  <si>
    <t>FRENCH STYLE STORAGE JAR CAFE</t>
  </si>
  <si>
    <t>FRENCH STYLE STORAGE JAR JAM</t>
  </si>
  <si>
    <t>BULL DOG BOTTLE OPENER</t>
  </si>
  <si>
    <t>MOTHER'S KITCHEN SPOON REST</t>
  </si>
  <si>
    <t>TOILET SIGN OCCUPIED OR VACANT</t>
  </si>
  <si>
    <t>BULL DOG BOTTLE TOP WALL CLOCK</t>
  </si>
  <si>
    <t>MUM'S KITCHEN CLOCK</t>
  </si>
  <si>
    <t>CLOCK MAGNET MUM'S KITCHEN</t>
  </si>
  <si>
    <t>JAM CLOCK MAGNET</t>
  </si>
  <si>
    <t>TREASURE ISLAND BOOK BOX</t>
  </si>
  <si>
    <t>ABC TREASURE BOOK BOX</t>
  </si>
  <si>
    <t>REGENCY MILK JUG PINK</t>
  </si>
  <si>
    <t>REGENCY SUGAR BOWL GREEN</t>
  </si>
  <si>
    <t>REGENCY TEAPOT ROSES</t>
  </si>
  <si>
    <t>REGENCY TEA PLATE PINK</t>
  </si>
  <si>
    <t>REGENCY TEA PLATE GREEN</t>
  </si>
  <si>
    <t>REGENCY TEA PLATE ROSES</t>
  </si>
  <si>
    <t>CLASSIC GLASS COOKIE JAR</t>
  </si>
  <si>
    <t>CLASSIC CAFE SUGAR DISPENSER</t>
  </si>
  <si>
    <t>SMALL CERAMIC TOP STORAGE JAR</t>
  </si>
  <si>
    <t>MEDIUM CERAMIC TOP STORAGE JAR</t>
  </si>
  <si>
    <t>LARGE CERAMIC TOP STORAGE JAR</t>
  </si>
  <si>
    <t>REGENCY CAKE SLICE</t>
  </si>
  <si>
    <t>REGENCY SUGAR TONGS</t>
  </si>
  <si>
    <t>REGENCY TEA STRAINER</t>
  </si>
  <si>
    <t>REGENCY CAKE FORK</t>
  </si>
  <si>
    <t>REGENCY TEA SPOON</t>
  </si>
  <si>
    <t>SET OF 5 PANCAKE DAY MAGNETS</t>
  </si>
  <si>
    <t>SET OF 5 LUCKY CAT MAGNETS</t>
  </si>
  <si>
    <t>SET OF 6 NATIVITY MAGNETS</t>
  </si>
  <si>
    <t>SET OF 5 MINI GROCERY MAGNETS</t>
  </si>
  <si>
    <t>KNICKERBOCKERGLORY MAGNET ASSORTED</t>
  </si>
  <si>
    <t>SET OF 4 JAM JAR MAGNETS</t>
  </si>
  <si>
    <t>ZINC SWEETHEART WIRE LETTER RACK</t>
  </si>
  <si>
    <t>IVORY SWEETHEART WIRE LETTER RACK</t>
  </si>
  <si>
    <t>ZINC SWEETHEART SOAP DISH</t>
  </si>
  <si>
    <t>IVORY SWEETHEART SOAP DISH</t>
  </si>
  <si>
    <t>ANTIQUE IVORY WIRE BOWL SMALL</t>
  </si>
  <si>
    <t>MINIATURE ANTIQUE ROSE HOOK IVORY</t>
  </si>
  <si>
    <t>SINGLE ANTIQUE ROSE HOOK IVORY</t>
  </si>
  <si>
    <t>TRIPLE HOOK ANTIQUE IVORY ROSE</t>
  </si>
  <si>
    <t>ZINC T-LIGHT HOLDER STAR LARGE</t>
  </si>
  <si>
    <t>ZINC T-LIGHT HOLDER STARS SMALL</t>
  </si>
  <si>
    <t>ZINC WIRE KITCHEN ORGANISER</t>
  </si>
  <si>
    <t>IVORY WIRE KITCHEN ORGANISER</t>
  </si>
  <si>
    <t>TRIPLE WIRE HOOK PINK HEART</t>
  </si>
  <si>
    <t>TRIPLE WIRE HOOK IVORY HEART</t>
  </si>
  <si>
    <t>SINGLE WIRE HOOK PINK HEART</t>
  </si>
  <si>
    <t>SINGLE WIRE HOOK IVORY HEART</t>
  </si>
  <si>
    <t>ZINC WIRE SWEETHEART LETTER TRAY</t>
  </si>
  <si>
    <t>IVORY WIRE SWEETHEART LETTER TRAY</t>
  </si>
  <si>
    <t>SMALL ZINC HEART WALL ORGANISER</t>
  </si>
  <si>
    <t>LARGE ZINC HEART WALL ORGANISER</t>
  </si>
  <si>
    <t>LARGE IVORY HEART WALL ORGANISER</t>
  </si>
  <si>
    <t>SMALL IVORY HEART WALL ORGANISER</t>
  </si>
  <si>
    <t>MISTLETOE HEART WREATH CREAM</t>
  </si>
  <si>
    <t>MISELTOE HEART WREATH</t>
  </si>
  <si>
    <t>HEART SHAPED HOLLY WREATH</t>
  </si>
  <si>
    <t>DOLLCRAFT BOY JEAN-PAUL</t>
  </si>
  <si>
    <t>DOLLCRAFT GIRL NICOLE</t>
  </si>
  <si>
    <t>DOLLCRAFT GIRL AMELIE</t>
  </si>
  <si>
    <t>6PC WOOD PLATE SET DISPOSABLE</t>
  </si>
  <si>
    <t>18PC WOODEN CUTLERY SET DISPOSABLE</t>
  </si>
  <si>
    <t>COCKTAIL SWORDS 50 PIECES</t>
  </si>
  <si>
    <t>PARTY CHARMS 50 PIECES</t>
  </si>
  <si>
    <t>PACK OF 6 COCKTAIL PARASOL STRAWS</t>
  </si>
  <si>
    <t>PACK OF 6 SMALL FRUIT STRAWS</t>
  </si>
  <si>
    <t>PACK OF 6 LARGE FRUIT STRAWS</t>
  </si>
  <si>
    <t>PARISIENNE JEWELLERY DRAWER</t>
  </si>
  <si>
    <t>POPPY FIELDS CHOPPING BOARD</t>
  </si>
  <si>
    <t>VEGETABLE GARDEN CHOPPING BOARD</t>
  </si>
  <si>
    <t>RED APPLES CHOPPING BOARD</t>
  </si>
  <si>
    <t>VINTAGE LEAF CHOPPING BOARD</t>
  </si>
  <si>
    <t>PANTRY CHOPPING BOARD</t>
  </si>
  <si>
    <t>PARISIENNE CURIO CABINET</t>
  </si>
  <si>
    <t>PARISIENNE SEWING BOX</t>
  </si>
  <si>
    <t>PARISIENNE KEY CABINET</t>
  </si>
  <si>
    <t>LED TEA LIGHTS</t>
  </si>
  <si>
    <t>SET OF 10 LED DOLLY LIGHTS</t>
  </si>
  <si>
    <t>WHITE HEARTS WIRE PLANT POT HOLDER</t>
  </si>
  <si>
    <t>ZINC HEARTS PLANT POT HOLDER</t>
  </si>
  <si>
    <t>IVORY CAFE HANGING LAMP</t>
  </si>
  <si>
    <t>BELL HEART DECORATION</t>
  </si>
  <si>
    <t>SILVER HEARTS TABLE DECORATION</t>
  </si>
  <si>
    <t>SILVER STARS TABLE DECORATION</t>
  </si>
  <si>
    <t>SILVER BELLS TABLE DECORATION</t>
  </si>
  <si>
    <t>FRENCH CARRIAGE LANTERN</t>
  </si>
  <si>
    <t>PETIT TRAY CHIC</t>
  </si>
  <si>
    <t>LE GRAND TRAY CHIC SET</t>
  </si>
  <si>
    <t>SMALL PARISIENNE HEART PHOTO FRAME</t>
  </si>
  <si>
    <t>LARGE ANTIQUE WHITE PHOTO FRAME</t>
  </si>
  <si>
    <t>METAL HERB GERDEN CONTAINER</t>
  </si>
  <si>
    <t>VINTAGE GLASS T-LIGHT HOLDER</t>
  </si>
  <si>
    <t>GLASS BON BON JAR</t>
  </si>
  <si>
    <t>ZINC HEART FLOWER T-LIGHT HOLDER</t>
  </si>
  <si>
    <t>ZINC  HEART T-LIGHT HOLDER</t>
  </si>
  <si>
    <t>ZINC  STAR T-LIGHT HOLDER</t>
  </si>
  <si>
    <t>ANTIQUE SILVER BAUBLE LAMP</t>
  </si>
  <si>
    <t>RABBIT NIGHT LIGHT</t>
  </si>
  <si>
    <t>SET 6 PAPER TABLE LANTERN STARS</t>
  </si>
  <si>
    <t>SET 6 PAPER TABLE LANTERN HEARTS</t>
  </si>
  <si>
    <t>GREEN METAL BOX ARMY SUPPLIES</t>
  </si>
  <si>
    <t>RED METAL BOX TOP SECRET</t>
  </si>
  <si>
    <t>TOADSTOOL BEDSIDE LIGHT</t>
  </si>
  <si>
    <t>ICE CREAM PEN LIP GLOSS</t>
  </si>
  <si>
    <t>DOUGHNUT LIP GLOSS</t>
  </si>
  <si>
    <t>ICE CREAM SUNDAE LIP GLOSS</t>
  </si>
  <si>
    <t>DOUBLE CERAMIC PARLOUR HOOK</t>
  </si>
  <si>
    <t>EMBOSSED HEART TRINKET BOX</t>
  </si>
  <si>
    <t>GEORGIAN TRINKET BOX</t>
  </si>
  <si>
    <t>MARIE ANTOINETTE TRINKET BOX SILVER</t>
  </si>
  <si>
    <t>MARIE ANTOIENETT TRINKET BOX GOLD</t>
  </si>
  <si>
    <t>EDWARDIAN HEART PHOTO FRAME</t>
  </si>
  <si>
    <t>EDWARDIAN PHOTO FRAME</t>
  </si>
  <si>
    <t>ALUMINIUM STAMPED HEART</t>
  </si>
  <si>
    <t>HANGING ENGRAVED METAL HEART</t>
  </si>
  <si>
    <t>SMALL DECO JEWELLERY STAND</t>
  </si>
  <si>
    <t>LARGE DECO JEWELLERY STAND</t>
  </si>
  <si>
    <t>CINDERELLA CHANDELIER</t>
  </si>
  <si>
    <t>VINTAGE EMBOSSED HEART</t>
  </si>
  <si>
    <t>HEART BEADED TRELLIS DECORATION</t>
  </si>
  <si>
    <t>CHRISTMAS HANGING SNOWFLAKE</t>
  </si>
  <si>
    <t>BEADED CHANDELIER T-LIGHT HOLDER</t>
  </si>
  <si>
    <t>FLOWERS CHANDELIER T-LIGHT HOLDER</t>
  </si>
  <si>
    <t>IVORY CHANDELIER T-LIGHT HOLDER</t>
  </si>
  <si>
    <t>RECYCLED ACAPULCO MAT LAVENDER</t>
  </si>
  <si>
    <t>RECYCLED ACAPULCO MAT PINK</t>
  </si>
  <si>
    <t>RECYCLED ACAPULCO MAT TURQUOISE</t>
  </si>
  <si>
    <t>RECYCLED ACAPULCO MAT BLUE</t>
  </si>
  <si>
    <t>RECYCLED ACAPULCO MAT GREEN</t>
  </si>
  <si>
    <t>RECYCLED ACAPULCO MAT RED</t>
  </si>
  <si>
    <t>SET OF 10 LANTERNS FAIRY LIGHT STAR</t>
  </si>
  <si>
    <t>PAPER LANTERN 5 POINT SEQUIN STAR</t>
  </si>
  <si>
    <t>PAPER LANTERN 9 POINT DELUXE STAR</t>
  </si>
  <si>
    <t>PAPER LANTERN 5 POINT STAR MOON 30</t>
  </si>
  <si>
    <t>PAPER LANTERN 9 POINT HOLLY STAR 23</t>
  </si>
  <si>
    <t>PAPER LANTERN 9 POINT HOLLY STAR 40</t>
  </si>
  <si>
    <t>PAPER LANTERN 7 POINT SNOW STAR</t>
  </si>
  <si>
    <t>PAPER LANTERN 9 POINT SNOW STAR</t>
  </si>
  <si>
    <t>T-LIGHT HOLDER SILVER HEART HANDLE</t>
  </si>
  <si>
    <t>T-LIGHT HOLDER SILVER SAUCER</t>
  </si>
  <si>
    <t>CANDLE HOLDER SILVER MADELINE</t>
  </si>
  <si>
    <t>T-LIGHT HOLDER SILVER PETIT FOUR</t>
  </si>
  <si>
    <t>DRAWER KNOB CERAMIC IVORY</t>
  </si>
  <si>
    <t>DRAWER KNOB CERAMIC BLACK</t>
  </si>
  <si>
    <t>DRAWER KNOB CERAMIC RED</t>
  </si>
  <si>
    <t>DOORKNOB CRACKED GLAZE IVORY</t>
  </si>
  <si>
    <t>DOORKNOB CRACKED GLAZE PINK</t>
  </si>
  <si>
    <t>DOORKNOB CRACKED GLAZE GREEN</t>
  </si>
  <si>
    <t>DOORKNOB CRACKED GLAZE BLUE</t>
  </si>
  <si>
    <t>DRAWER KNOB VINTAGE GLASS HEXAGON</t>
  </si>
  <si>
    <t>DRAWER KNOB VINTAGE GLASS STAR</t>
  </si>
  <si>
    <t>DRAWER KNOB VINTAGE GLASS BALL</t>
  </si>
  <si>
    <t>LARGE BONNE JAM JAR  T-LIGHT HOLDER</t>
  </si>
  <si>
    <t>RIDGED BONNE JAM JAR T-LIGHT HOLDER</t>
  </si>
  <si>
    <t>SMALL BONNE JAM JAR  T-LIGHT HOLDER</t>
  </si>
  <si>
    <t>GLASS BONNE JAM JAR</t>
  </si>
  <si>
    <t>GLASS  SONGBIRD STORAGE JAR</t>
  </si>
  <si>
    <t>SMALL APOTHECARY MEASURING JAR</t>
  </si>
  <si>
    <t>LARGE APOTHECARY MEASURING JAR</t>
  </si>
  <si>
    <t>APOTHECARY MEASURING JAR</t>
  </si>
  <si>
    <t>GLASS TWIST BON BON JAR</t>
  </si>
  <si>
    <t>CORDIAL GLASS JUG</t>
  </si>
  <si>
    <t>GLASS APOTHECARY BOTTLE ELIXIR</t>
  </si>
  <si>
    <t>GLASS APOTHECARY BOTTLE TONIC</t>
  </si>
  <si>
    <t>GLASS APOTHECARY BOTTLE PERFUME</t>
  </si>
  <si>
    <t>CIRCUS PARADE BABY GIFT SET</t>
  </si>
  <si>
    <t>I LOVE LONDON BABY GIFT SET</t>
  </si>
  <si>
    <t>DOLLY GIRL BABY GIFT SET</t>
  </si>
  <si>
    <t>SPACEBOY BABY GIFT SET</t>
  </si>
  <si>
    <t>TRAVEL CARD WALLET FLOWER MEADOW</t>
  </si>
  <si>
    <t>TRAVEL CARD WALLET I LOVE LONDON</t>
  </si>
  <si>
    <t>TRAVEL CARD WALLET PANTRY</t>
  </si>
  <si>
    <t>TRAVEL CARD WALLET VINTAGE ROSE</t>
  </si>
  <si>
    <t>TRAVEL CARD WALLET SKULLS</t>
  </si>
  <si>
    <t>TRAVEL CARD WALLET TRANSPORT</t>
  </si>
  <si>
    <t>TRAVEL CARD WALLET RETRO PETALS</t>
  </si>
  <si>
    <t>TRAVEL CARD WALLET KEEP CALM</t>
  </si>
  <si>
    <t>TRAVEL CARD WALLET UNION JACK</t>
  </si>
  <si>
    <t>TRAVEL CARD WALLET VINTAGE TICKET</t>
  </si>
  <si>
    <t>TRAVEL CARD WALLET SUKI</t>
  </si>
  <si>
    <t>TRAVEL CARD WALLET RETROSPOT</t>
  </si>
  <si>
    <t>SET OF 4 PANTRY JELLY MOULDS</t>
  </si>
  <si>
    <t>REVOLVER WOODEN RULER</t>
  </si>
  <si>
    <t>GIRAFFE WOODEN RULER</t>
  </si>
  <si>
    <t>COTTON APRON PANTRY DESIGN</t>
  </si>
  <si>
    <t>SET 2 PANTRY DESIGN TEA TOWELS</t>
  </si>
  <si>
    <t>SOLDIERS EGG CUP</t>
  </si>
  <si>
    <t>WRAP , SUMMER ROSE DESIGN</t>
  </si>
  <si>
    <t>GINGHAM ROSE WRAP</t>
  </si>
  <si>
    <t>WRAP, BILLBOARD FONTS DESIGN</t>
  </si>
  <si>
    <t>CARD, GINGHAM ROSE</t>
  </si>
  <si>
    <t>CARD, BILLBOARD FONT</t>
  </si>
  <si>
    <t>PANTRY PASTRY BRUSH</t>
  </si>
  <si>
    <t>PANTRY APPLE CORER</t>
  </si>
  <si>
    <t>PANTRY SCRUBBING BRUSH</t>
  </si>
  <si>
    <t>PANTRY WASHING UP BRUSH</t>
  </si>
  <si>
    <t>PANTRY ROLLING PIN</t>
  </si>
  <si>
    <t>DOLLY GIRL CHILDRENS EGG CUP</t>
  </si>
  <si>
    <t>CIRCUS PARADE CHILDRENS EGG CUP</t>
  </si>
  <si>
    <t>SPACEBOY CHILDRENS EGG CUP</t>
  </si>
  <si>
    <t>CHILDRENS DOLLY GIRL MUG</t>
  </si>
  <si>
    <t>CHILDREN'S CIRCUS PARADE MUG</t>
  </si>
  <si>
    <t>CHILDREN'S SPACEBOY MUG</t>
  </si>
  <si>
    <t>QUEENS GUARD COFFEE MUG</t>
  </si>
  <si>
    <t>LONDON BUS COFFEE MUG</t>
  </si>
  <si>
    <t>HOMEMADE JAM SCENTED CANDLES</t>
  </si>
  <si>
    <t>ROSE COTTAGE KEEPSAKE BOX</t>
  </si>
  <si>
    <t>SET 3 SONG BIRD PAPER EGGS ASSORTED</t>
  </si>
  <si>
    <t>GINGERBREAD MAN COOKIE CUTTER</t>
  </si>
  <si>
    <t>3 TRADITIONAl BISCUIT CUTTERS  SET</t>
  </si>
  <si>
    <t>3 PIECE SPACEBOY COOKIE CUTTER SET</t>
  </si>
  <si>
    <t>JAM JAR WITH BLUE LID</t>
  </si>
  <si>
    <t>JAM JAR WITH PINK LID</t>
  </si>
  <si>
    <t>JAM MAKING SET PRINTED</t>
  </si>
  <si>
    <t>JAM MAKING SET WITH JARS</t>
  </si>
  <si>
    <t>WRAP CHRISTMAS VILLAGE</t>
  </si>
  <si>
    <t>SET 3 PAPER VINTAGE CHICK PAPER EGG</t>
  </si>
  <si>
    <t>36 FOIL HEART CAKE CASES</t>
  </si>
  <si>
    <t>36 FOIL STAR CAKE CASES</t>
  </si>
  <si>
    <t>HEN PARTY BANNER TAPE</t>
  </si>
  <si>
    <t>BIRTHDAY BANNER TAPE</t>
  </si>
  <si>
    <t>60 CAKE CASES VINTAGE CHRISTMAS</t>
  </si>
  <si>
    <t>60 CAKE CASES DOLLY GIRL DESIGN</t>
  </si>
  <si>
    <t>36 DOILIES VINTAGE CHRISTMAS</t>
  </si>
  <si>
    <t>36 DOILIES DOLLY GIRL</t>
  </si>
  <si>
    <t>METAL DECORATION NAUGHTY CHILDREN</t>
  </si>
  <si>
    <t>WOODEN ADVENT CALENDAR RED</t>
  </si>
  <si>
    <t>WOODEN ADVENT CALENDAR CREAM</t>
  </si>
  <si>
    <t>CHRISTMAS METAL TAGS ASSORTED</t>
  </si>
  <si>
    <t>CHRISTMAS METAL POSTCARD WITH BELLS</t>
  </si>
  <si>
    <t>CHRISTMAS LIGHTS 10 VINTAGE BAUBLES</t>
  </si>
  <si>
    <t>CHRISTMAS LIGHTS 10 SANTAS</t>
  </si>
  <si>
    <t>CHRISTMAS LIGHTS 10 REINDEER</t>
  </si>
  <si>
    <t>FELTCRAFT CHRISTMAS FAIRY</t>
  </si>
  <si>
    <t>APRON APPLE DELIGHT</t>
  </si>
  <si>
    <t>CUPCAKE LACE PAPER SET 6</t>
  </si>
  <si>
    <t>BAKING MOULD CHOCOLATE CUP CAKES</t>
  </si>
  <si>
    <t>BAKING MOULD ROSE WHITE CHOCOLATE</t>
  </si>
  <si>
    <t>BAKING MOULD ROSE MILK CHOCOLATE</t>
  </si>
  <si>
    <t>BAKING MOULD EASTER EGG WHITE CHOC</t>
  </si>
  <si>
    <t>BAKING MOULD EASTER EGG MILK CHOC</t>
  </si>
  <si>
    <t>BAKING MOULD TOFFEE CUP  CHOCOLATE</t>
  </si>
  <si>
    <t>BAKING MOULD HEART WHITE CHOCOLATE</t>
  </si>
  <si>
    <t>BAKING MOULD HEART MILK CHOCOLATE</t>
  </si>
  <si>
    <t>SCHOOL DESK AND CHAIR</t>
  </si>
  <si>
    <t>YELLOW GIANT GARDEN THERMOMETER</t>
  </si>
  <si>
    <t>GREEN GIANT GARDEN THERMOMETER</t>
  </si>
  <si>
    <t>IVORY GIANT GARDEN THERMOMETER</t>
  </si>
  <si>
    <t>BLUE GIANT GARDEN THERMOMETER</t>
  </si>
  <si>
    <t>FRIDGE MAGNETS LA VIE EN ROSE</t>
  </si>
  <si>
    <t>FRIDGE MAGNETS LES ENFANTS ASSORTED</t>
  </si>
  <si>
    <t>FRIDGE MAGNETS US DINER ASSORTED</t>
  </si>
  <si>
    <t>HERB MARKER CHIVES</t>
  </si>
  <si>
    <t>HERB MARKER BASIL</t>
  </si>
  <si>
    <t>HERB MARKER MINT</t>
  </si>
  <si>
    <t>HERB MARKER PARSLEY</t>
  </si>
  <si>
    <t>HERB MARKER ROSEMARY</t>
  </si>
  <si>
    <t>HERB MARKER THYME</t>
  </si>
  <si>
    <t>ASSORTED BOTTLE TOP  MAGNETS</t>
  </si>
  <si>
    <t>BLUE COAT RACK PARIS FASHION</t>
  </si>
  <si>
    <t>RED COAT RACK PARIS FASHION</t>
  </si>
  <si>
    <t>YELLOW COAT RACK PARIS FASHION</t>
  </si>
  <si>
    <t>PAPER CHAIN KIT LONDON</t>
  </si>
  <si>
    <t>PAPER CHAIN KIT VINTAGE CHRISTMAS</t>
  </si>
  <si>
    <t>SET OF 20 VINTAGE CHRISTMAS NAPKINS</t>
  </si>
  <si>
    <t>PACK OF 20 NAPKINS RED APPLES</t>
  </si>
  <si>
    <t>PACK OF 20 NAPKINS PANTRY DESIGN</t>
  </si>
  <si>
    <t>12 MESSAGE CARDS WITH ENVELOPES</t>
  </si>
  <si>
    <t>CALENDAR IN SEASON DESIGN</t>
  </si>
  <si>
    <t>CALENDAR PAPER CUT DESIGN</t>
  </si>
  <si>
    <t>CALENDAR FAMILY FAVORITES</t>
  </si>
  <si>
    <t>TOTE BAG I LOVE LONDON</t>
  </si>
  <si>
    <t>SET 2 TEA TOWELS I LOVE LONDON</t>
  </si>
  <si>
    <t>CHILDRENS APRON DOLLY GIRL</t>
  </si>
  <si>
    <t>CHILDRENS APRON APPLE DESIGN</t>
  </si>
  <si>
    <t>OVEN MITT APPLE DESIGN</t>
  </si>
  <si>
    <t>PEG BAG APPLE DESIGN</t>
  </si>
  <si>
    <t>SET OF 2 TEA TOWELS APPLE AND PEARS</t>
  </si>
  <si>
    <t>TABLECLOTH RED APPLES DESIGN</t>
  </si>
  <si>
    <t>MINI CAKE STAND T-LIGHT HOLDER</t>
  </si>
  <si>
    <t>SALT AND PEPPER SHAKERS TOADSTOOLS</t>
  </si>
  <si>
    <t>TEA FOR ONE POLKADOT</t>
  </si>
  <si>
    <t>NOVELTY BISCUITS CAKE STAND 3 TIER</t>
  </si>
  <si>
    <t>NUMBER TILE VINTAGE FONT, No</t>
  </si>
  <si>
    <t>NUMBER TILE VINTAGE FONT 9</t>
  </si>
  <si>
    <t>NUMBER TILE VINTAGE FONT 8</t>
  </si>
  <si>
    <t>NUMBER TILE VINTAGE FONT, 7</t>
  </si>
  <si>
    <t>NUMBER TILE VINTAGE FONT 6</t>
  </si>
  <si>
    <t>NUMBER TILE VINTAGE FONT 5</t>
  </si>
  <si>
    <t>NUMBER TILE VINTAGE FONT 4</t>
  </si>
  <si>
    <t>NUMBER TILE VINTAGE FONT 3</t>
  </si>
  <si>
    <t>NUMBER TILE VINTAGE FONT, 2</t>
  </si>
  <si>
    <t>NUMBER TILE VINTAGE FONT, 1</t>
  </si>
  <si>
    <t>NUMBER TILE VINTAGE FONT 0</t>
  </si>
  <si>
    <t>NUMBER TILE COTTAGE GARDEN, No</t>
  </si>
  <si>
    <t>NUMBER TILE COTTAGE GARDEN, 9</t>
  </si>
  <si>
    <t>NUMBER TILE COTTAGE GARDEN, 8</t>
  </si>
  <si>
    <t>NUMBER TILE COTTAGE GARDEN, 7</t>
  </si>
  <si>
    <t>NUMBER TILE COTTAGE GARDEN 6</t>
  </si>
  <si>
    <t>NUMBER TILE COTTAGE GARDEN, 5</t>
  </si>
  <si>
    <t>NUMBER TILE COTTAGE GARDEN 4</t>
  </si>
  <si>
    <t>NUMBER TILE COTTAGE GARDEN, 3</t>
  </si>
  <si>
    <t>NUMBER TILE COTTAGE GARDEN, 2</t>
  </si>
  <si>
    <t>NUMBER TILE COTTAGE GARDEN, 1</t>
  </si>
  <si>
    <t>NUMBER TILE COTTAGE GARDEN, 0</t>
  </si>
  <si>
    <t>HAND WARMER BIRD DESIGN</t>
  </si>
  <si>
    <t>HAND WARMER SCOTTY DOG DESIGN</t>
  </si>
  <si>
    <t>HAND WARMER OWL DESIGN</t>
  </si>
  <si>
    <t>MUG AND COASTER SET RED CIRCLES</t>
  </si>
  <si>
    <t>SOAP DISH BROCANTE</t>
  </si>
  <si>
    <t>LOVE HEART NAPKIN BOX</t>
  </si>
  <si>
    <t>EASTER TIN CHICKS IN GARDEN</t>
  </si>
  <si>
    <t>EASTER TIN CHICKS PINK DAISY</t>
  </si>
  <si>
    <t>EASTER TIN BUNNY BOUQUET</t>
  </si>
  <si>
    <t>EASTER TIN KEEPSAKE</t>
  </si>
  <si>
    <t>ASSORTED EASTER GIFT TAGS</t>
  </si>
  <si>
    <t>ASSORTED EASTER DECORATIONS  BELLS</t>
  </si>
  <si>
    <t>FINE WICKER HEART</t>
  </si>
  <si>
    <t>CREAM SWEETHEART EGG HOLDER</t>
  </si>
  <si>
    <t>CAT BOWL VINTAGE CREAM</t>
  </si>
  <si>
    <t>DOG BOWL VINTAGE CREAM</t>
  </si>
  <si>
    <t>SET 20 NAPKINS FAIRY CAKES DESIGN</t>
  </si>
  <si>
    <t>BREAD BIN DINER STYLE BLACK</t>
  </si>
  <si>
    <t>BREAD BIN DINER STYLE MINT</t>
  </si>
  <si>
    <t>BREAD BIN DINER STYLE PINK</t>
  </si>
  <si>
    <t>BREAD BIN DINER STYLE IVORY</t>
  </si>
  <si>
    <t>BREAD BIN DINER STYLE RED</t>
  </si>
  <si>
    <t>CAT FOOD CONTAINER , VINTAGE</t>
  </si>
  <si>
    <t>DOG FOOD CONTAINER , VINTAGE</t>
  </si>
  <si>
    <t>BISCUIT TIN VINTAGE GREEN</t>
  </si>
  <si>
    <t>BISCUIT TIN VINTAGE RED</t>
  </si>
  <si>
    <t>CAKE TIN, ROUND, VINTAGE MINT,IVORY</t>
  </si>
  <si>
    <t>CAKE TIN, ROUND, VINTAGE RED,CREAM</t>
  </si>
  <si>
    <t>3 TIER CAKE TIN GREEN AND CREAM</t>
  </si>
  <si>
    <t>3 TIER CAKE TIN RED AND CREAM</t>
  </si>
  <si>
    <t>HOT WATER BOTTLE BABUSHKA</t>
  </si>
  <si>
    <t>HOT WATER BOTTLE I AM SO POORLY</t>
  </si>
  <si>
    <t>HAND WARMER BABUSHKA DESIGN</t>
  </si>
  <si>
    <t>HALL CABINET WITH 3 DRAWERS</t>
  </si>
  <si>
    <t>BROCANTE SHELF WITH HOOKS</t>
  </si>
  <si>
    <t>WHITE BROCANTE SOAP DISH</t>
  </si>
  <si>
    <t>UTILTY CABINET WITH HOOKS</t>
  </si>
  <si>
    <t>REGENCY MIRROR WITH SHUTTERS</t>
  </si>
  <si>
    <t>GIANT SEVENTEEN DRAWER SIDEBOARD</t>
  </si>
  <si>
    <t>LOVE SEAT ANTIQUE WHITE METAL</t>
  </si>
  <si>
    <t>DECORATIVE PLANT POT WITH FRIEZE</t>
  </si>
  <si>
    <t>3 TIER SWEETHEART GARDEN SHELF</t>
  </si>
  <si>
    <t>CHEST NATURAL WOOD 20 DRAWERS</t>
  </si>
  <si>
    <t>CREAM WALL PLANTER HEART SHAPED</t>
  </si>
  <si>
    <t>GIFT BAG PSYCHEDELIC APPLES</t>
  </si>
  <si>
    <t>GIFT BAG BIRTHDAY</t>
  </si>
  <si>
    <t>BIRTHDAY CARD, RETRO SPOT</t>
  </si>
  <si>
    <t>CARD CHRISTMAS VILLAGE</t>
  </si>
  <si>
    <t>CARD SUKI BIRTHDAY</t>
  </si>
  <si>
    <t>CARD MOTORBIKE SANTA</t>
  </si>
  <si>
    <t>CARD PSYCHEDELIC APPLES</t>
  </si>
  <si>
    <t>CARD PARTY GAMES</t>
  </si>
  <si>
    <t>PACK 3 BOXES BIRD PANNETONE</t>
  </si>
  <si>
    <t>PACK 3 BOXES CHRISTMAS PANNETONE</t>
  </si>
  <si>
    <t>SET OF 6 T-LIGHTS CACTI</t>
  </si>
  <si>
    <t>SET OF 6 T-LIGHTS SNOWMEN</t>
  </si>
  <si>
    <t>SET OF 6 T-LIGHTS SANTA</t>
  </si>
  <si>
    <t>SET OF 6 T-LIGHTS EASTER CHICKS</t>
  </si>
  <si>
    <t>SET OF 6 T-LIGHTS TOADSTOOLS</t>
  </si>
  <si>
    <t>SET OF 6 T-LIGHTS WEDDING CAKE</t>
  </si>
  <si>
    <t>BLUE DRAWER KNOB ACRYLIC EDWARDIAN</t>
  </si>
  <si>
    <t>CANDLEHOLDER PINK HANGING HEART</t>
  </si>
  <si>
    <t>IVORY EMBROIDERED QUILT</t>
  </si>
  <si>
    <t>FAUX FUR CHOCOLATE THROW</t>
  </si>
  <si>
    <t>ANTIQUE GLASS PEDESTAL BOWL</t>
  </si>
  <si>
    <t>ANTIQUE TALL SWIRLGLASS TRINKET POT</t>
  </si>
  <si>
    <t>SWEETHEART WIRE FRUIT BOWL</t>
  </si>
  <si>
    <t>ANTIQUE GLASS DRESSING TABLE POT</t>
  </si>
  <si>
    <t>CHEST OF DRAWERS GINGHAM HEART</t>
  </si>
  <si>
    <t>PHOTO FRAME 3 CLASSIC HANGING</t>
  </si>
  <si>
    <t>SWEETHEART RECIPE BOOK STAND</t>
  </si>
  <si>
    <t>SWEETHEART WIRE MAGAZINE RACK</t>
  </si>
  <si>
    <t>FLUTED ANTIQUE CANDLE HOLDER</t>
  </si>
  <si>
    <t>T-LIGHT GLASS FLUTED ANTIQUE</t>
  </si>
  <si>
    <t>MIRROR, ARCHED GEORGIAN</t>
  </si>
  <si>
    <t>T-LIGHT HOLDER SWEETHEART HANGING</t>
  </si>
  <si>
    <t>BROCANTE COAT RACK</t>
  </si>
  <si>
    <t>PILLOWCUSHION COVER PINK UNION JACK</t>
  </si>
  <si>
    <t>CUSHION COVER PINK UNION FLAG</t>
  </si>
  <si>
    <t>LANTERN CREAM GAZEBO</t>
  </si>
  <si>
    <t>SET 3 WICKER OVAL BASKETS W LIDS</t>
  </si>
  <si>
    <t>SET 3 WICKER STORAGE BASKETS</t>
  </si>
  <si>
    <t>GUMBALL MAGAZINE RACK</t>
  </si>
  <si>
    <t>LIGHT GARLAND BUTTERFILES PINK</t>
  </si>
  <si>
    <t>WOODEN OWLS LIGHT GARLAND</t>
  </si>
  <si>
    <t>GLASS CLOCHE SMALL</t>
  </si>
  <si>
    <t>GLASS CLOCHE LARGE</t>
  </si>
  <si>
    <t>CAKESTAND, 3 TIER, LOVEHEART</t>
  </si>
  <si>
    <t>DRAWERKNOB ACRYLIC EDWARDIAN PURPLE</t>
  </si>
  <si>
    <t>RED DRAWER KNOB ACRYLIC EDWARDIAN</t>
  </si>
  <si>
    <t>DRAWER KNOB ACRYLIC EDWARDIAN GREEN</t>
  </si>
  <si>
    <t>DRAWER KNOB ACRYLIC EDWARDIAN PINK</t>
  </si>
  <si>
    <t>CLEAR DRAWER KNOB ACRYLIC EDWARDIAN</t>
  </si>
  <si>
    <t>MIRROR CORNICE</t>
  </si>
  <si>
    <t>CHALKBOARD KITCHEN ORGANISER</t>
  </si>
  <si>
    <t>FAMILY PHOTO FRAME CORNICE</t>
  </si>
  <si>
    <t>TRIPLE PHOTO FRAME CORNICE</t>
  </si>
  <si>
    <t>PHOTO FRAME CORNICE</t>
  </si>
  <si>
    <t>NEWSPAPER STAND</t>
  </si>
  <si>
    <t>RUSTIC WOODEN CABINET, GLASS DOORS</t>
  </si>
  <si>
    <t>KEY CABINET MA CAMPAGNE</t>
  </si>
  <si>
    <t>CUPBOARD 3 DRAWER MA CAMPAGNE</t>
  </si>
  <si>
    <t>CHEST 7 DRAWER MA CAMPAGNE</t>
  </si>
  <si>
    <t>TRAY, BREAKFAST IN BED</t>
  </si>
  <si>
    <t>SET OF 3 NOTEBOOKS IN PARCEL</t>
  </si>
  <si>
    <t>LARGE PURPLE BABUSHKA NOTEBOOK</t>
  </si>
  <si>
    <t>LARGE RED BABUSHKA NOTEBOOK</t>
  </si>
  <si>
    <t>LARGE YELLOW BABUSHKA NOTEBOOK</t>
  </si>
  <si>
    <t>SMALL PURPLE BABUSHKA NOTEBOOK</t>
  </si>
  <si>
    <t>SMALL RED BABUSHKA NOTEBOOK</t>
  </si>
  <si>
    <t>SMALL YELLOW BABUSHKA NOTEBOOK</t>
  </si>
  <si>
    <t>SET 7 BABUSHKA NESTING BOXES</t>
  </si>
  <si>
    <t>FELTCRAFT PRINCESS OLIVIA DOLL</t>
  </si>
  <si>
    <t>FELTCRAFT PRINCESS LOLA DOLL</t>
  </si>
  <si>
    <t>FELTCRAFT PRINCESS CHARLOTTE DOLL</t>
  </si>
  <si>
    <t>POPPY'S PLAYHOUSE KITCHEN</t>
  </si>
  <si>
    <t>POPPY'S PLAYHOUSE BATHROOM</t>
  </si>
  <si>
    <t>POPPY'S PLAYHOUSE LIVINGROOM</t>
  </si>
  <si>
    <t>POPPY'S PLAYHOUSE BEDROOM</t>
  </si>
  <si>
    <t>MAKE YOUR OWN MONSOON CARD KIT</t>
  </si>
  <si>
    <t>MAKE YOUR OWN FLOWERPOWER CARD KIT</t>
  </si>
  <si>
    <t>MAKE YOUR OWN PLAYTIME CARD KIT</t>
  </si>
  <si>
    <t>FUNKY DIVA PEN</t>
  </si>
  <si>
    <t>POLKA DOT PEN</t>
  </si>
  <si>
    <t>RIBBON REEL CHRISTMAS SOCK BAUBLE</t>
  </si>
  <si>
    <t>RIBBON REEL SNOWY VILLAGE</t>
  </si>
  <si>
    <t>RIBBON REEL CHRISTMAS PRESENT</t>
  </si>
  <si>
    <t>RIBBON REEL MAKING SNOWMEN</t>
  </si>
  <si>
    <t>RIBBON REEL SOCKS AND MITTENS</t>
  </si>
  <si>
    <t>SET OF 6 RIBBONS VINTAGE CHRISTMAS</t>
  </si>
  <si>
    <t>3D STICKERS TRADITIONAL CHRISTMAS</t>
  </si>
  <si>
    <t>3D STICKERS VINTAGE CHRISTMAS</t>
  </si>
  <si>
    <t>3D CHRISTMAS STAMPS STICKERS</t>
  </si>
  <si>
    <t>ALARM CLOCK BAKELIKE IVORY</t>
  </si>
  <si>
    <t>ALARM CLOCK BAKELIKE ORANGE</t>
  </si>
  <si>
    <t>ALARM CLOCK BAKELIKE PINK</t>
  </si>
  <si>
    <t>ALARM CLOCK BAKELIKE RED</t>
  </si>
  <si>
    <t>ALARM CLOCK BAKELIKE GREEN</t>
  </si>
  <si>
    <t>ALARM CLOCK BAKELIKE CHOCOLATE</t>
  </si>
  <si>
    <t>SET OF 6 HERB TINS SKETCHBOOK</t>
  </si>
  <si>
    <t>SET OF 6 SPICE TINS PANTRY DESIGN</t>
  </si>
  <si>
    <t>SET OF 3 CAKE TINS SKETCHBOOK</t>
  </si>
  <si>
    <t>SET OF 3 CAKE TINS PANTRY DESIGN</t>
  </si>
  <si>
    <t>GUMBALL COATHOOK., BLACK &amp; WHITE</t>
  </si>
  <si>
    <t>CARD CAT AND TREE</t>
  </si>
  <si>
    <t>CARD DOG AND BALL</t>
  </si>
  <si>
    <t>CARD CIRCUS PARADE</t>
  </si>
  <si>
    <t>CARD WEDDING DAY</t>
  </si>
  <si>
    <t>CARD BIRTHDAY COWBOY</t>
  </si>
  <si>
    <t>CARD I LOVE LONDON</t>
  </si>
  <si>
    <t>CARD DOLLY GIRL</t>
  </si>
  <si>
    <t>WRAP CIRCUS PARADE</t>
  </si>
  <si>
    <t>WRAP I LOVE LONDON</t>
  </si>
  <si>
    <t>WRAP WEDDING DAY</t>
  </si>
  <si>
    <t>WRAP DOLLY GIRL</t>
  </si>
  <si>
    <t>WRAP MONSTER FUN</t>
  </si>
  <si>
    <t>WRAP COWBOYS</t>
  </si>
  <si>
    <t>WRAP GREEN PEARS</t>
  </si>
  <si>
    <t>WRAP RED APPLES</t>
  </si>
  <si>
    <t>PINK CAT BOWL</t>
  </si>
  <si>
    <t>BLACK AND WHITE CAT BOWL</t>
  </si>
  <si>
    <t>PINK DOG BOWL</t>
  </si>
  <si>
    <t>BLACK AND WHITE DOG BOWL</t>
  </si>
  <si>
    <t>ROSES REGENCY TEACUP AND SAUCER</t>
  </si>
  <si>
    <t>PINK REGENCY TEACUP AND SAUCER</t>
  </si>
  <si>
    <t>GREEN REGENCY TEACUP AND SAUCER</t>
  </si>
  <si>
    <t>WICKER WREATH LARGE</t>
  </si>
  <si>
    <t>WICKER WREATH SMALL</t>
  </si>
  <si>
    <t>WICKER STAR</t>
  </si>
  <si>
    <t>GROW A FLYTRAP OR SUNFLOWER IN TIN</t>
  </si>
  <si>
    <t>DOORMAT WELCOME TO OUR HOME</t>
  </si>
  <si>
    <t>DOORMAT WELCOME SUNRISE</t>
  </si>
  <si>
    <t>DOORMAT HOME SWEET HOME BLUE</t>
  </si>
  <si>
    <t>DOORMAT MERRY CHRISTMAS RED</t>
  </si>
  <si>
    <t>DOORMAT PEACE ON EARTH BLUE</t>
  </si>
  <si>
    <t>DOORMAT CHRISTMAS VILLAGE</t>
  </si>
  <si>
    <t>FRENCH BLUE METAL DOOR SIGN, No</t>
  </si>
  <si>
    <t>FRENCH BLUE METAL DOOR SIGN, 0</t>
  </si>
  <si>
    <t>FRENCH BLUE METAL DOOR SIGN, 9</t>
  </si>
  <si>
    <t>FRENCH BLUE METAL DOOR SIGN, 8</t>
  </si>
  <si>
    <t>FRENCH BLUE METAL DOOR SIGN, 7</t>
  </si>
  <si>
    <t>FRENCH BLUE METAL DOOR SIGN, 6</t>
  </si>
  <si>
    <t>FRENCH BLUE METAL DOOR SIGN, 5</t>
  </si>
  <si>
    <t>FRENCH BLUE METAL DOOR SIGN, 4</t>
  </si>
  <si>
    <t>FRENCH BLUE METAL DOOR SIGN, 3</t>
  </si>
  <si>
    <t>FRENCH BLUE METAL DOOR SIGN, 2</t>
  </si>
  <si>
    <t>FRENCH BLUE METAL DOOR SIGN, 1</t>
  </si>
  <si>
    <t>FRENCH KITCHEN SIGN BLUE METAL</t>
  </si>
  <si>
    <t>FRENCH TOILET SIGN BLUE METAL</t>
  </si>
  <si>
    <t>FRENCH GARDEN SIGN BLUE METAL</t>
  </si>
  <si>
    <t>FRENCH BATHROOM SIGN BLUE METAL</t>
  </si>
  <si>
    <t>FRENCH LAUNDRY SIGN BLUE METAL</t>
  </si>
  <si>
    <t>FRENCH WC SIGN BLUE METAL</t>
  </si>
  <si>
    <t>RED BABY BUNTING</t>
  </si>
  <si>
    <t>PINK BABY BUNTING</t>
  </si>
  <si>
    <t>RECIPE BOX RETRO SPOT DESIGN</t>
  </si>
  <si>
    <t>RECIPE BOX PANTRY YELLOW DESIGN</t>
  </si>
  <si>
    <t>RECIPE BOX BLUE SKETCHBOOK DESIGN</t>
  </si>
  <si>
    <t>TOY TIDY DOLLY GIRL DESIGN</t>
  </si>
  <si>
    <t>JUMBO BAG DOLLY GIRL DESIGN</t>
  </si>
  <si>
    <t>LUNCH BAG DOLLY GIRL DESIGN</t>
  </si>
  <si>
    <t>CHARLOTTE BAG DOLLY GIRL DESIGN</t>
  </si>
  <si>
    <t>DOORMAT I LOVE LONDON</t>
  </si>
  <si>
    <t>LUNCHBOX I LOVE LONDON</t>
  </si>
  <si>
    <t>HEN &amp; 2 CHICKS IN BASKET</t>
  </si>
  <si>
    <t>VINTAGE BLUE KITCHEN CABINET</t>
  </si>
  <si>
    <t>VINTAGE RED KITCHEN CABINET</t>
  </si>
  <si>
    <t>DELUXE SEWING KIT</t>
  </si>
  <si>
    <t>BUTTON BOX</t>
  </si>
  <si>
    <t>TRAVEL SEWING KIT</t>
  </si>
  <si>
    <t>GENTLEMAN SHIRT REPAIR KIT</t>
  </si>
  <si>
    <t>CERAMIC PIRATE CHEST MONEY BANK</t>
  </si>
  <si>
    <t>STRAWBERRY CAKE TEAPOT</t>
  </si>
  <si>
    <t>CERAMIC LOVE HEART MONEY BANK</t>
  </si>
  <si>
    <t>CERAMIC STRAWBERRY CAKE MONEY BANK</t>
  </si>
  <si>
    <t>CERAMIC HEART CAKE MONEY BANK</t>
  </si>
  <si>
    <t>CERAMIC CHERRY CAKE MONEY BANK</t>
  </si>
  <si>
    <t>SET OF 4 NAPKIN CHARMS LEAVES</t>
  </si>
  <si>
    <t>SET OF 4 NAPKIN CHARMS STARS</t>
  </si>
  <si>
    <t>SET OF 4 NAPKIN CHARMS INSTRUMENT</t>
  </si>
  <si>
    <t>SET OF 4 NAPKIN CHARMS 3 KEYS</t>
  </si>
  <si>
    <t>SET OF 4 NAPKIN CHARMS HEARTS</t>
  </si>
  <si>
    <t>SET OF 4 NAPKIN CHARMS CROWNS</t>
  </si>
  <si>
    <t>PIGGY BANK RETROSPOT</t>
  </si>
  <si>
    <t>CHILDS BREAKFAST SET CIRCUS PARADE</t>
  </si>
  <si>
    <t>CHILDS BREAKFAST SET DOLLY GIRL</t>
  </si>
  <si>
    <t>CHILDS BREAKFAST SET SPACEBOY</t>
  </si>
  <si>
    <t>HAND WARMER UNION JACK</t>
  </si>
  <si>
    <t>HAND WARMER RED POLKA DOT</t>
  </si>
  <si>
    <t>CIRCUS PARADE LUNCHBOX</t>
  </si>
  <si>
    <t>DOLLY GIRL LUNCH BOX</t>
  </si>
  <si>
    <t>SPACEBOY LUNCH BOX</t>
  </si>
  <si>
    <t>PICNIC BOXES SET OF 3 RETROSPOT</t>
  </si>
  <si>
    <t>MINT KITCHEN SCALES</t>
  </si>
  <si>
    <t>BLACK KITCHEN SCALES</t>
  </si>
  <si>
    <t>RED KITCHEN SCALES</t>
  </si>
  <si>
    <t>IVORY KITCHEN SCALES</t>
  </si>
  <si>
    <t>BOX OF VINTAGE JIGSAW BLOCKS</t>
  </si>
  <si>
    <t>BOX OF VINTAGE ALPHABET BLOCKS</t>
  </si>
  <si>
    <t>TRADITIONAL KNITTING NANCY</t>
  </si>
  <si>
    <t>4 TRADITIONAL SPINNING TOPS</t>
  </si>
  <si>
    <t>SET Of 6 SOLDIER SKITTLES</t>
  </si>
  <si>
    <t>COOKING SET RETROSPOT</t>
  </si>
  <si>
    <t>BAKING SET SPACEBOY DESIGN</t>
  </si>
  <si>
    <t>PACK OF 12 LONDON TISSUES</t>
  </si>
  <si>
    <t>PACK OF 12 CIRCUS PARADE TISSUES</t>
  </si>
  <si>
    <t>PACK OF 12 SPACEBOY TISSUES</t>
  </si>
  <si>
    <t>PACK OF 20 SPACEBOY NAPKINS</t>
  </si>
  <si>
    <t>TEA COSY VINTAGE UNION JACK</t>
  </si>
  <si>
    <t>VINTAGE UNION JACK SHOPPING BAG</t>
  </si>
  <si>
    <t>PENS ASSORTED FUNNY FACE</t>
  </si>
  <si>
    <t>PENS ASSORTED SPACEBALL</t>
  </si>
  <si>
    <t>PENS ASSORTED FUNKY JEWELED</t>
  </si>
  <si>
    <t>WOODEN ROUNDERS GARDEN SET</t>
  </si>
  <si>
    <t>WOODEN SKITTLES GARDEN SET</t>
  </si>
  <si>
    <t>WOODEN CROQUET GARDEN SET</t>
  </si>
  <si>
    <t>SET OF 4 NAPKIN CHARM CUTLERY</t>
  </si>
  <si>
    <t>CHRISTMAS RETROSPOT TREE WOOD</t>
  </si>
  <si>
    <t>CHRISTMAS RETROSPOT HEART WOOD</t>
  </si>
  <si>
    <t>CHRISTMAS RETROSPOT ANGEL WOOD</t>
  </si>
  <si>
    <t>CHRISTMAS RETROSPOT STAR WOOD</t>
  </si>
  <si>
    <t>CHRISTMAS MUSICAL ZINC STAR</t>
  </si>
  <si>
    <t>CHRISTMAS MUSICAL ZINC TREE</t>
  </si>
  <si>
    <t>CHRISTMAS MUSICAL ZINC HEART</t>
  </si>
  <si>
    <t>CHRISTMAS STAR WISH LIST CHALKBOARD</t>
  </si>
  <si>
    <t>CHRISTMAS GINGHAM HEART</t>
  </si>
  <si>
    <t>CHRISTMAS GINGHAM TREE</t>
  </si>
  <si>
    <t>CHRISTMAS GINGHAM STAR</t>
  </si>
  <si>
    <t>CARDHOLDER HOLLY WREATH METAL</t>
  </si>
  <si>
    <t>CARDHOLDER GINGHAM CHRISTMAS TREE</t>
  </si>
  <si>
    <t>CARDHOLDER GINGHAM STAR</t>
  </si>
  <si>
    <t>CARD HOLDER GINGHAM HEART</t>
  </si>
  <si>
    <t>FELTCRAFT HAIRBAND RED AND BLUE</t>
  </si>
  <si>
    <t>FELTCRAFT HAIRBAND PINK AND BLUE</t>
  </si>
  <si>
    <t>PACK OF 6 BIRDY GIFT TAGS</t>
  </si>
  <si>
    <t>PACK OF 6 PANNETONE GIFT BOXES</t>
  </si>
  <si>
    <t>PACK OF 6 HANDBAG GIFT BOXES</t>
  </si>
  <si>
    <t>PACK OF 6 SWEETIE GIFT BOXES</t>
  </si>
  <si>
    <t>WOOD STOCKING CHRISTMAS SCANDISPOT</t>
  </si>
  <si>
    <t>ADVENT CALENDAR GINGHAM SACK</t>
  </si>
  <si>
    <t>WOODEN TREE CHRISTMAS SCANDINAVIAN</t>
  </si>
  <si>
    <t>WOODEN STAR CHRISTMAS SCANDINAVIAN</t>
  </si>
  <si>
    <t>WOODEN HEART CHRISTMAS SCANDINAVIAN</t>
  </si>
  <si>
    <t>SWALLOW WOODEN CHRISTMAS DECORATION</t>
  </si>
  <si>
    <t>METAL MERRY CHRISTMAS WREATH</t>
  </si>
  <si>
    <t>HEART WOODEN CHRISTMAS DECORATION</t>
  </si>
  <si>
    <t>STAR WOODEN CHRISTMAS DECORATION</t>
  </si>
  <si>
    <t>ROCKING HORSE GREEN CHRISTMAS</t>
  </si>
  <si>
    <t>ROCKING HORSE RED CHRISTMAS</t>
  </si>
  <si>
    <t>FELTCRAFT CUSHION RABBIT</t>
  </si>
  <si>
    <t>FELTCRAFT CUSHION BUTTERFLY</t>
  </si>
  <si>
    <t>FELTCRAFT CUSHION OWL</t>
  </si>
  <si>
    <t>20 DOLLY PEGS RETROSPOT</t>
  </si>
  <si>
    <t>FELTCRAFT HAIRBAND PINK AND PURPLE</t>
  </si>
  <si>
    <t>FELTCRAFT HAIRBANDS PINK + WHITE</t>
  </si>
  <si>
    <t>ALPHABET STENCIL CRAFT</t>
  </si>
  <si>
    <t>HAPPY STENCIL CRAFT</t>
  </si>
  <si>
    <t>MONSTERS STENCIL CRAFT</t>
  </si>
  <si>
    <t>WOODEN SCHOOL COLOURING SET</t>
  </si>
  <si>
    <t>TRADITIONAL MODELLING CLAY</t>
  </si>
  <si>
    <t>SEASIDE FRISBEE</t>
  </si>
  <si>
    <t>CLOTHES PEGS RETROSPOT PACK 24</t>
  </si>
  <si>
    <t>PLASTERS IN TIN VINTAGE PAISLEY</t>
  </si>
  <si>
    <t>PLASTERS IN TIN CIRCUS PARADE</t>
  </si>
  <si>
    <t>PLASTERS IN TIN STRONGMAN</t>
  </si>
  <si>
    <t>PLASTERS IN TIN WOODLAND ANIMALS</t>
  </si>
  <si>
    <t>PLASTERS IN TIN SKULLS</t>
  </si>
  <si>
    <t>PLASTERS IN TIN SPACEBOY</t>
  </si>
  <si>
    <t>HOLIDAY FUN LUDO</t>
  </si>
  <si>
    <t>PICTURE DOMINOES</t>
  </si>
  <si>
    <t>HEADS AND TAILS SPORTING FUN</t>
  </si>
  <si>
    <t>MINI JIGSAW DINOSAUR</t>
  </si>
  <si>
    <t>MINI JIGSAW FIDO</t>
  </si>
  <si>
    <t>MINI JIGSAW BUNNIES</t>
  </si>
  <si>
    <t>MINI JIGSAW SPACEBOY</t>
  </si>
  <si>
    <t>MINI JIGSAW BAKE A CAKE</t>
  </si>
  <si>
    <t>MINI JIGSAW LEAP FROG</t>
  </si>
  <si>
    <t>MINI JIGSAW CIRCUS PARADE</t>
  </si>
  <si>
    <t>MINI JIGSAW DOLLY GIRL</t>
  </si>
  <si>
    <t>MINI JIGSAW GO TO THE FAIR</t>
  </si>
  <si>
    <t>MAGIC DRAWING SLATE DINOSAUR</t>
  </si>
  <si>
    <t>MAGIC DRAWING SLATE FIDO</t>
  </si>
  <si>
    <t>MAGIC DRAWING SLATE BUNNIES</t>
  </si>
  <si>
    <t>MAGIC DRAWING SLATE SPACEBOY</t>
  </si>
  <si>
    <t>MAGIC DRAWING SLATE BAKE A CAKE</t>
  </si>
  <si>
    <t>MAGIC DRAWING SLATE LEAP FROG</t>
  </si>
  <si>
    <t>MAGIC DRAWING SLATE CIRCUS PARADE</t>
  </si>
  <si>
    <t>MAGIC DRAWING SLATE DOLLY GIRL</t>
  </si>
  <si>
    <t>MAGIC DRAWING SLATE GO TO THE FAIR</t>
  </si>
  <si>
    <t>GARDENERS KNEELING PAD</t>
  </si>
  <si>
    <t>WHEELBARROW FOR CHILDREN</t>
  </si>
  <si>
    <t>CHILDRENS GARDEN GLOVES PINK</t>
  </si>
  <si>
    <t>CHILDRENS GARDEN GLOVES BLUE</t>
  </si>
  <si>
    <t>CHILDS GARDEN FORK PINK</t>
  </si>
  <si>
    <t>CHILDS GARDEN FORK BLUE</t>
  </si>
  <si>
    <t>CHILDS GARDEN TROWEL PINK</t>
  </si>
  <si>
    <t>CHILDS GARDEN TROWEL BLUE</t>
  </si>
  <si>
    <t>CHILDS GARDEN BRUSH PINK</t>
  </si>
  <si>
    <t>CHILDS GARDEN BRUSH BLUE</t>
  </si>
  <si>
    <t>CHILDS GARDEN RAKE PINK</t>
  </si>
  <si>
    <t>CHILDS GARDEN RAKE BLUE</t>
  </si>
  <si>
    <t>CHILDS GARDEN SPADE PINK</t>
  </si>
  <si>
    <t>CHILDS GARDEN SPADE BLUE</t>
  </si>
  <si>
    <t>DOORSTOP FOOTBALL DESIGN</t>
  </si>
  <si>
    <t>DOORSTOP RACING CAR DESIGN</t>
  </si>
  <si>
    <t>DOORSTOP RUSSIAN DOLL RETROSPOT</t>
  </si>
  <si>
    <t>DOORSTOP RUSSIAN DOLL GINGHAM</t>
  </si>
  <si>
    <t>SEWING BOX RETROSPOT DESIGN</t>
  </si>
  <si>
    <t>DOORSTOP RETROSPOT HEART</t>
  </si>
  <si>
    <t>MEMO BOARD RETROSPOT  DESIGN</t>
  </si>
  <si>
    <t>MEMO BOARD COTTAGE DESIGN</t>
  </si>
  <si>
    <t>CABIN BAG VINTAGE RETROSPOT</t>
  </si>
  <si>
    <t>CABIN BAG VINTAGE PAISLEY</t>
  </si>
  <si>
    <t>PICNIC BASKET WICKER SMALL</t>
  </si>
  <si>
    <t>PICNIC BASKET WICKER LARGE</t>
  </si>
  <si>
    <t>SET OF 2 TINS JARDIN DE PROVENCE</t>
  </si>
  <si>
    <t>WOODEN UNION JACK BUNTING</t>
  </si>
  <si>
    <t>WOODEN REGATTA BUNTING</t>
  </si>
  <si>
    <t>SET OF 2 TINS VINTAGE BATHROOM</t>
  </si>
  <si>
    <t>SET OF 2 ROUND TINS DUTCH CHEESE</t>
  </si>
  <si>
    <t>SET OF 2 ROUND TINS CAMEMBERT</t>
  </si>
  <si>
    <t>EMERGENCY FIRST AID TIN</t>
  </si>
  <si>
    <t>PAINT YOUR OWN CANVAS SET</t>
  </si>
  <si>
    <t>MINI PAINT SET VINTAGE</t>
  </si>
  <si>
    <t>PACK OF 12 COLOURED PENCILS</t>
  </si>
  <si>
    <t>PACK OF 12 TRADITIONAL CRAYONS</t>
  </si>
  <si>
    <t>NATURAL SLATE RECTANGLE CHALKBOARD</t>
  </si>
  <si>
    <t>WHITE WOOD GARDEN PLANT LADDER</t>
  </si>
  <si>
    <t>PLASMATRONIC LAMP</t>
  </si>
  <si>
    <t>SET OF 2 WOODEN MARKET CRATES</t>
  </si>
  <si>
    <t>RED GINGHAM TEDDY BEAR</t>
  </si>
  <si>
    <t>BLUE TEA TOWEL CLASSIC DESIGN</t>
  </si>
  <si>
    <t>BLACK TEA TOWEL CLASSIC DESIGN</t>
  </si>
  <si>
    <t>RED TEA TOWEL CLASSIC DESIGN</t>
  </si>
  <si>
    <t>DAISY GARDEN MARKER</t>
  </si>
  <si>
    <t>BIRDHOUSE GARDEN MARKER</t>
  </si>
  <si>
    <t>WATERING CAN GARDEN MARKER</t>
  </si>
  <si>
    <t>EMPIRE UNION JACK TV DINNER TRAY</t>
  </si>
  <si>
    <t>SKULL DESIGN TV DINNER TRAY</t>
  </si>
  <si>
    <t>SPACEBOY TV DINNER TRAY</t>
  </si>
  <si>
    <t>TV DINNER TRAY VINTAGE PAISLEY</t>
  </si>
  <si>
    <t>TV DINNER TRAY DOLLY GIRL</t>
  </si>
  <si>
    <t>TV DINNER TRAY AIR HOSTESS</t>
  </si>
  <si>
    <t>HEART OF WICKER LARGE</t>
  </si>
  <si>
    <t>HEART OF WICKER SMALL</t>
  </si>
  <si>
    <t>BABUSHKA LIGHTS STRING OF 10</t>
  </si>
  <si>
    <t>GUMBALL COAT RACK</t>
  </si>
  <si>
    <t>FAIRY TALE COTTAGE NIGHTLIGHT</t>
  </si>
  <si>
    <t>HANGING METAL STAR LANTERN</t>
  </si>
  <si>
    <t>HANGING METAL HEART LANTERN</t>
  </si>
  <si>
    <t>SAVOY ART DECO CLOCK</t>
  </si>
  <si>
    <t>EMBOSSED GLASS TEALIGHT HOLDER</t>
  </si>
  <si>
    <t>CAST IRON HOOK GARDEN TROWEL</t>
  </si>
  <si>
    <t>CAST IRON HOOK GARDEN FORK</t>
  </si>
  <si>
    <t>NATURAL SLATE HEART CHALKBOARD</t>
  </si>
  <si>
    <t>NATURAL SLATE CHALKBOARD LARGE</t>
  </si>
  <si>
    <t>MEASURING TAPE RUSSIAN DOLL RED</t>
  </si>
  <si>
    <t>MEASURING TAPE RUSSIAN DOLL BLUE</t>
  </si>
  <si>
    <t>MEASURING TAPE RUSSIAN DOLL PINK</t>
  </si>
  <si>
    <t>SILK PURSE RUSSIAN DOLL RED</t>
  </si>
  <si>
    <t>SILK PURSE RUSSIAN DOLL BLUE</t>
  </si>
  <si>
    <t>SILK PURSE RUSSIAN DOLL PINK</t>
  </si>
  <si>
    <t>PIN CUSHION RUSSIAN DOLL RED</t>
  </si>
  <si>
    <t>PIN CUSHION RUSSIAN DOLL BLUE</t>
  </si>
  <si>
    <t>PIN CUSHION RUSSIAN DOLL PINK</t>
  </si>
  <si>
    <t>PENCIL CASE GINGHAM FOREST</t>
  </si>
  <si>
    <t>GROW YOUR OWN PLANT IN A CAN</t>
  </si>
  <si>
    <t>GROW YOUR OWN HERBS SET OF 3</t>
  </si>
  <si>
    <t>GROW YOUR OWN FLOWERS SET OF 3</t>
  </si>
  <si>
    <t>GROW YOUR OWN BASIL IN ENAMEL MUG</t>
  </si>
  <si>
    <t>BALLOON WATER BOMB PACK OF 35</t>
  </si>
  <si>
    <t>6 ROCKET BALLOONS</t>
  </si>
  <si>
    <t>BALLOON ART MAKE YOUR OWN FLOWERS</t>
  </si>
  <si>
    <t>SET OF 9 BLACK SKULL BALLOONS</t>
  </si>
  <si>
    <t>12 COLOURED PARTY BALLOONS</t>
  </si>
  <si>
    <t>SET OF 9 HEART SHAPED BALLOONS</t>
  </si>
  <si>
    <t>BALLOON PUMP WITH 10 BALLOONS</t>
  </si>
  <si>
    <t>WATERING CAN GREEN DINOSAUR</t>
  </si>
  <si>
    <t>WATERING CAN BLUE ELEPHANT</t>
  </si>
  <si>
    <t>ENAMEL WATERING CAN CREAM</t>
  </si>
  <si>
    <t>ENAMEL MEASURING JUG CREAM</t>
  </si>
  <si>
    <t>ENAMEL FIRE BUCKET CREAM</t>
  </si>
  <si>
    <t>ENAMEL FLOWER JUG CREAM</t>
  </si>
  <si>
    <t>ENAMEL WASH BOWL CREAM</t>
  </si>
  <si>
    <t>ENAMEL COLANDER CREAM</t>
  </si>
  <si>
    <t>ENAMEL BREAD BIN CREAM</t>
  </si>
  <si>
    <t>REGENCY CAKESTAND 3 TIER</t>
  </si>
  <si>
    <t>TOOTHPASTE TUBE PEN</t>
  </si>
  <si>
    <t>LIPSTICK PEN FUSCHIA</t>
  </si>
  <si>
    <t>LIPSTICK PEN BABY PINK</t>
  </si>
  <si>
    <t>LIPSTICK PEN RED</t>
  </si>
  <si>
    <t>10 COLOUR SPACEBOY PEN</t>
  </si>
  <si>
    <t>PACK OF 60 SPACEBOY CAKE CASES</t>
  </si>
  <si>
    <t>36 DOILIES SPACEBOY DESIGN</t>
  </si>
  <si>
    <t>WHITE TISSUE REAM</t>
  </si>
  <si>
    <t>DOORMAT NEIGHBOURHOOD WITCH</t>
  </si>
  <si>
    <t>METAL SIGN TAKE IT OR LEAVE IT</t>
  </si>
  <si>
    <t>METAL SIGN NEIGHBOURHOOD WITCH</t>
  </si>
  <si>
    <t>JUMBO SHOPPER VINTAGE RED PAISLEY</t>
  </si>
  <si>
    <t>MONEY BOX HOUSEKEEPING DESIGN</t>
  </si>
  <si>
    <t>MONEY BOX BISCUITS DESIGN</t>
  </si>
  <si>
    <t>MONEY BOX CONFECTIONERY DESIGN</t>
  </si>
  <si>
    <t>MONEY BOX FIRST ADE DESIGN</t>
  </si>
  <si>
    <t>MONEY BOX KINGS CHOICE DESIGN</t>
  </si>
  <si>
    <t>MONEY BOX POCKET MONEY DESIGN</t>
  </si>
  <si>
    <t>MAGNETS PACK OF 4 VINTAGE LABELS</t>
  </si>
  <si>
    <t>MAGNETS PACK OF 4 VINTAGE COLLAGE</t>
  </si>
  <si>
    <t>MAGNETS PACK OF 4 HOME SWEET HOME</t>
  </si>
  <si>
    <t>MAGNETS PACK OF 4 CHILDHOOD MEMORY</t>
  </si>
  <si>
    <t>MAGNETS PACK OF 4 SWALLOWS</t>
  </si>
  <si>
    <t>MAGNETS PACK OF 4 RETRO PHOTO</t>
  </si>
  <si>
    <t>PAPERWEIGHT VINTAGE PAISLEY</t>
  </si>
  <si>
    <t>PAPERWEIGHT KINGS CHOICE</t>
  </si>
  <si>
    <t>PAPERWEIGHT VINTAGE COLLAGE</t>
  </si>
  <si>
    <t>PAPERWEIGHT HOME SWEET HOME</t>
  </si>
  <si>
    <t>PAPERWEIGHT CHILDHOOD MEMORIES</t>
  </si>
  <si>
    <t>PAPERWEIGHT SAVE THE PLANET</t>
  </si>
  <si>
    <t>JUMBO BAG PINK WITH WHITE SPOTS</t>
  </si>
  <si>
    <t>JUMBO BAG SPACEBOY DESIGN</t>
  </si>
  <si>
    <t>LUNCHBAG PINK RETROSPOT</t>
  </si>
  <si>
    <t>LUNCHBAG SUKI  DESIGN</t>
  </si>
  <si>
    <t>LUNCHBAG SPACEBOY DESIGN</t>
  </si>
  <si>
    <t>TOY TIDY PINK RETROSPOT</t>
  </si>
  <si>
    <t>TOY TIDY SPACEBOY</t>
  </si>
  <si>
    <t>RECYCLING BAG RETROSPOT</t>
  </si>
  <si>
    <t>WALL TIDY RETROSPOT</t>
  </si>
  <si>
    <t>BOTTLE BAG RETROSPOT</t>
  </si>
  <si>
    <t>AIRLINE BAG VINTAGE JET SET WHITE</t>
  </si>
  <si>
    <t>AIRLINE BAG VINTAGE JET SET BROWN</t>
  </si>
  <si>
    <t>AIRLINE BAG VINTAGE JET SET RED</t>
  </si>
  <si>
    <t>AIRLINE BAG VINTAGE WORLD CHAMPION</t>
  </si>
  <si>
    <t>AIRLINE BAG VINTAGE TOKYO 78</t>
  </si>
  <si>
    <t>CHILDS APRON SPACEBOY DESIGN</t>
  </si>
  <si>
    <t>DOORMAT AIRMAIL</t>
  </si>
  <si>
    <t>DOORMAT RESPECTABLE HOUSE</t>
  </si>
  <si>
    <t>GLASS JAR DIGESTIVE BISCUITS</t>
  </si>
  <si>
    <t>GLASS JAR MARMALADE</t>
  </si>
  <si>
    <t>GLASS JAR PEACOCK BATH SALTS</t>
  </si>
  <si>
    <t>GLASS JAR DAISY FRESH COTTON WOOL</t>
  </si>
  <si>
    <t>GLASS JAR, ENGLISH CONFECTIONERY</t>
  </si>
  <si>
    <t>GLASS JAR KINGS CHOICE</t>
  </si>
  <si>
    <t>KINGS CHOICE TEA CADDY</t>
  </si>
  <si>
    <t>KINGS CHOICE BISCUIT TIN</t>
  </si>
  <si>
    <t>CHARLOTTE BAG , PINK/WHITE SPOTS</t>
  </si>
  <si>
    <t>CHARLOTTE BAG , SUKI DESIGN</t>
  </si>
  <si>
    <t>RETRO SPOT PADDED SEAT CUSHION</t>
  </si>
  <si>
    <t>LUNCHBOX WITH CUTLERY FAIRY CAKES</t>
  </si>
  <si>
    <t>LUNCHBOX WITH CUTLERY RETROSPOT</t>
  </si>
  <si>
    <t>DOTCOMGIFTSHOP TEA TOWEL</t>
  </si>
  <si>
    <t>CAT BOWL</t>
  </si>
  <si>
    <t>DOG BOWL , CHASING BALL DESIGN</t>
  </si>
  <si>
    <t>TEA BAG PLATE RED SPOTTY</t>
  </si>
  <si>
    <t>PIZZA DISH SLICE</t>
  </si>
  <si>
    <t>PARTY PIZZA DISH GREEN WHITE SPOT</t>
  </si>
  <si>
    <t>PARTY PIZZA DISH BLUE WHITE SPOT</t>
  </si>
  <si>
    <t>PARTY PIZZA DISH PINK WHITE SPOT</t>
  </si>
  <si>
    <t>PARTY PIZZA DISH RED WHITE SPOT</t>
  </si>
  <si>
    <t>HOME GARLAND PAINTED ZINC</t>
  </si>
  <si>
    <t>LOVE GARLAND PAINTED ZINC</t>
  </si>
  <si>
    <t>NOEL GARLAND PAINTED ZINC</t>
  </si>
  <si>
    <t>CHRISTMAS TREE PAINTED ZINC</t>
  </si>
  <si>
    <t>STAR DECORATION PAINTED ZINC</t>
  </si>
  <si>
    <t>ANGEL DECORATION PAINTED ZINC</t>
  </si>
  <si>
    <t>DOVE DECORATION PAINTED ZINC</t>
  </si>
  <si>
    <t>HEART DECORATION PAINTED ZINC</t>
  </si>
  <si>
    <t>DINOSAUR PARTY BAG + STICKER SET</t>
  </si>
  <si>
    <t>RETRO SPORT PARTY BAG + STICKER SET</t>
  </si>
  <si>
    <t>SKULLS PARTY BAG + STICKER SET</t>
  </si>
  <si>
    <t>WOODLAND PARTY BAG + STICKER SET</t>
  </si>
  <si>
    <t>72 ROUND PINK DOILIES</t>
  </si>
  <si>
    <t>ROUND CONTAINER SET OF 5 RETROSPOT</t>
  </si>
  <si>
    <t>ROUND SNACK BOXES ,SET 4, FRUITS</t>
  </si>
  <si>
    <t>ROUND SNACK BOXES SET OF 4 SKULLS</t>
  </si>
  <si>
    <t>ROUND SNACK BOXES ,SET4, WOODLAND</t>
  </si>
  <si>
    <t>MOBILE VINTAGE HEARTS</t>
  </si>
  <si>
    <t>BAG FOR CHILDREN VINTAGE BLUE</t>
  </si>
  <si>
    <t>BAG FOR CHILDREN VINTAGE PINK</t>
  </si>
  <si>
    <t>BIRD DECORATION GREEN  SPOT</t>
  </si>
  <si>
    <t>BIRD DECORATION RED SPOT</t>
  </si>
  <si>
    <t>BIRDS MOBILE VINTAGE DESIGN</t>
  </si>
  <si>
    <t>HAIRCLIPS FORTIES FABRIC ASSORTED</t>
  </si>
  <si>
    <t>FIVE HEART HANGING DECORATION</t>
  </si>
  <si>
    <t>FIVE CATS HANGING DECORATION</t>
  </si>
  <si>
    <t>200 BENDY SKULL STRAWS</t>
  </si>
  <si>
    <t>200 RED + WHITE BENDY STRAWS</t>
  </si>
  <si>
    <t>OFFICE MUG WARMER CHOC+BLUE</t>
  </si>
  <si>
    <t>OFFICE MUG WARMER PINK</t>
  </si>
  <si>
    <t>OFFICE MUG WARMER POLKADOT</t>
  </si>
  <si>
    <t>OFFICE MUG WARMER BLACK+SILVER</t>
  </si>
  <si>
    <t>KNITTED MUG COSY IVORY COLOUR</t>
  </si>
  <si>
    <t>TEA COSY RED  STRIPE</t>
  </si>
  <si>
    <t>TEA COSY BLUE STRIPE</t>
  </si>
  <si>
    <t>GOLD MUG BONE CHINA TREE OF LIFE</t>
  </si>
  <si>
    <t>SILVER MUG BONE CHINA TREE OF LIFE</t>
  </si>
  <si>
    <t>COFFEE MUG PINK PAISLEY DESIGN</t>
  </si>
  <si>
    <t>COFFEE MUG BLUE PAISLEY DESIGN</t>
  </si>
  <si>
    <t>COFFEE MUG APPLES DESIGN</t>
  </si>
  <si>
    <t>COFFEE MUG PEARS  DESIGN</t>
  </si>
  <si>
    <t>COFFEE MUG CAT + BIRD DESIGN</t>
  </si>
  <si>
    <t>COFFEE MUG DOG + BALL DESIGN</t>
  </si>
  <si>
    <t>PIG KEYRING WITH LIGHT &amp; SOUND</t>
  </si>
  <si>
    <t>HEART IVORY TRELLIS SMALL</t>
  </si>
  <si>
    <t>HEART IVORY TRELLIS LARGE</t>
  </si>
  <si>
    <t>HEART FILIGREE DOVE LARGE</t>
  </si>
  <si>
    <t>HEART FILIGREE DOVE  SMALL</t>
  </si>
  <si>
    <t>SPRING DEC , HANGING CHICK  GREEN</t>
  </si>
  <si>
    <t>SPRING DEC , HANGING CHICK  YELLOW</t>
  </si>
  <si>
    <t>SPRING DEC , HANGING CHICK CREAM</t>
  </si>
  <si>
    <t>STANDING METAL RABBIT WITH EGG</t>
  </si>
  <si>
    <t>DECORATION , HANGING METAL CHICKEN</t>
  </si>
  <si>
    <t>DECORATION , HANGING METAL RABBIT</t>
  </si>
  <si>
    <t>DECORATION , WOBBLY CHICKEN, METAL</t>
  </si>
  <si>
    <t>DECORATION , WOBBLY RABBIT , METAL</t>
  </si>
  <si>
    <t>DECORATION HEN ON NEST, HANGING</t>
  </si>
  <si>
    <t>HEN HOUSE DECORATION</t>
  </si>
  <si>
    <t>6 EGG HOUSE PAINTED WOOD</t>
  </si>
  <si>
    <t>12 EGG HOUSE PAINTED WOOD</t>
  </si>
  <si>
    <t>EASTER TREE YELLOW BIRDS</t>
  </si>
  <si>
    <t>POCKET BAG PINK PAISELY BROWN SPOT</t>
  </si>
  <si>
    <t>POCKET BAG BLUE PAISLEY RED SPOT</t>
  </si>
  <si>
    <t>OVERNIGHT BAG VINTAGE ROSE PAISLEY</t>
  </si>
  <si>
    <t>COSMETIC BAG VINTAGE ROSE PAISLEY</t>
  </si>
  <si>
    <t>WASH BAG VINTAGE ROSE PAISLEY</t>
  </si>
  <si>
    <t>WEEKEND BAG VINTAGE ROSE PAISLEY</t>
  </si>
  <si>
    <t>FELTCRAFT DOLL EMILY</t>
  </si>
  <si>
    <t>FELTCRAFT DOLL MOLLY</t>
  </si>
  <si>
    <t>FELTCRAFT DOLL MARIA</t>
  </si>
  <si>
    <t>FELTCRAFT DOLL ROSIE</t>
  </si>
  <si>
    <t>HAPPY EASTER HANGING DECORATION</t>
  </si>
  <si>
    <t>EGG CUP NATURAL CHICKEN</t>
  </si>
  <si>
    <t>EASTER DECORATION SITTING BUNNY</t>
  </si>
  <si>
    <t>EASTER DECORATION EGG BUNNY</t>
  </si>
  <si>
    <t>EASTER DECORATION HANGING BUNNY</t>
  </si>
  <si>
    <t>EASTER DECORATION NATURAL CHICK</t>
  </si>
  <si>
    <t>FELT FARM ANIMAL WHITE BUNNY</t>
  </si>
  <si>
    <t>FELT EGG COSY LADYBIRD</t>
  </si>
  <si>
    <t>FELT EGG COSY CHICKEN</t>
  </si>
  <si>
    <t>FELT EGG COSY WHITE RABBIT</t>
  </si>
  <si>
    <t>FELT EGG COSY BLUE RABBIT</t>
  </si>
  <si>
    <t>FELT FARM ANIMAL HEN</t>
  </si>
  <si>
    <t>FELT FARM ANIMAL RABBIT</t>
  </si>
  <si>
    <t>FELT FARM ANIMAL SHEEP</t>
  </si>
  <si>
    <t>FELT FARM ANIMAL CHICKEN</t>
  </si>
  <si>
    <t>FELT TOADSTOOL  SMALL</t>
  </si>
  <si>
    <t>FELT TOADSTOOL LARGE</t>
  </si>
  <si>
    <t>6 CROCHET STRAWBERRIES</t>
  </si>
  <si>
    <t>BIRDCAGE DECORATION MAGIC GARDEN</t>
  </si>
  <si>
    <t>BIRDHOUSE DECORATION MAGIC GARDEN</t>
  </si>
  <si>
    <t>DECORATION  BUTTERFLY  MAGIC GARDEN</t>
  </si>
  <si>
    <t>DECORATION WHITE CHICK MAGIC GARDEN</t>
  </si>
  <si>
    <t>DECORATION  PINK CHICK MAGIC GARDEN</t>
  </si>
  <si>
    <t>BUNNY DECORATION MAGIC GARDEN</t>
  </si>
  <si>
    <t>GARLAND, MAGIC GARDEN 1.8M</t>
  </si>
  <si>
    <t>HOOK, 1 HANGER ,MAGIC GARDEN</t>
  </si>
  <si>
    <t>HOOK, 3 HANGER ,MAGIC GARDEN</t>
  </si>
  <si>
    <t>HOOK, 5 HANGER ,MAGIC TOADSTOOL RED</t>
  </si>
  <si>
    <t>HOOK, 5 HANGER , MAGIC TOADSTOOL</t>
  </si>
  <si>
    <t>GARLAND , WOODEN  " HAPPY EASTER"</t>
  </si>
  <si>
    <t>CAKE STAND 3 TIER MAGIC GARDEN</t>
  </si>
  <si>
    <t>JIGSAW RABBIT AND BIRDHOUSE</t>
  </si>
  <si>
    <t>3 PIECE JIGSAW TOADSTOOLS</t>
  </si>
  <si>
    <t>JIGSAW TREE WITH BIRDHOUSE</t>
  </si>
  <si>
    <t>JIGSAW TREE WITH WATERING CAN</t>
  </si>
  <si>
    <t>BUNNY WOODEN PAINTED WITH FLOWER</t>
  </si>
  <si>
    <t>BUNNY WOODEN PAINTED WITH BIRD</t>
  </si>
  <si>
    <t>DECORATION, HANGING HEART+MIRROR</t>
  </si>
  <si>
    <t>WHITE LOVEBIRD LANTERN</t>
  </si>
  <si>
    <t>CAKE PLATE LOVEBIRD PINK</t>
  </si>
  <si>
    <t>CAKE PLATE LOVEBIRD WHITE</t>
  </si>
  <si>
    <t>CAKE STAND LOVEBIRD 2 TIER PINK</t>
  </si>
  <si>
    <t>CAKE STAND LOVEBIRD 2 TIER WHITE</t>
  </si>
  <si>
    <t>LOVEBIRD HANGING DECORATION WHITE</t>
  </si>
  <si>
    <t>CAKE STAND LACE WHITE</t>
  </si>
  <si>
    <t>T-LIGHT HOLDER HANGING LACE</t>
  </si>
  <si>
    <t>T-LIGHT HOLDER WHITE LACE</t>
  </si>
  <si>
    <t>CAKE STAND WHITE TWO TIER LACE</t>
  </si>
  <si>
    <t>CANDLE PLATE LACE WHITE</t>
  </si>
  <si>
    <t>FOUR HOOK  WHITE LOVEBIRDS</t>
  </si>
  <si>
    <t>WOOD STAMP SET FLOWERS</t>
  </si>
  <si>
    <t>WOOD STAMP SET BEST WISHES</t>
  </si>
  <si>
    <t>WOOD STAMP SET HAPPY BIRTHDAY</t>
  </si>
  <si>
    <t>WOOD STAMP SET THANK YOU</t>
  </si>
  <si>
    <t>FRYING PAN UNION FLAG</t>
  </si>
  <si>
    <t>MUG , DOTCOMGIFTSHOP.COM</t>
  </si>
  <si>
    <t>MILK PAN BLUE RETROSPOT</t>
  </si>
  <si>
    <t>MILK PAN RED RETROSPOT</t>
  </si>
  <si>
    <t>MILK PAN PINK RETROSPOT</t>
  </si>
  <si>
    <t>FRYING PAN BLUE POLKADOT</t>
  </si>
  <si>
    <t>FRYING PAN PINK POLKADOT</t>
  </si>
  <si>
    <t>FRYING PAN RED POLKADOT</t>
  </si>
  <si>
    <t>POPCORN HOLDER , LARGE</t>
  </si>
  <si>
    <t>POPCORN HOLDER , SMALL</t>
  </si>
  <si>
    <t>SMALL HEART MEASURING SPOONS</t>
  </si>
  <si>
    <t>HEART MEASURING SPOONS LARGE</t>
  </si>
  <si>
    <t>BLACK DINER WALL CLOCK</t>
  </si>
  <si>
    <t>RED DINER WALL CLOCK</t>
  </si>
  <si>
    <t>BLUE DINER WALL CLOCK</t>
  </si>
  <si>
    <t>EAU DE NIL DINER WALL CLOCK</t>
  </si>
  <si>
    <t>LOCAL CAFE MUG</t>
  </si>
  <si>
    <t>CREAM HEART CARD HOLDER</t>
  </si>
  <si>
    <t>BLACK HEART CARD HOLDER</t>
  </si>
  <si>
    <t>GREEN CHRISTMAS TREE CARD HOLDER</t>
  </si>
  <si>
    <t>RED STAR CARD HOLDER</t>
  </si>
  <si>
    <t>SLATE TILE NATURAL HANGING</t>
  </si>
  <si>
    <t>CAKE STAND VICTORIAN FILIGREE LARGE</t>
  </si>
  <si>
    <t>CAKE STAND VICTORIAN FILIGREE MED</t>
  </si>
  <si>
    <t>CAKE STAND VICTORIAN FILIGREE SMALL</t>
  </si>
  <si>
    <t>SNOWSTORM PHOTO FRAME FRIDGE MAGNET</t>
  </si>
  <si>
    <t>RETRO SPOT LAMP</t>
  </si>
  <si>
    <t>SET 10 LIGHTS NIGHT OWL</t>
  </si>
  <si>
    <t>VICTORIAN GLASS HANGING T-LIGHT</t>
  </si>
  <si>
    <t>5 HOOK BLACKBOARD ORGANISER</t>
  </si>
  <si>
    <t>BLUE OWL SOFT TOY</t>
  </si>
  <si>
    <t>PINK OWL SOFT TOY</t>
  </si>
  <si>
    <t>PHOTO CUBE</t>
  </si>
  <si>
    <t>METAL 4 HOOK HANGER FRENCH CHATEAU</t>
  </si>
  <si>
    <t>METAL SHELF WITH RAIL</t>
  </si>
  <si>
    <t>3 HOOK PHOTO SHELF ANTIQUE WHITE</t>
  </si>
  <si>
    <t>PICTURE FRAME WOOD TRIPLE PORTRAIT</t>
  </si>
  <si>
    <t>FAMILY ALBUM WHITE PICTURE FRAME</t>
  </si>
  <si>
    <t>ORGANISER WOOD, ANTIQUE WHITE</t>
  </si>
  <si>
    <t>WALL MIRROR , DIAMANTE OVAL SHAPE</t>
  </si>
  <si>
    <t>WALL MIRROR , RECT DIAMANTE, PINK/</t>
  </si>
  <si>
    <t>DIAMANTE HEART SHAPED WALL MIRROR,</t>
  </si>
  <si>
    <t>STRING OF STARS CARD HOLDER</t>
  </si>
  <si>
    <t>HEART STRING MEMO HOLDER HANGING</t>
  </si>
  <si>
    <t>HEART GARLAND RUSTIC PADDED</t>
  </si>
  <si>
    <t>HEART DECORATION RUSTIC HANGING</t>
  </si>
  <si>
    <t>3 HEARTS HANGING DECORATION RUSTIC</t>
  </si>
  <si>
    <t>ANGEL DECORATION WITH LACE PADDED</t>
  </si>
  <si>
    <t>HEART DECORATION WITH PEARLS</t>
  </si>
  <si>
    <t>STAR DECORATION RUSTIC</t>
  </si>
  <si>
    <t>ANGEL DECORATION 3 BUTTONS</t>
  </si>
  <si>
    <t>ANGEL DECORATION STARS ON DRESS</t>
  </si>
  <si>
    <t>PLACE SETTING WHITE STAR</t>
  </si>
  <si>
    <t>PLACE SETTING WHITE HEART</t>
  </si>
  <si>
    <t>3 STRIPEY MICE FELTCRAFT</t>
  </si>
  <si>
    <t>FELTCRAFT 6 FLOWER FRIENDS</t>
  </si>
  <si>
    <t>EASTER CRAFT 4 CHICKS</t>
  </si>
  <si>
    <t>FELTCRAFT BUTTERFLY HEARTS</t>
  </si>
  <si>
    <t>EASTER CRAFT IVY WREATH WITH CHICK</t>
  </si>
  <si>
    <t>CHRISTMAS CRAFT HEART STOCKING</t>
  </si>
  <si>
    <t>CHRISTMAS CRAFT LITTLE FRIENDS</t>
  </si>
  <si>
    <t>CHRISTMAS CRAFT HEART DECORATIONS</t>
  </si>
  <si>
    <t>CHRISTMAS CRAFT WHITE FAIRY</t>
  </si>
  <si>
    <t>CHRISTMAS CRAFT TREE TOP ANGEL</t>
  </si>
  <si>
    <t>11 PC CERAMIC TEA SET POLKADOT</t>
  </si>
  <si>
    <t>BAKING SET 9 PIECE RETROSPOT</t>
  </si>
  <si>
    <t>BATHROOM SET LOVE HEART DESIGN</t>
  </si>
  <si>
    <t>LOVE HEART SOCK HANGER</t>
  </si>
  <si>
    <t>LADLE LOVE HEART PINK</t>
  </si>
  <si>
    <t>LADLE LOVE HEART RED</t>
  </si>
  <si>
    <t>PINK LOVE HEART SHAPE CUP</t>
  </si>
  <si>
    <t>RED LOVE HEART SHAPE CUP</t>
  </si>
  <si>
    <t>FOOD CONTAINER SET 3 LOVE HEART</t>
  </si>
  <si>
    <t>PARTY CONE CHRISTMAS DECORATION</t>
  </si>
  <si>
    <t>PARTY CONES CANDY TREE DECORATION</t>
  </si>
  <si>
    <t>PARTY CONES CANDY ASSORTED</t>
  </si>
  <si>
    <t>PARTY CONES CARNIVAL ASSORTED</t>
  </si>
  <si>
    <t>UNION JACK HOT WATER BOTTLE</t>
  </si>
  <si>
    <t>SET OF 2 TEA TOWELS PING MICROWAVE</t>
  </si>
  <si>
    <t>PING MICROWAVE APRON</t>
  </si>
  <si>
    <t>SET OF 2 FANCY FONT TEA TOWELS</t>
  </si>
  <si>
    <t>NOEL WOODEN BLOCK LETTERS</t>
  </si>
  <si>
    <t>WELCOME  WOODEN BLOCK LETTERS</t>
  </si>
  <si>
    <t>PEACE WOODEN BLOCK LETTERS</t>
  </si>
  <si>
    <t>JOY WOODEN BLOCK LETTERS</t>
  </si>
  <si>
    <t>METAL SIGN HER DINNER IS SERVED</t>
  </si>
  <si>
    <t>METAL SIGN HIS DINNER IS SERVED</t>
  </si>
  <si>
    <t>METAL SIGN EMPIRE TEA</t>
  </si>
  <si>
    <t>HOT WATER BOTTLE TEA AND SYMPATHY</t>
  </si>
  <si>
    <t>GREY HEART HOT WATER BOTTLE</t>
  </si>
  <si>
    <t>CHOCOLATE HOT WATER BOTTLE</t>
  </si>
  <si>
    <t>SCOTTIE DOG HOT WATER BOTTLE</t>
  </si>
  <si>
    <t>BIRD HOUSE HOT WATER BOTTLE</t>
  </si>
  <si>
    <t>FULL ENGLISH BREAKFAST PLATE</t>
  </si>
  <si>
    <t>PING! MICROWAVE PLATE</t>
  </si>
  <si>
    <t>PIZZA PLATE IN BOX</t>
  </si>
  <si>
    <t>MIRROR MOSAIC HURRICANE LAMP</t>
  </si>
  <si>
    <t>MIRROR MOSAIC GOBLET CANDLE HOLDER</t>
  </si>
  <si>
    <t>MIRROR MOSAIC CANDLE PLATE</t>
  </si>
  <si>
    <t>MIRROR MOSAIC T-LIGHT HOLDER ROUND</t>
  </si>
  <si>
    <t>MIRROR MOSAIC T-LIGHT HOLDER</t>
  </si>
  <si>
    <t>MIRROR MOSAIC VOTIVE HOLDER</t>
  </si>
  <si>
    <t>SKULLS SQUARE TISSUE BOX</t>
  </si>
  <si>
    <t>CARAVAN SQUARE TISSUE BOX</t>
  </si>
  <si>
    <t>BOUDOIR SQUARE TISSUE BOX</t>
  </si>
  <si>
    <t>SWALLOW SQUARE TISSUE BOX</t>
  </si>
  <si>
    <t>PINK PAISLEY SQUARE TISSUE BOX</t>
  </si>
  <si>
    <t>LADS ONLY TISSUE BOX</t>
  </si>
  <si>
    <t>RED POLKA DOT TISSUE BOX</t>
  </si>
  <si>
    <t>MOTORING TISSUE BOX</t>
  </si>
  <si>
    <t>BLUE PAISLEY TISSUE BOX</t>
  </si>
  <si>
    <t>EMPIRE TISSUE BOX</t>
  </si>
  <si>
    <t>PAPER BUNTING RETRO SPOTS</t>
  </si>
  <si>
    <t>PAPER BUNTING VINTAGE PAISLEY</t>
  </si>
  <si>
    <t>PAPER BUNTING COLOURED LACE</t>
  </si>
  <si>
    <t>PAPER BUNTING WHITE LACE</t>
  </si>
  <si>
    <t>PAPER CHAIN KIT 50'S CHRISTMAS</t>
  </si>
  <si>
    <t>PAPER CHAIN KIT SKULLS</t>
  </si>
  <si>
    <t>PAPER CHAIN KIT EMPIRE</t>
  </si>
  <si>
    <t>PAPER CHAIN KIT RETRO SPOT</t>
  </si>
  <si>
    <t>RIBBON REEL STRIPES DESIGN</t>
  </si>
  <si>
    <t>RIBBON REEL FLORA + FAUNA</t>
  </si>
  <si>
    <t>RIBBON REEL SPOTS DESIGN</t>
  </si>
  <si>
    <t>RIBBON REEL HEARTS DESIGN</t>
  </si>
  <si>
    <t>RIBBON REEL LACE DESIGN</t>
  </si>
  <si>
    <t>6 RIBBONS RUSTIC CHARM</t>
  </si>
  <si>
    <t>6 RIBBONS EMPIRE</t>
  </si>
  <si>
    <t>6 RIBBONS ELEGANT CHRISTMAS</t>
  </si>
  <si>
    <t>6 RIBBONS SHIMMERING PINKS</t>
  </si>
  <si>
    <t>RETRO SPOT STORAGE JAR</t>
  </si>
  <si>
    <t>TEA CUP AND SAUCER RETRO SPOT</t>
  </si>
  <si>
    <t>SMALL RETRO SPOT MUG IN BOX  WHITE</t>
  </si>
  <si>
    <t>SMALL RETRO SPOT MUG IN BOX  RED</t>
  </si>
  <si>
    <t>BROWN  PIRATE TREASURE CHEST</t>
  </si>
  <si>
    <t>BLACK PIRATE TREASURE CHEST</t>
  </si>
  <si>
    <t>CHOC TRUFFLE GOLD TRINKET POT</t>
  </si>
  <si>
    <t>LOVE HEART TRINKET POT</t>
  </si>
  <si>
    <t>CHRISTMAS PUDDING TRINKET POT</t>
  </si>
  <si>
    <t>PINK DOUGHNUT TRINKET POT</t>
  </si>
  <si>
    <t>CERAMIC BOWL WITH STRAWBERRY DESIGN</t>
  </si>
  <si>
    <t>CERAMIC BOWL WITH LOVE HEART DESIGN</t>
  </si>
  <si>
    <t>LARGE CAKE STAND  HANGING STRAWBERY</t>
  </si>
  <si>
    <t>LARGE CAKE STAND HANGING HEARTS</t>
  </si>
  <si>
    <t>CERAMIC STRWBERRY DESIGN MUG</t>
  </si>
  <si>
    <t>CERAMIC LOVE HEARTS DESIGN MUG</t>
  </si>
  <si>
    <t>CERAMIC PLATE STRAWBERRY DESIGN</t>
  </si>
  <si>
    <t>CERAMIC PLATE LOVE HEART DESIGN</t>
  </si>
  <si>
    <t>MINI CAKE STAND  HANGING STRAWBERY</t>
  </si>
  <si>
    <t>MINI CAKE STAND HANGING HEARTS</t>
  </si>
  <si>
    <t>EMPIRE DESIGN ROSETTE</t>
  </si>
  <si>
    <t>VINTAGE CARAVAN GIFT WRAP</t>
  </si>
  <si>
    <t>BLUE SCANDINAVIAN PAISLEY WRAP</t>
  </si>
  <si>
    <t>PINK PAISLEY ROSE GIFT WRAP</t>
  </si>
  <si>
    <t>WRAP CHRISTMAS SCREEN PRINT</t>
  </si>
  <si>
    <t>BIRTHDAY BANQUET GIFT WRAP</t>
  </si>
  <si>
    <t>EMPIRE GIFT WRAP</t>
  </si>
  <si>
    <t>TEA PARTY  WRAPPING PAPER</t>
  </si>
  <si>
    <t>SPACE BOY GIFT WRAP</t>
  </si>
  <si>
    <t>CHRISTMAS CARD STACK OF PRESENTS</t>
  </si>
  <si>
    <t>CHRISTMAS CARD SCREEN PRINT</t>
  </si>
  <si>
    <t>CHRISTMAS CARD SINGING ANGEL</t>
  </si>
  <si>
    <t>RECORD FRAME 7" SINGLE SIZE</t>
  </si>
  <si>
    <t>BOTANICAL ROSE GIFT WRAP</t>
  </si>
  <si>
    <t>BOTANICAL LILY GIFT WRAP</t>
  </si>
  <si>
    <t>BOTANICAL LAVENDER GIFT WRAP</t>
  </si>
  <si>
    <t>ROBOT BIRTHDAY CARD</t>
  </si>
  <si>
    <t>DINOSAUR BIRTHDAY CARD</t>
  </si>
  <si>
    <t>VINTAGE CARAVAN GREETING CARD</t>
  </si>
  <si>
    <t>ROBIN CHRISTMAS CARD</t>
  </si>
  <si>
    <t>BOTANICAL ROSE GREETING CARD</t>
  </si>
  <si>
    <t>BOTANICAL LILY GREETING CARD</t>
  </si>
  <si>
    <t>BOTANICAL LAVENDER BIRTHDAY CARD</t>
  </si>
  <si>
    <t>SWALLOWS GREETING CARD</t>
  </si>
  <si>
    <t>SPACE BOY BIRTHDAY CARD</t>
  </si>
  <si>
    <t>PENNY FARTHING BIRTHDAY CARD</t>
  </si>
  <si>
    <t>TEA PARTY BIRTHDAY CARD</t>
  </si>
  <si>
    <t>BANQUET BIRTHDAY  CARD</t>
  </si>
  <si>
    <t>RING OF ROSES BIRTHDAY CARD</t>
  </si>
  <si>
    <t>RAINY LADIES BIRTHDAY CARD</t>
  </si>
  <si>
    <t>EMPIRE BIRTHDAY CARD</t>
  </si>
  <si>
    <t>BLUE FELT EASTER EGG BASKET</t>
  </si>
  <si>
    <t>Dotcomgiftshop Gift Voucher Â£100.00</t>
  </si>
  <si>
    <t>FLORAL FOLK STATIONERY SET</t>
  </si>
  <si>
    <t>VINTAGE PAISLEY STATIONERY SET</t>
  </si>
  <si>
    <t>BOHEMIAN COLLAGE STATIONERY SET</t>
  </si>
  <si>
    <t>MODERN FLORAL STATIONERY SET</t>
  </si>
  <si>
    <t>PACK OF 20 SKULL PAPER NAPKINS</t>
  </si>
  <si>
    <t>PACK OF 6 SKULL PAPER PLATES</t>
  </si>
  <si>
    <t>PACK OF 6 SKULL PAPER CUPS</t>
  </si>
  <si>
    <t>PACK OF 12 PINK SPOT TISSUES</t>
  </si>
  <si>
    <t>PACK OF 12 HEARTS DESIGN TISSUES</t>
  </si>
  <si>
    <t>PACK OF 12 PINK PAISLEY TISSUES</t>
  </si>
  <si>
    <t>PACK OF 12 BLUE PAISLEY TISSUES</t>
  </si>
  <si>
    <t>PACK OF 12 SUKI TISSUES</t>
  </si>
  <si>
    <t>PACK OF 12 WOODLAND TISSUES</t>
  </si>
  <si>
    <t>PACK OF 12 RED SPOTTY TISSUES</t>
  </si>
  <si>
    <t>PACK OF 60 PINK PAISLEY CAKE CASES</t>
  </si>
  <si>
    <t>PACK OF 60 MUSHROOM CAKE CASES</t>
  </si>
  <si>
    <t>PACK OF 60 DINOSAUR CAKE CASES</t>
  </si>
  <si>
    <t>SET OF 36 PAISLEY FLOWER DOILIES</t>
  </si>
  <si>
    <t>SET OF 36 MUSHROOM PAPER DOILIES</t>
  </si>
  <si>
    <t>SET OF 36 DINOSAUR PAPER DOILIES</t>
  </si>
  <si>
    <t>PACK OF 12 SKULL TISSUES</t>
  </si>
  <si>
    <t>UNION JACK GUNS &amp; ROSES  DOORMAT</t>
  </si>
  <si>
    <t>SET OF 6 DOTS CHOPSTICKS</t>
  </si>
  <si>
    <t>SET OF 6 STRAWBERRY CHOPSTICKS</t>
  </si>
  <si>
    <t>SET OF 6 CAKE CHOPSTICKS</t>
  </si>
  <si>
    <t>SET OF 6 HEART CHOPSTICKS</t>
  </si>
  <si>
    <t>PARTY TIME DESIGN FLANNEL</t>
  </si>
  <si>
    <t>STRAWBERRIES  DESIGN FLANNEL</t>
  </si>
  <si>
    <t>KITTENS DESIGN FLANNEL</t>
  </si>
  <si>
    <t>CAKES AND RABBITS DESIGN FLANNEL</t>
  </si>
  <si>
    <t>SKULLS DESIGN FLANNEL</t>
  </si>
  <si>
    <t>STRAWBERRY   PICNIC BAG</t>
  </si>
  <si>
    <t>RED/WHITE SPOT PICNIC BAG</t>
  </si>
  <si>
    <t>SUKI  SHOULDER BAG</t>
  </si>
  <si>
    <t>SKULL SHOULDER BAG</t>
  </si>
  <si>
    <t>PINK VINTAGE PAISLEY PICNIC BAG</t>
  </si>
  <si>
    <t>SCANDINAVIAN PAISLEY PICNIC BAG</t>
  </si>
  <si>
    <t>JUMBO STORAGE BAG SUKI</t>
  </si>
  <si>
    <t>JUMBO STORAGE BAG SKULLS</t>
  </si>
  <si>
    <t>JUMBO BAG PINK VINTAGE PAISLEY</t>
  </si>
  <si>
    <t>JUMBO BAG SCANDINAVIAN PAISLEY</t>
  </si>
  <si>
    <t>BLUE/CREAM STRIPE CUSHION COVER</t>
  </si>
  <si>
    <t>RED/CREAM STRIPE CUSHION COVER</t>
  </si>
  <si>
    <t>UNION STRIPE CUSHION COVER</t>
  </si>
  <si>
    <t>BLUE/CREAM STRIPE FRINGE HAMMOCK</t>
  </si>
  <si>
    <t>RED/CREAM STRIPE FRINGE HAMMOCK</t>
  </si>
  <si>
    <t>UNION STRIPE WITH FRINGE  HAMMOCK</t>
  </si>
  <si>
    <t>Electronic Talking Breath-A-Loser</t>
  </si>
  <si>
    <t>SET 12 KIDS COLOUR  CHALK STICKS</t>
  </si>
  <si>
    <t>SET 12 KIDS  WHITE CHALK STICKS</t>
  </si>
  <si>
    <t>SET 12 RETRO WHITE CHALK STICKS</t>
  </si>
  <si>
    <t>RED  HARMONICA IN BOX</t>
  </si>
  <si>
    <t>BLUE HARMONICA IN BOX</t>
  </si>
  <si>
    <t>VINTAGE SEASIDE JIGSAW PUZZLES</t>
  </si>
  <si>
    <t>VINTAGE SNAKES &amp; LADDERS</t>
  </si>
  <si>
    <t>GARDEN METAL SIGN</t>
  </si>
  <si>
    <t>WAY OUT METAL SIGN</t>
  </si>
  <si>
    <t>CHOCOLATE THIS WAY METAL SIGN</t>
  </si>
  <si>
    <t>I'M ON HOLIDAY METAL SIGN</t>
  </si>
  <si>
    <t>PHARMACIE FIRST AID TIN</t>
  </si>
  <si>
    <t>MORE BUTTER METAL SIGN</t>
  </si>
  <si>
    <t>HOUSE WRECKING METAL SIGN</t>
  </si>
  <si>
    <t>MAN FLU METAL SIGN</t>
  </si>
  <si>
    <t>KEY FOB , FRONT  DOOR</t>
  </si>
  <si>
    <t>KEY FOB , BACK DOOR</t>
  </si>
  <si>
    <t>KEY FOB , SHED</t>
  </si>
  <si>
    <t>KEY FOB , GARAGE DESIGN</t>
  </si>
  <si>
    <t>POTTING SHED ROSE CANDLE</t>
  </si>
  <si>
    <t>POTTING SHED CANDLE CITRONELLA</t>
  </si>
  <si>
    <t>POTTING SHED TWINE</t>
  </si>
  <si>
    <t>POTTING SHED SOW 'N' GROW SET</t>
  </si>
  <si>
    <t>POTTING SHED SEED ENVELOPES</t>
  </si>
  <si>
    <t>POTTING SHED SEED TIN</t>
  </si>
  <si>
    <t>TRADITIONAL WOODEN CATCH CUP GAME</t>
  </si>
  <si>
    <t>TRADITIONAL WOODEN SKIPPING ROPE</t>
  </si>
  <si>
    <t>S/6 WOODEN SKITTLES IN COTTON BAG</t>
  </si>
  <si>
    <t>WOODEN BOX OF DOMINOES</t>
  </si>
  <si>
    <t>BINGO SET</t>
  </si>
  <si>
    <t>CAKES AND BOWS GIFT  TAPE</t>
  </si>
  <si>
    <t>STARS GIFT TAPE</t>
  </si>
  <si>
    <t>SKULLS TAPE</t>
  </si>
  <si>
    <t>CUTE CATS TAPE</t>
  </si>
  <si>
    <t>RED AND WHITE SPOT TAPE</t>
  </si>
  <si>
    <t>HEARTS GIFT TAPE</t>
  </si>
  <si>
    <t>PACK OF 6 SANDCASTLE FLAGS ASSORTED</t>
  </si>
  <si>
    <t>HOME SWEET HOME MUG</t>
  </si>
  <si>
    <t>POTTERING MUG</t>
  </si>
  <si>
    <t>KINGS CHOICE MUG</t>
  </si>
  <si>
    <t>GIN AND TONIC MUG</t>
  </si>
  <si>
    <t>IF YOU CAN'T STAND THE HEAT MUG</t>
  </si>
  <si>
    <t>GLAMOROUS  MUG</t>
  </si>
  <si>
    <t>SAVE THE PLANET MUG</t>
  </si>
  <si>
    <t>I CAN ONLY PLEASE ONE PERSON MUG</t>
  </si>
  <si>
    <t>POTTING SHED COFFEE MUG</t>
  </si>
  <si>
    <t>POTTING SHED TEA MUG</t>
  </si>
  <si>
    <t>PINK UNION JACK  LUGGAGE TAG</t>
  </si>
  <si>
    <t>UNION JACK FLAG LUGGAGE TAG</t>
  </si>
  <si>
    <t>PINK UNION JACK  PASSPORT COVER</t>
  </si>
  <si>
    <t>UNION JACK FLAG PASSPORT COVER</t>
  </si>
  <si>
    <t>DR WHO TOP TRUMPS GAME</t>
  </si>
  <si>
    <t>HIGH SCHOOL MUSICAL 3 TOP TRUMPS</t>
  </si>
  <si>
    <t>STAR WARS TOP TRUMPS GAME</t>
  </si>
  <si>
    <t>EURO FOOTBALL STARS TOP TRUMPS GAME</t>
  </si>
  <si>
    <t>GUMBALL CUSTOM CARS TOP TRUMPS GAME</t>
  </si>
  <si>
    <t>EMPIRE TEDDY</t>
  </si>
  <si>
    <t>LILAC DIAMANTE PEN IN GIFT BOX</t>
  </si>
  <si>
    <t>BLUE  DIAMANTE PEN IN GIFT BOX</t>
  </si>
  <si>
    <t>SILVER DIAMANTE PEN IN GIFT BOX</t>
  </si>
  <si>
    <t>GREEN  DIAMANTE PEN IN GIFT BOX</t>
  </si>
  <si>
    <t>PINK DIAMANTE PEN IN GIFT BOX</t>
  </si>
  <si>
    <t>DAIRY MAID STRIPE MUG</t>
  </si>
  <si>
    <t>RETRO SPOT MUG</t>
  </si>
  <si>
    <t>RETRO SPOT CAKE STAND</t>
  </si>
  <si>
    <t>PINK HEART CANDY BUTTON CALCULATOR</t>
  </si>
  <si>
    <t>BABY MOUSE RED GINGHAM DRESS</t>
  </si>
  <si>
    <t>MUMMY MOUSE RED GINGHAM RIBBON</t>
  </si>
  <si>
    <t>DADDY MOUSE RED GINGHAM BOW TIE</t>
  </si>
  <si>
    <t>CROSS STITCH ALPHABET CUSHION COVER</t>
  </si>
  <si>
    <t>GINGHAM OVEN GLOVE RED HEART</t>
  </si>
  <si>
    <t>CAMOUFLAGE LED TORCH</t>
  </si>
  <si>
    <t>CHOCOLATE CALCULATOR</t>
  </si>
  <si>
    <t>ASSORTED CREEPY CRAWLIES</t>
  </si>
  <si>
    <t>DINOSAUR KEYRINGS ASSORTED</t>
  </si>
  <si>
    <t>EIGHT PIECE SNAKE  SET</t>
  </si>
  <si>
    <t>EIGHT PIECE CREEPY CRAWLIE SET</t>
  </si>
  <si>
    <t>EIGHT PIECE DINOSAUR SET</t>
  </si>
  <si>
    <t>PAINTED METAL TREE WITH HOLLY BELLS</t>
  </si>
  <si>
    <t>PAINTED METAL STAR WITH HOLLY BELLS</t>
  </si>
  <si>
    <t>PAINTED METAL HEART WITH HOLLY BELL</t>
  </si>
  <si>
    <t>GLITTER CHRISTMAS TREE WITH BELLS</t>
  </si>
  <si>
    <t>GLITTER STAR GARLAND WITH BELLS</t>
  </si>
  <si>
    <t>GLITTER HEART GARLAND WITH BELLS</t>
  </si>
  <si>
    <t>GLITTER CHRISTMAS STAR</t>
  </si>
  <si>
    <t>GLITTER CHRISTMAS HEART</t>
  </si>
  <si>
    <t>GLITTER CHRISTMAS TREE</t>
  </si>
  <si>
    <t>CHRISTMAS TREE T-LIGHT HOLDER</t>
  </si>
  <si>
    <t>STAR  T-LIGHT HOLDER</t>
  </si>
  <si>
    <t>GARLAND WITH STARS AND BELLS</t>
  </si>
  <si>
    <t>GARLAND WITH HEARTS AND BELLS</t>
  </si>
  <si>
    <t>CHRISTMAS HANGING HEART WITH BELL</t>
  </si>
  <si>
    <t>CHRISTMAS HANGING STAR WITH BELL</t>
  </si>
  <si>
    <t>CHRISTMAS HANGING TREE WITH BELL</t>
  </si>
  <si>
    <t>CHRISTMAS GARLAND STARS,TREES</t>
  </si>
  <si>
    <t>WHITE CHRISTMAS STAR DECORATION</t>
  </si>
  <si>
    <t>WHITE CHRISTMAS HEART DECORATION</t>
  </si>
  <si>
    <t>WHITE CHRISTMAS TREE DECORATION</t>
  </si>
  <si>
    <t>WHITE CHRISTMAS GARLAND STARS TREES</t>
  </si>
  <si>
    <t>CHRISTMAS TREE STAR DECORATION</t>
  </si>
  <si>
    <t>CHRISTMAS TREE HEART DECORATION</t>
  </si>
  <si>
    <t>CHRISTMAS TREE DECORATION WITH BELL</t>
  </si>
  <si>
    <t>SET OF 3 RED STRIPE BASKETS</t>
  </si>
  <si>
    <t>SET OF 3 BLUE STRIPE BASKET</t>
  </si>
  <si>
    <t>CLASSIC FRENCH STYLE BASKET NATURAL</t>
  </si>
  <si>
    <t>CLASSIC FRENCH STYLE BASKET BROWN</t>
  </si>
  <si>
    <t>CLASSIC FRENCH STYLE BASKET GREEN</t>
  </si>
  <si>
    <t>VINTAGE HEADS AND TAILS CARD GAME</t>
  </si>
  <si>
    <t>VINTAGE SNAP CARDS</t>
  </si>
  <si>
    <t>KIDS RAIN MAC PINK</t>
  </si>
  <si>
    <t>KIDS RAIN MAC BLUE</t>
  </si>
  <si>
    <t>RAIN PONCHO WITH RED SPOTS</t>
  </si>
  <si>
    <t>RAIN HAT WITH RED SPOTS</t>
  </si>
  <si>
    <t>RAIN PONCHO</t>
  </si>
  <si>
    <t>SHOE SHINE BOX</t>
  </si>
  <si>
    <t>MA CAMPAGNE CUTLERY BOX</t>
  </si>
  <si>
    <t>MA CAMPAGNE 4 DRAWER WALL SHELF</t>
  </si>
  <si>
    <t>MA CAMPAGNE MINI WOODEN CHEST</t>
  </si>
  <si>
    <t>RECIPE BOX WITH METAL HEART</t>
  </si>
  <si>
    <t>DECORATIVE FLORE BATHROOM BOTTLE</t>
  </si>
  <si>
    <t>DECORATIVE CATS BATHROOM BOTTLE</t>
  </si>
  <si>
    <t>DECORATIVE ROSE BATHROOM BOTTLE</t>
  </si>
  <si>
    <t>VINTAGE METAL CAKE STAND CREAM</t>
  </si>
  <si>
    <t>OPEN CLOSED METAL SIGN</t>
  </si>
  <si>
    <t>VINTAGE POST OFFICE CABINET</t>
  </si>
  <si>
    <t>WALL MOUNTED VINTAGE ORGANISER</t>
  </si>
  <si>
    <t>FRENCH STYLE WIRE DOOR CABINET</t>
  </si>
  <si>
    <t>HANGING METAL BIRD BATH</t>
  </si>
  <si>
    <t>VINTAGE WOODEN PLATE RACK</t>
  </si>
  <si>
    <t>VINTAGE WOODEN BAR STOOL</t>
  </si>
  <si>
    <t>WOOD AND GLASS MEDICINE CABINET</t>
  </si>
  <si>
    <t>FRENCH STYLE WALL DRESSER</t>
  </si>
  <si>
    <t>METAL WALL SHELF UNIT WITH HOOKS</t>
  </si>
  <si>
    <t>VINTAGE SHELLS PRINT</t>
  </si>
  <si>
    <t>LIGHTHOUSE PRINTED METAL SIGN</t>
  </si>
  <si>
    <t>BATH BUILDING BLOCK WORD</t>
  </si>
  <si>
    <t>LOVE BUILDING BLOCK WORD</t>
  </si>
  <si>
    <t>HOME BUILDING BLOCK WORD</t>
  </si>
  <si>
    <t>GLASS CAKE STAND MIRRORED BASE</t>
  </si>
  <si>
    <t>LARGE SKULL WINDMILL</t>
  </si>
  <si>
    <t>LARGE RED SPOT WINDMILL</t>
  </si>
  <si>
    <t>SMALL SKULL WINDMILL</t>
  </si>
  <si>
    <t>SMALL RED SPOT  WINDMILL</t>
  </si>
  <si>
    <t>GAOLERS KEYS DECORATIVE GARDEN</t>
  </si>
  <si>
    <t>SNOWFLAKE PORTABLE TABLE LIGHT</t>
  </si>
  <si>
    <t>STAR PORTABLE TABLE LIGHT</t>
  </si>
  <si>
    <t>LARGE ROUND WICKER PLATTER</t>
  </si>
  <si>
    <t>COSY SLIPPER SHOES LARGE GREEN</t>
  </si>
  <si>
    <t>COSY SLIPPER SHOES LARGE RED</t>
  </si>
  <si>
    <t>COSY SLIPPER SHOES SMALL GREEN</t>
  </si>
  <si>
    <t>COSY SLIPPER SHOES SMALL  RED</t>
  </si>
  <si>
    <t>SET 3 WICKER LOG BASKETS</t>
  </si>
  <si>
    <t>GOLD SCROLL GLASS T-LIGHT HOLDER</t>
  </si>
  <si>
    <t>TWO DOOR CURIO CABINET</t>
  </si>
  <si>
    <t>SMALL MARAKESH LANTERN ON STICK</t>
  </si>
  <si>
    <t>RED HANGING HEART T-LIGHT HOLDER</t>
  </si>
  <si>
    <t>RED HANGING METAL STAR TLIGHT HLDR</t>
  </si>
  <si>
    <t>RED TOADSTOOL LED NIGHT LIGHT</t>
  </si>
  <si>
    <t>GLASS STAR FROSTED T-LIGHT HOLDER</t>
  </si>
  <si>
    <t>SMALL MARAKESH METAL  LANTERN</t>
  </si>
  <si>
    <t>METAL MEDINA LANTERN</t>
  </si>
  <si>
    <t>MULTI HEARTS  STICKERS</t>
  </si>
  <si>
    <t>SWEETIES  STICKERS</t>
  </si>
  <si>
    <t>PANDA AND BUNNIES STICKER SHEET</t>
  </si>
  <si>
    <t>ALPHABET HEARTS STICKER SHEET</t>
  </si>
  <si>
    <t>SWEET PUDDING STICKER SHEET</t>
  </si>
  <si>
    <t>CANDY SHOP  STICKER SHEET</t>
  </si>
  <si>
    <t>CAKE SHOP  STICKER SHEET</t>
  </si>
  <si>
    <t>LOVELY BONBON STICKER SHEET</t>
  </si>
  <si>
    <t>RED METAL BEACH SPADE</t>
  </si>
  <si>
    <t>EASTER TIN BUCKET</t>
  </si>
  <si>
    <t>BOYS VINTAGE TIN SEASIDE BUCKET</t>
  </si>
  <si>
    <t>GIRLS VINTAGE TIN SEASIDE BUCKET</t>
  </si>
  <si>
    <t>CITRONELLA CANDLE GARDEN POT</t>
  </si>
  <si>
    <t>CITRONELLA CANDLE FLOWERPOT</t>
  </si>
  <si>
    <t>FOLDING UMBRELLA  WHITE/RED  SPOT</t>
  </si>
  <si>
    <t>FOLDING UMBRELLA  PINK/WHITE  SPOT</t>
  </si>
  <si>
    <t>FOLDING UMBRELLA  CHOC/WHITE  SPOT</t>
  </si>
  <si>
    <t>FOLDING UMBRELLA  CREAM/MULTI  SPOT</t>
  </si>
  <si>
    <t>FOLDING UMBRELLA , BLACK/BLUE  SPOT</t>
  </si>
  <si>
    <t>FOLDING UMBRELLA , RED/WHITE SPOT</t>
  </si>
  <si>
    <t>BAG 500g SWIRLY MARBLES</t>
  </si>
  <si>
    <t>BAG 250g SWIRLY MARBLES</t>
  </si>
  <si>
    <t>BAG 125g SWIRLY MARBLES</t>
  </si>
  <si>
    <t>SET 5 MINI GATEAUX  FRIDGE MAGNETS</t>
  </si>
  <si>
    <t>BIG DOUGHNUT FRIDGE MAGNETS</t>
  </si>
  <si>
    <t>SET 5 MINI CHOCOLATE FRIDGE MAGNETS</t>
  </si>
  <si>
    <t>MOCK LOBSTER FRIDGE MAGNET</t>
  </si>
  <si>
    <t>SET 5 MINI DOUGHNUT FRIDGE MAGNET</t>
  </si>
  <si>
    <t>SMALL SILVER TRELLIS CANDLEPOT</t>
  </si>
  <si>
    <t>SMALL SILVER FLOWER CANDLE POT</t>
  </si>
  <si>
    <t>SMALL REGAL  SILVER CANDLEPOT</t>
  </si>
  <si>
    <t>SMALL HAMMERED SILVER CANDLEPOT</t>
  </si>
  <si>
    <t>SILVER LATTICE VANILLA CANDLE POT</t>
  </si>
  <si>
    <t>SILVER VANILLA FLOWER CANDLE POT</t>
  </si>
  <si>
    <t>SILVER  CANDLEPOT JARDIN</t>
  </si>
  <si>
    <t>SILVER VANILLA  FLOWER CANDLE POT</t>
  </si>
  <si>
    <t>SILVER PLATE CANDLE BOWL SMALL</t>
  </si>
  <si>
    <t>SILVER PLATE CANDLE BOWL LARGE</t>
  </si>
  <si>
    <t>MEDINA STAMPED METAL STOOL</t>
  </si>
  <si>
    <t>MEDINA STAMPED METAL TRAY</t>
  </si>
  <si>
    <t>SMALL MEDINA STAMPED METAL BOWL</t>
  </si>
  <si>
    <t>MEDIUM MEDINA STAMPED METAL BOWL</t>
  </si>
  <si>
    <t>LARGE MEDINA STAMPED METAL BOWL</t>
  </si>
  <si>
    <t>GIANT MEDINA STAMPED METAL BOWL</t>
  </si>
  <si>
    <t>WOODLAND  STICKERS</t>
  </si>
  <si>
    <t>SKULLS  STICKERS</t>
  </si>
  <si>
    <t>PAISLEY PATTERN  STICKERS</t>
  </si>
  <si>
    <t>HEARTS  STICKERS</t>
  </si>
  <si>
    <t>FLOWERS  STICKERS</t>
  </si>
  <si>
    <t>BUTTERFLIES STICKERS</t>
  </si>
  <si>
    <t>RIDGED GLASS PENDANT LAMPSHADE</t>
  </si>
  <si>
    <t>WHITE SPOT BLUE CERAMIC DRAWER KNOB</t>
  </si>
  <si>
    <t>WHITE SPOT RED CERAMIC DRAWER KNOB</t>
  </si>
  <si>
    <t>RED SPOT CERAMIC DRAWER KNOB</t>
  </si>
  <si>
    <t>BLUE SPOT CERAMIC DRAWER KNOB</t>
  </si>
  <si>
    <t>BLUE STRIPE CERAMIC DRAWER KNOB</t>
  </si>
  <si>
    <t>RED STRIPE CERAMIC DRAWER KNOB</t>
  </si>
  <si>
    <t>GLASS CAKE COVER AND PLATE</t>
  </si>
  <si>
    <t>RIDGED GLASS T-LIGHT HOLDER</t>
  </si>
  <si>
    <t>TRIANGULAR RIDGED GLASS POSY HOLDER</t>
  </si>
  <si>
    <t>RIDGED GLASS STORAGE JAR CREAM LID</t>
  </si>
  <si>
    <t>VINTAGE GLASS SUGAR CADDY</t>
  </si>
  <si>
    <t>VINTAGE GLASS COFFEE CADDY</t>
  </si>
  <si>
    <t>VINTAGE GLASS TEA CADDY</t>
  </si>
  <si>
    <t>GLASS CAKE STAND</t>
  </si>
  <si>
    <t>GLASS  BEURRE DISH</t>
  </si>
  <si>
    <t>MILK BOTTLE WITH GLASS STOPPER</t>
  </si>
  <si>
    <t>RIDGED GLASS POSY VASE</t>
  </si>
  <si>
    <t>HANGING RIDGE GLASS T-LIGHT HOLDER</t>
  </si>
  <si>
    <t>RIDGED GLASS FINGER BOWL</t>
  </si>
  <si>
    <t>GLASS ETCHED T-LIGHT HOLDER LARGE</t>
  </si>
  <si>
    <t>GLASS ETCHED T-LIGHT HOLDER MEDIUM</t>
  </si>
  <si>
    <t>HANGING GLASS ETCHED TEALIGHT</t>
  </si>
  <si>
    <t>ASSORTED TUTTI FRUTTI BRACELET</t>
  </si>
  <si>
    <t>ASSORTED TUTTI FRUTTI PHOTO FRAME</t>
  </si>
  <si>
    <t>ASSORTED TUTTI FRUTTI SMALL PURSE</t>
  </si>
  <si>
    <t>ASSORTED TUTTI FRUTTI LARGE PURSE</t>
  </si>
  <si>
    <t>ASSORTED TUTTI FRUTTI ROUND BOX</t>
  </si>
  <si>
    <t>ASSORTED TUTTI FRUTTI HEART BOX</t>
  </si>
  <si>
    <t>ASSORTED TUTTI FRUTTI MIRROR</t>
  </si>
  <si>
    <t>ASSORTED TUTTI FRUTTI PEN</t>
  </si>
  <si>
    <t>ASSORTED TUTTI FRUTTI KEYRING BALL</t>
  </si>
  <si>
    <t>ASSORTED TUTTI FRUTTI  FOB NOTEBOOK</t>
  </si>
  <si>
    <t>ASSORTED TUTTI FRUTTI KEYRING</t>
  </si>
  <si>
    <t>ASSORTED TUTTI FRUTTI NOTEBOOK</t>
  </si>
  <si>
    <t>ASSORTED SANSKRIT MINI NOTEBOOK</t>
  </si>
  <si>
    <t>MADRAS NOTEBOOK MEDIUM</t>
  </si>
  <si>
    <t>MADRAS NOTEBOOK LARGE</t>
  </si>
  <si>
    <t>ASSORTED MINI MADRAS NOTEBOOK</t>
  </si>
  <si>
    <t>SUNFLOWER DECORATIVE PARASOL</t>
  </si>
  <si>
    <t>VINTAGE PINK DECORATIVE PARASOL</t>
  </si>
  <si>
    <t>HIPPY CHIC DECORATIVE PARASOL</t>
  </si>
  <si>
    <t>FLOOR CUSHION ELEPHANT CARNIVAL</t>
  </si>
  <si>
    <t>SQUARE FLOOR CUSHION VINTAGE PINK</t>
  </si>
  <si>
    <t>TRIANGULAR POUFFE VINTAGE</t>
  </si>
  <si>
    <t>ELEPHANT CARNIVAL POUFFE</t>
  </si>
  <si>
    <t>VINTAGE UNION JACK PENNANT</t>
  </si>
  <si>
    <t>VINTAGE UNION JACK APRON</t>
  </si>
  <si>
    <t>VINTAGE UNION JACK DOORSTOP</t>
  </si>
  <si>
    <t>VINTAGE UNION JACK MEMOBOARD</t>
  </si>
  <si>
    <t>VINTAGE UNION JACK CUSHION COVER</t>
  </si>
  <si>
    <t>VINTAGE UNION JACK BUNTING</t>
  </si>
  <si>
    <t>S/4 ROSE    BOTANICAL  CANDLE</t>
  </si>
  <si>
    <t>4 VANILLA BOTANICAL CANDLES</t>
  </si>
  <si>
    <t>4 WILDFLOWER BOTANICAL CANDLES</t>
  </si>
  <si>
    <t>4 LILY  BOTANICAL DINNER CANDLES</t>
  </si>
  <si>
    <t>4 PEAR BOTANICAL DINNER CANDLES</t>
  </si>
  <si>
    <t>4 LAVENDER BOTANICAL DINNER CANDLES</t>
  </si>
  <si>
    <t>SET OF 12 ROSE BOTANICAL T-LIGHTS</t>
  </si>
  <si>
    <t>S/12 VANILLA  BOTANICAL T-LIGHTS</t>
  </si>
  <si>
    <t>SET 12 WILDFLOWER BOTANICAL T-LIGHT</t>
  </si>
  <si>
    <t>SET OF 12 LILY BOTANICAL T-LIGHTS</t>
  </si>
  <si>
    <t>SET 12 PEAR BOTANICAL T-LIGHTS</t>
  </si>
  <si>
    <t>SET 12 LAVENDER  BOTANICAL T-LIGHTS</t>
  </si>
  <si>
    <t>Hypochondriac Pill Stress Ball</t>
  </si>
  <si>
    <t>Dad's Cab Electronic Meter</t>
  </si>
  <si>
    <t>Dr. Jam's Arouzer Stress Ball</t>
  </si>
  <si>
    <t>SWALLOW CIGAR BOX MATCHES</t>
  </si>
  <si>
    <t>RETRO SPOT  CIGAR BOX MATCHES</t>
  </si>
  <si>
    <t>COSY HOUR CIGAR BOX MATCHES</t>
  </si>
  <si>
    <t>KINGS CHOICE CIGAR BOX MATCHES</t>
  </si>
  <si>
    <t>SWALLOW GIANT TUBE MATCHES</t>
  </si>
  <si>
    <t>RETRO SPOT GIANT  TUBE MATCHES</t>
  </si>
  <si>
    <t>COSY HOUR GIANT TUBE MATCHES</t>
  </si>
  <si>
    <t>KINGS CHOICE GIANT TUBE MATCHES</t>
  </si>
  <si>
    <t>SWALLOW SMALL TUBE MATCHES</t>
  </si>
  <si>
    <t>RETRO SPOT SMALL TUBE MATCHES</t>
  </si>
  <si>
    <t>KINGS CHOICE SMALL TUBE MATCHES</t>
  </si>
  <si>
    <t>SKULLS  DESIGN  COTTON TOTE BAG</t>
  </si>
  <si>
    <t>RABBIT  DESIGN  COTTON TOTE BAG</t>
  </si>
  <si>
    <t>LOLITA  DESIGN  COTTON TOTE BAG</t>
  </si>
  <si>
    <t>WOODLAND DESIGN  COTTON TOTE BAG</t>
  </si>
  <si>
    <t>SAVE THE PLANET COTTON TOTE BAG</t>
  </si>
  <si>
    <t>LETS GO SHOPPING COTTON TOTE BAG</t>
  </si>
  <si>
    <t>PINK  HEART SHAPE LOVE BUCKET</t>
  </si>
  <si>
    <t>RED HEART SHAPE LOVE BUCKET</t>
  </si>
  <si>
    <t>HAWAIIAN GRASS SKIRT</t>
  </si>
  <si>
    <t>DINOSAUR LUNCHBOX WITH CUTLERY</t>
  </si>
  <si>
    <t>TOADSTOOL  LUNCHBOX WITH CUTLERY</t>
  </si>
  <si>
    <t>STRAWBERRY LUNCHBOX WITH CUTLERY</t>
  </si>
  <si>
    <t>SKULL LUNCHBOX WITH CUTLERY</t>
  </si>
  <si>
    <t>SET OF 6 FUNKY BEAKERS</t>
  </si>
  <si>
    <t>CERAMIC STRAWBERRY MONEY BOX</t>
  </si>
  <si>
    <t>CERAMIC STRAWBERRY TRINKET TRAY</t>
  </si>
  <si>
    <t>CERAMIC BIRDHOUSE RED ROOF LARGE</t>
  </si>
  <si>
    <t>CERAMIC BIRDHOUSE FINCH BLUE  LARGE</t>
  </si>
  <si>
    <t>CERAMIC BIRDHOUSE BLACK ROSE  LARGE</t>
  </si>
  <si>
    <t>CERAMIC BIRDHOUSE BUTTERFLY LARGE</t>
  </si>
  <si>
    <t>CERAMIC BIRDHOUSE CRESTED TIT LARGE</t>
  </si>
  <si>
    <t>CERAMIC BIRDHOUSE RED ROOF SMALL</t>
  </si>
  <si>
    <t>CERAMIC BIRDHOUSE FINCH BLUE ROOF</t>
  </si>
  <si>
    <t>CERAMIC BIRDHOUSE CRESTED TIT SMALL</t>
  </si>
  <si>
    <t>CERAMIC BIRDHOUSE BUTTERFLY SMALL</t>
  </si>
  <si>
    <t>SKULLS  WATER TRANSFER TATTOOS</t>
  </si>
  <si>
    <t>BUTTERFLY WATER TRANSFER TATTOOS</t>
  </si>
  <si>
    <t>WOODLAND WATER TRANSFER TATTOOS</t>
  </si>
  <si>
    <t>DINOSAURS WATER TRANSFER TATTOOS</t>
  </si>
  <si>
    <t>DAIRY MAID CERAMIC BUTTER DISH</t>
  </si>
  <si>
    <t>RETRO SPOTS BUTTER DISH</t>
  </si>
  <si>
    <t>DAIRY MAID  PUDDING BOWL</t>
  </si>
  <si>
    <t>RETRO SPOTS PUDDING BOWL</t>
  </si>
  <si>
    <t>DAIRY MAID  SMALL  MILK JUG</t>
  </si>
  <si>
    <t>RETRO SPOT SMALL MILK JUG</t>
  </si>
  <si>
    <t>DAIRY MAID LARGE MILK JUG</t>
  </si>
  <si>
    <t>RETRO SPOT LARGE MILK JUG</t>
  </si>
  <si>
    <t>DAIRY MAID SUGAR JAM BOWL</t>
  </si>
  <si>
    <t>RETRO SPOT SUGAR JAM BOWL</t>
  </si>
  <si>
    <t>DAIRY MAID CERAMIC TOASTRACK</t>
  </si>
  <si>
    <t>RETRO SPOT CERAMIC TOASTRACK</t>
  </si>
  <si>
    <t>DAIRY MAID TRADITIONAL TEAPOT</t>
  </si>
  <si>
    <t>RETRO SPOT TRADITIONAL TEAPOT</t>
  </si>
  <si>
    <t>BEWARE OF THE CAT DOORMAT</t>
  </si>
  <si>
    <t>SPOTTY  HOME SWEET HOME DOORMAT</t>
  </si>
  <si>
    <t>FANCY FONT HOME SWEET HOME DOORMAT</t>
  </si>
  <si>
    <t>BOOZE &amp; WOMEN GREETING CARD</t>
  </si>
  <si>
    <t>GIN &amp; TONIC DIET GREETING CARD</t>
  </si>
  <si>
    <t>BANK ACCOUNT  GREETING  CARD</t>
  </si>
  <si>
    <t>VINTAGE COLLAGE  GREETING  CARD</t>
  </si>
  <si>
    <t>COWBOYS AND INDIANS BIRTHDAY CARD</t>
  </si>
  <si>
    <t>VINTAGE KID DOLLY CARD</t>
  </si>
  <si>
    <t>ELEPHANT, BIRTHDAY CARD,</t>
  </si>
  <si>
    <t>FANCY FONT BIRTHDAY CARD,</t>
  </si>
  <si>
    <t>SKULLS GREETING CARD</t>
  </si>
  <si>
    <t>TOYBOX  WRAP</t>
  </si>
  <si>
    <t>PINK SPOTS  WRAP</t>
  </si>
  <si>
    <t>BLUE SPOTS  WRAP</t>
  </si>
  <si>
    <t>RED SPOTS  WRAP</t>
  </si>
  <si>
    <t>FANCY FONTS BIRTHDAY WRAP</t>
  </si>
  <si>
    <t>WOODLAND CREATURES  WRAP</t>
  </si>
  <si>
    <t>SKULLS WRAP</t>
  </si>
  <si>
    <t>ROTATING LEAVES T-LIGHT HOLDER</t>
  </si>
  <si>
    <t>VINTAGE DESIGN GIFT TAGS</t>
  </si>
  <si>
    <t>SET OF THREE VINTAGE GIFT WRAPS</t>
  </si>
  <si>
    <t>SET OF THREE 50'S GIFT WRAPS</t>
  </si>
  <si>
    <t>BLUE WHITE SCARF HOT WATER BOTTLE</t>
  </si>
  <si>
    <t>RED WHITE SCARF  HOT WATER BOTTLE</t>
  </si>
  <si>
    <t>PINK HEART DOTS HOT WATER BOTTLE</t>
  </si>
  <si>
    <t>RED SPOT HEART HOT WATER BOTTLE</t>
  </si>
  <si>
    <t>CHICK GREY HOT WATER BOTTLE</t>
  </si>
  <si>
    <t>MUSHROOM BLUE HOT WATER BOTTLE</t>
  </si>
  <si>
    <t>FAWN BLUE HOT WATER BOTTLE</t>
  </si>
  <si>
    <t>PINK STRIPE HOT WATER BOTTLE</t>
  </si>
  <si>
    <t>WHITE SKULL HOT WATER BOTTLE</t>
  </si>
  <si>
    <t>SILVER SKULL HOT WATER BOTTLE</t>
  </si>
  <si>
    <t>STRING OF 20 ROSE LIGHTS</t>
  </si>
  <si>
    <t>STEEL SWEETHEART ROUND TABLE CREAM</t>
  </si>
  <si>
    <t>SWEETHEART CREAM STEEL FOLDIN CHAIR</t>
  </si>
  <si>
    <t>SWEETHEART CREAM STEEL FOLDIN BENCH</t>
  </si>
  <si>
    <t>SWEETHEART CREAM STEEL TABLE RECT</t>
  </si>
  <si>
    <t>LADYBIRD + BEE RAFFIA FOOD COVER</t>
  </si>
  <si>
    <t>STRAWBERRY RAFFIA FOOD COVER</t>
  </si>
  <si>
    <t>FLOWER VINE RAFFIA FOOD COVER</t>
  </si>
  <si>
    <t>POLKA DOT RAFFIA FOOD COVER</t>
  </si>
  <si>
    <t>BUTTERFLY CROCHET FOOD COVER</t>
  </si>
  <si>
    <t>CHERRY CROCHET FOOD COVER</t>
  </si>
  <si>
    <t>RED FLOWER CROCHET FOOD COVER</t>
  </si>
  <si>
    <t>PINK FLOWER CROCHET FOOD COVER</t>
  </si>
  <si>
    <t>DISCO BALL ROTATOR BATTERY OPERATED</t>
  </si>
  <si>
    <t>MIRRORED DISCO BALL</t>
  </si>
  <si>
    <t>NURSERY A,B,C PAINTED LETTERS</t>
  </si>
  <si>
    <t>BLUE EASTER EGG HUNT START POST</t>
  </si>
  <si>
    <t>GREEN EASTER EGG HUNT START POST</t>
  </si>
  <si>
    <t>YELLOW EASTER EGG HUNT START POST</t>
  </si>
  <si>
    <t>2 PICTURE BOOK EGGS EASTER BUNNY</t>
  </si>
  <si>
    <t>2 PICTURE BOOK EGGS EASTER DUCKS</t>
  </si>
  <si>
    <t>2 PICTURE BOOK EGGS EASTER CHICKS</t>
  </si>
  <si>
    <t>PAINTED YELLOW WOODEN DAISY</t>
  </si>
  <si>
    <t>PAINTED PINK RABBIT</t>
  </si>
  <si>
    <t>TOADSTOOL MONEY BOX</t>
  </si>
  <si>
    <t>DISTRESSED CANDLE STICK WHITE</t>
  </si>
  <si>
    <t>12 DAISY PEGS IN WOOD BOX</t>
  </si>
  <si>
    <t>12 IVORY ROSE PEG PLACE SETTINGS</t>
  </si>
  <si>
    <t>12 RED ROSE PEG PLACE SETTINGS</t>
  </si>
  <si>
    <t>12 PINK ROSE PEG PLACE SETTINGS</t>
  </si>
  <si>
    <t>BLUE CHALET BIRDFEEDER</t>
  </si>
  <si>
    <t>OLIVE CHALET BIRDFEEDER</t>
  </si>
  <si>
    <t>GREEN BIRDHOUSE DECORATION</t>
  </si>
  <si>
    <t>BLUE BIRDHOUSE DECORATION</t>
  </si>
  <si>
    <t>12 MINI TOADSTOOL PEGS</t>
  </si>
  <si>
    <t>BASKET OF TOADSTOOLS</t>
  </si>
  <si>
    <t>TUB 24 HANGING EASTER EGGS SPOTTY</t>
  </si>
  <si>
    <t>24 HANGING EASTER EGGS FLORAL TUB</t>
  </si>
  <si>
    <t>SET OF 3 CASES WOODLAND DESIGN</t>
  </si>
  <si>
    <t>GREEN GINGHAM FLOWER JEWELLERY BOX</t>
  </si>
  <si>
    <t>SET/3 RED GINGHAM ROSE STORAGE BOX</t>
  </si>
  <si>
    <t>RED GINGHAM ROSE JEWELLERY BOX</t>
  </si>
  <si>
    <t>SET3 BOOK BOX GREEN GINGHAM FLOWER</t>
  </si>
  <si>
    <t>SKULLS STORAGE BOX SMALL</t>
  </si>
  <si>
    <t>WOODLAND STORAGE BOX SMALL</t>
  </si>
  <si>
    <t>SKULLS STORAGE BOX LARGE</t>
  </si>
  <si>
    <t>WOODLAND STORAGE BOX LARGE</t>
  </si>
  <si>
    <t>PORCELAIN ROSE SMALL</t>
  </si>
  <si>
    <t>PORCELAIN ROSE LARGE</t>
  </si>
  <si>
    <t>OYSTER TRINKET BOX</t>
  </si>
  <si>
    <t>CONCH SHELL</t>
  </si>
  <si>
    <t>STARFISH SOAP DISH</t>
  </si>
  <si>
    <t>COCKLE SHELL DISH</t>
  </si>
  <si>
    <t>CLAM SHELL LARGE</t>
  </si>
  <si>
    <t>CLAM SHELL SMALL</t>
  </si>
  <si>
    <t>SCALLOP SHELL SOAP DISH</t>
  </si>
  <si>
    <t>PERIWINKLE T-LIGHT HOLDER</t>
  </si>
  <si>
    <t>VINTAGE GOLD TINSEL REEL</t>
  </si>
  <si>
    <t>GINGHAM HEART  DOORSTOP RED</t>
  </si>
  <si>
    <t>COUNTRY COTTAGE  DOORSTOP GREEN</t>
  </si>
  <si>
    <t>SPOTTY COCKEREL DOORSTOP</t>
  </si>
  <si>
    <t>SPOTTY PINK DUCK DOORSTOP</t>
  </si>
  <si>
    <t>BROWN CHECK CAT DOORSTOP</t>
  </si>
  <si>
    <t>SPOTTY CAT DOORSTOP</t>
  </si>
  <si>
    <t>BLUE EGG  SPOON</t>
  </si>
  <si>
    <t>RED  EGG  SPOON</t>
  </si>
  <si>
    <t>BLUE PUDDING SPOON</t>
  </si>
  <si>
    <t>RED PUDDING SPOON</t>
  </si>
  <si>
    <t>BLUE  SPOTTY  COFFEE MUG</t>
  </si>
  <si>
    <t>RED  SPOTTY COFFEE  MUG</t>
  </si>
  <si>
    <t>BLUE  SPOTTY EGG CUP</t>
  </si>
  <si>
    <t>RED SPOTTY EGG CUP</t>
  </si>
  <si>
    <t>BLUE SPOTTY BEAKER</t>
  </si>
  <si>
    <t>RED SPOTTY BEAKER</t>
  </si>
  <si>
    <t>BLUE  SPOTTY PUDDING BOWL</t>
  </si>
  <si>
    <t>RED SPOTTY PUDDING BOWL</t>
  </si>
  <si>
    <t>FRENCH EMROIDR LAVENDER SCENT HEART</t>
  </si>
  <si>
    <t>FILIGRIS HEART WITH BUTTERFLY</t>
  </si>
  <si>
    <t>IVORY HANGING DECORATION  BIRD</t>
  </si>
  <si>
    <t>IVORY HANGING DECORATION  CHICKEN</t>
  </si>
  <si>
    <t>IVORY HANGING DECORATION  RABBIT</t>
  </si>
  <si>
    <t>IVORY HANGING DECORATION  EGG</t>
  </si>
  <si>
    <t>IVORY HANGING DECORATION  HEART</t>
  </si>
  <si>
    <t>IVORY HANGING DECORATION  BUTTERFLY</t>
  </si>
  <si>
    <t>PACK OF 12 STICKY BUNNIES</t>
  </si>
  <si>
    <t>SET/4 SPRING FLOWER DECORATION</t>
  </si>
  <si>
    <t>MINI WOODEN HAPPY BIRTHDAY GARLAND</t>
  </si>
  <si>
    <t>WOODEN HAPPY BIRTHDAY GARLAND</t>
  </si>
  <si>
    <t>CAMPHOR WOOD PORTOBELLO MUSHROOM</t>
  </si>
  <si>
    <t>SMALL TALL CAMPHOR WOOD TOADSTOOL</t>
  </si>
  <si>
    <t>SMALL CAMPHOR WOOD FIELD  MUSHROOM</t>
  </si>
  <si>
    <t>LARGE  TALL CAMPHOR WOOD TOADSTOOL</t>
  </si>
  <si>
    <t>LARGE CAMPHOR WOOD FIELD MUSHROOM</t>
  </si>
  <si>
    <t>MIRRORED WALL ART SKULLS</t>
  </si>
  <si>
    <t>MIRRORED WALL ART SNOWFLAKES</t>
  </si>
  <si>
    <t>MIRRORED WALL ART TABLE LAMP</t>
  </si>
  <si>
    <t>MIRRORED WALL ART POPPIES</t>
  </si>
  <si>
    <t>MIRRORED WALL ART FOXY</t>
  </si>
  <si>
    <t>MIRRORED WALL ART SPLODGES</t>
  </si>
  <si>
    <t>MIRRORED WALL ART LADIES</t>
  </si>
  <si>
    <t>MIRRORED WALL ART GENTS</t>
  </si>
  <si>
    <t>MIRRORED WALL ART PHOTO FRAMES</t>
  </si>
  <si>
    <t>MIRRORED WALL ART STARS</t>
  </si>
  <si>
    <t>PEACE SMALL WOOD LETTERS</t>
  </si>
  <si>
    <t>HOME SMALL WOOD LETTERS</t>
  </si>
  <si>
    <t>LOVE LARGE WOOD LETTERS</t>
  </si>
  <si>
    <t>JOY LARGE WOOD LETTERS</t>
  </si>
  <si>
    <t>RELAX LARGE WOOD LETTERS</t>
  </si>
  <si>
    <t>TOAST ITS - HAPPY BIRTHDAY</t>
  </si>
  <si>
    <t>TOAST ITS - DINOSAUR</t>
  </si>
  <si>
    <t>TOAST ITS - FAIRY FLOWER</t>
  </si>
  <si>
    <t>TOAST ITS - I LOVE YOU</t>
  </si>
  <si>
    <t>TOAST ITS - BEST MUM</t>
  </si>
  <si>
    <t>SILVER SLEIGHBELL  WREATH</t>
  </si>
  <si>
    <t>EUCALYPTUS &amp; PINECONE  WREATH</t>
  </si>
  <si>
    <t>CINAMMON &amp; ORANGE WREATH</t>
  </si>
  <si>
    <t>GINGHAM HEART WREATH</t>
  </si>
  <si>
    <t>IVY HEART WREATH</t>
  </si>
  <si>
    <t>PINK SPOTS CHOCOLATE NESTING BOXES</t>
  </si>
  <si>
    <t>GOTHIC CARRIAGE LANTERN</t>
  </si>
  <si>
    <t>MOROCCAN BEATEN METAL DISH</t>
  </si>
  <si>
    <t>GOLD JEWELERY BOX</t>
  </si>
  <si>
    <t>KASBAH LANTERN WITH GLASS</t>
  </si>
  <si>
    <t>CLASSIC METAL BIRDCAGE PLANT HOLDER</t>
  </si>
  <si>
    <t>MARAKESH LANTERN LARGE</t>
  </si>
  <si>
    <t>MARAKESH LANTERN SMALL</t>
  </si>
  <si>
    <t>SILVER WASHBAG</t>
  </si>
  <si>
    <t>GOLD WASHBAG</t>
  </si>
  <si>
    <t>LIBRARY LAMP</t>
  </si>
  <si>
    <t>CLASSIC WHITE FRAME</t>
  </si>
  <si>
    <t>MOROCCAN BEATEN METAL MIRROR</t>
  </si>
  <si>
    <t>MOROCCAN BEATEN METAL DISH LARGE</t>
  </si>
  <si>
    <t>WOODLAND ANIMAL  WRITING SET</t>
  </si>
  <si>
    <t>DINOSAURS  WRITING SET</t>
  </si>
  <si>
    <t>BALLOONS  WRITING SET</t>
  </si>
  <si>
    <t>SKULLS WRITING SET</t>
  </si>
  <si>
    <t>AGED GLASS SILVER T-LIGHT HOLDER</t>
  </si>
  <si>
    <t>HANGING MEDINA LANTERN SMALL</t>
  </si>
  <si>
    <t>HANGING MEDINA LANTERN LARGE</t>
  </si>
  <si>
    <t>GLASS SPHERE CANDLE STAND LARGE</t>
  </si>
  <si>
    <t>GLASS CHALICE BLUE  LARGE</t>
  </si>
  <si>
    <t>GLASS CHALICE GREEN  LARGE</t>
  </si>
  <si>
    <t>GLASS CHALICE GREEN  SMALL</t>
  </si>
  <si>
    <t>GLASS CHALICE BLUE SMALL</t>
  </si>
  <si>
    <t>GLASS SPHERE CANDLE STAND MEDIUM</t>
  </si>
  <si>
    <t>SMALL CHUNKY GLASS ROMAN  BOWL</t>
  </si>
  <si>
    <t>SMALL GLASS HEART TRINKET POT</t>
  </si>
  <si>
    <t>GLASS HEART T-LIGHT HOLDER</t>
  </si>
  <si>
    <t>LARGE CHUNKY GLASS ROMAN BOWL</t>
  </si>
  <si>
    <t>SET/4 BIRD MIRROR MAGNETS</t>
  </si>
  <si>
    <t>CAPIZ CHANDELIER</t>
  </si>
  <si>
    <t>LOUVRE CHALKBOARD</t>
  </si>
  <si>
    <t>LOUVRE VANITY MIRROR</t>
  </si>
  <si>
    <t>SET/4 BUTTERFLY MIRROR MAGNETS</t>
  </si>
  <si>
    <t>SET/4 DAISY MIRROR MAGNETS</t>
  </si>
  <si>
    <t>ARCHED GREY MIRROR</t>
  </si>
  <si>
    <t>FILIGREE WALL MIRROR  ANTIQUE WHITE</t>
  </si>
  <si>
    <t>ANTIQUE EDWARDIAN DRESSER</t>
  </si>
  <si>
    <t>EDWARDIAN TOILET ROLL UNIT</t>
  </si>
  <si>
    <t>EDWARDIAN 2 DRAWER WALL CABINET</t>
  </si>
  <si>
    <t>ETCHED GLASS COASTER</t>
  </si>
  <si>
    <t>MIRRORED DOVE WALL DECORATION</t>
  </si>
  <si>
    <t>SMALL STRIPES CHOCOLATE GIFT BAG</t>
  </si>
  <si>
    <t>SMALL SPOTTY CHOCOLATE GIFT BAG</t>
  </si>
  <si>
    <t>LARGE SPOTTY CHOCOLATE GIFT BAG</t>
  </si>
  <si>
    <t>LARGE STRIPES CHOCOLATE GIFT BAG</t>
  </si>
  <si>
    <t>STRIPEY CHOCOLATE NESTING BOXES</t>
  </si>
  <si>
    <t>SCENTED VELVET LOUNGE CANDLE</t>
  </si>
  <si>
    <t>RETRO SPOT CANDLE  LARGE</t>
  </si>
  <si>
    <t>RETRO SPOT CANDLE  MEDIUM</t>
  </si>
  <si>
    <t>RETRO SPOT CANDLE  SMALL</t>
  </si>
  <si>
    <t>NATURAL BARK CANDLE SMALL</t>
  </si>
  <si>
    <t>NATURAL BARK CANDLE LARGE</t>
  </si>
  <si>
    <t>VINTAGE KITCHEN PRINT SEAFOOD</t>
  </si>
  <si>
    <t>VINTAGE KITCHEN PRINT VEGETABLES</t>
  </si>
  <si>
    <t>VINTAGE KITCHEN PRINT FRUITS</t>
  </si>
  <si>
    <t>VINTAGE KITCHEN PRINT PUDDINGS</t>
  </si>
  <si>
    <t>FRENCH STYLE EMBOSSED HEART CABINET</t>
  </si>
  <si>
    <t>TWO EMBOSSED HEART MINI DRAWERS</t>
  </si>
  <si>
    <t>ZINC TOP  2 DOOR WOODEN SHELF</t>
  </si>
  <si>
    <t>EMBOSSED HEART 3 DRAWER SHELF</t>
  </si>
  <si>
    <t>SALLE DE BAIN HOOK</t>
  </si>
  <si>
    <t>ANTIQUE CREAM CUTLERY CUPBOARD</t>
  </si>
  <si>
    <t>ANTIQUE CREAM CUTLERY SHELF</t>
  </si>
  <si>
    <t>VINTAGE BLUE TINSEL REEL</t>
  </si>
  <si>
    <t>VINTAGE PINK TINSEL REEL</t>
  </si>
  <si>
    <t>VINTAGE SILVER TINSEL REEL</t>
  </si>
  <si>
    <t>PINK GOOSE FEATHER TREE 60CM</t>
  </si>
  <si>
    <t>WHITE GOOSE FEATHER TREE 60CM</t>
  </si>
  <si>
    <t>GREEN GOOSE FEATHER TREE 60CM</t>
  </si>
  <si>
    <t>WHITE GOOSE FEATHER CHRISTMAS TREE</t>
  </si>
  <si>
    <t>GREEN GOOSE FEATHER CHRISTMAS TREE</t>
  </si>
  <si>
    <t>FIRST AID TIN</t>
  </si>
  <si>
    <t>VICTORIAN SEWING BOX SMALL</t>
  </si>
  <si>
    <t>VICTORIAN SEWING BOX LARGE</t>
  </si>
  <si>
    <t>VICTORIAN SEWING BOX MEDIUM</t>
  </si>
  <si>
    <t>FRENCH BOTTLE, BRASSERIE DES ARTIST</t>
  </si>
  <si>
    <t>FRENCH BOTTLE , LAVENDER</t>
  </si>
  <si>
    <t>SET OF PICTURE FRAME  STICKERS</t>
  </si>
  <si>
    <t>SET OF MEADOW  FLOWER STICKERS</t>
  </si>
  <si>
    <t>DINOSAUR HEIGHT CHART STICKER SET</t>
  </si>
  <si>
    <t>SET OF SKULL WALL STICKERS</t>
  </si>
  <si>
    <t>WOOD ANIMALS HEIGHT CHART STICKERS</t>
  </si>
  <si>
    <t>DOOR HANGER  MUM + DADS ROOM</t>
  </si>
  <si>
    <t>SET OF RED SALAD SERVERS</t>
  </si>
  <si>
    <t>RED SPOTTY BIG BOWL</t>
  </si>
  <si>
    <t>GREEN  SPOTTY PLATE</t>
  </si>
  <si>
    <t>BLUE  SPOTTY PLATE</t>
  </si>
  <si>
    <t>PINK  SPOTTY PLATE</t>
  </si>
  <si>
    <t>RED SPOTTY PLATE</t>
  </si>
  <si>
    <t>GREEN SPOTTY CUP</t>
  </si>
  <si>
    <t>BLUE  SPOTTY CUP</t>
  </si>
  <si>
    <t>PINK  SPOTTY CUP</t>
  </si>
  <si>
    <t>RED SPOTTY CUP</t>
  </si>
  <si>
    <t>STRAWBERRY CERAMIC TRINKET BOX</t>
  </si>
  <si>
    <t>SWEETHEART CERAMIC TRINKET BOX</t>
  </si>
  <si>
    <t>POCKET MIRROR "GLAMOROUS"</t>
  </si>
  <si>
    <t>POCKET MIRROR WOODLAND</t>
  </si>
  <si>
    <t>POCKET MIRROR BUTTERFLY</t>
  </si>
  <si>
    <t>SET/4 SKULL BADGES</t>
  </si>
  <si>
    <t>SET/4 BADGES WOODLAND ANIMAL</t>
  </si>
  <si>
    <t>SET/4 BADGES BEETLES</t>
  </si>
  <si>
    <t>SET/4 BADGES CUTE CREATURES</t>
  </si>
  <si>
    <t>SET/4 BADGES DOGS</t>
  </si>
  <si>
    <t>SET/4 BADGES BALLOON GIRL</t>
  </si>
  <si>
    <t>RED SPOTTY BISCUIT TIN</t>
  </si>
  <si>
    <t>RED SPOTTY ROUND CAKE TINS</t>
  </si>
  <si>
    <t>SET 3 RED SPOT TIN TEA,COFFEE,SUGAR</t>
  </si>
  <si>
    <t>IVORY PAPER CUP CAKE CASES</t>
  </si>
  <si>
    <t>SET OF 72 IVORY PAPER DOILIES</t>
  </si>
  <si>
    <t>PACK OF 72 SKULL CAKE CASES</t>
  </si>
  <si>
    <t>PACK OF 72 RETRO SPOT CAKE CASES</t>
  </si>
  <si>
    <t>SET OF 72 SKULL PAPER  DOILIES</t>
  </si>
  <si>
    <t>SET OF 72 RETRO SPOT PAPER  DOILIES</t>
  </si>
  <si>
    <t>MULTICOLOUR HONEYCOMB FAN</t>
  </si>
  <si>
    <t>PASTEL COLOUR HONEYCOMB FAN</t>
  </si>
  <si>
    <t>SKULL AND CROSSBONES  GARLAND</t>
  </si>
  <si>
    <t>STRAWBERRY HONEYCOMB  GARLAND</t>
  </si>
  <si>
    <t>MULTICOLOUR 3D BALLS GARLAND</t>
  </si>
  <si>
    <t>DAISIES  HONEYCOMB GARLAND</t>
  </si>
  <si>
    <t>BUTTERFLIES  HONEYCOMB GARLAND</t>
  </si>
  <si>
    <t>DOLLY HONEYCOMB GARLAND</t>
  </si>
  <si>
    <t>TROPICAL  HONEYCOMB PAPER GARLAND</t>
  </si>
  <si>
    <t>MULTICOLOUR HONEYCOMB PAPER GARLAND</t>
  </si>
  <si>
    <t>PINK  HEART CONFETTI IN TUBE</t>
  </si>
  <si>
    <t>WHITE HEART CONFETTI IN TUBE</t>
  </si>
  <si>
    <t>MULTICOLOUR  CONFETTI IN TUBE</t>
  </si>
  <si>
    <t>ROUND WHITE CONFETTI IN TUBE</t>
  </si>
  <si>
    <t>PINK  HONEYCOMB PAPER BALL</t>
  </si>
  <si>
    <t>PINK  HONEYCOMB PAPER FAN</t>
  </si>
  <si>
    <t>WHITE HONEYCOMB PAPER FAN</t>
  </si>
  <si>
    <t>WHITE BELL HONEYCOMB PAPER</t>
  </si>
  <si>
    <t>LARGE WHITE HONEYCOMB PAPER BELL</t>
  </si>
  <si>
    <t>PINK HEARTS PAPER GARLAND</t>
  </si>
  <si>
    <t>WHITE HONEYCOMB PAPER GARLAND</t>
  </si>
  <si>
    <t>3D HEARTS  HONEYCOMB PAPER GARLAND</t>
  </si>
  <si>
    <t>WHITE BELL HONEYCOMB PAPER GARLAND</t>
  </si>
  <si>
    <t>WHITE DOVE HONEYCOMB PAPER GARLAND</t>
  </si>
  <si>
    <t>HOME SWEET HOME  BLACKBOARD</t>
  </si>
  <si>
    <t>PLEASE ONE PERSON  METAL SIGN</t>
  </si>
  <si>
    <t>NO JUNK MAIL METAL SIGN</t>
  </si>
  <si>
    <t>GIN + TONIC DIET METAL SIGN</t>
  </si>
  <si>
    <t>POTTERING IN THE SHED METAL SIGN</t>
  </si>
  <si>
    <t>LOO ROLL  METAL SIGN</t>
  </si>
  <si>
    <t>PARTY METAL SIGN</t>
  </si>
  <si>
    <t>YOU'RE CONFUSING ME METAL SIGN</t>
  </si>
  <si>
    <t>WHITE SAGE INCENSE</t>
  </si>
  <si>
    <t>COOK WITH WINE METAL SIGN</t>
  </si>
  <si>
    <t>BEWARE OF THE CAT METAL SIGN</t>
  </si>
  <si>
    <t>HOME SWEET HOME METAL SIGN</t>
  </si>
  <si>
    <t>DO NOT TOUCH MY STUFF DOOR HANGER</t>
  </si>
  <si>
    <t>TOXIC AREA  DOOR HANGER</t>
  </si>
  <si>
    <t>KEEP OUT BOYS DOOR HANGER</t>
  </si>
  <si>
    <t>KEEP OUT GIRLS DOOR HANGER</t>
  </si>
  <si>
    <t>MOODY BOY  DOOR HANGER</t>
  </si>
  <si>
    <t>MOODY GIRL DOOR HANGER</t>
  </si>
  <si>
    <t>RED SPOTTY WASHBAG</t>
  </si>
  <si>
    <t>RED SPOTTY CHILDS APRON</t>
  </si>
  <si>
    <t>RED SPOTTY PEG BAG</t>
  </si>
  <si>
    <t>RED SPOTTY OVEN GLOVE</t>
  </si>
  <si>
    <t>RED SPOTTY TABLECLOTH</t>
  </si>
  <si>
    <t>JINGLE BELLS TREE DECORATION</t>
  </si>
  <si>
    <t>ANTIQUE GLASS RIDGED HANGING BALL</t>
  </si>
  <si>
    <t>ANTIQUE GLASS PLACE SETTING</t>
  </si>
  <si>
    <t>PINK POODLE HANGING DECORATION</t>
  </si>
  <si>
    <t>ANTIQUE GLASS HEART DECORATION</t>
  </si>
  <si>
    <t>BLACK RECORD COVER FRAME</t>
  </si>
  <si>
    <t>PAINTED METAL PEARS ASSORTED</t>
  </si>
  <si>
    <t>VICTORIAN  METAL POSTCARD SPRING</t>
  </si>
  <si>
    <t>VICTORIAN METAL POSTCARD CHRISTMAS</t>
  </si>
  <si>
    <t>PAINTED BIRD ASSORTED CHRISTMAS</t>
  </si>
  <si>
    <t>SILVER STANDING GNOME</t>
  </si>
  <si>
    <t>GOLD STANDING GNOME</t>
  </si>
  <si>
    <t>COLOURFUL STANDING GNOME</t>
  </si>
  <si>
    <t>SILVER FISHING GNOME</t>
  </si>
  <si>
    <t>GOLD FISHING GNOME</t>
  </si>
  <si>
    <t>COLOURFUL FISHING GNOME</t>
  </si>
  <si>
    <t>SET OF 6 GIRLS CELEBRATION CANDLES</t>
  </si>
  <si>
    <t>SET 6 FOOTBALL CELEBRATION CANDLES</t>
  </si>
  <si>
    <t>SET/10 BLUE SPOTTY PARTY CANDLES</t>
  </si>
  <si>
    <t>SET/10 IVORY SPOTTY PARTY CANDLES</t>
  </si>
  <si>
    <t>SET/10 PINK SPOTTY PARTY CANDLES</t>
  </si>
  <si>
    <t>SET/10 RED SPOTTY PARTY CANDLES</t>
  </si>
  <si>
    <t>*Boombox Ipod Classic</t>
  </si>
  <si>
    <t>Glow In The Dark Shot Glasses</t>
  </si>
  <si>
    <t>SHOPPING BAG DOORSTOP</t>
  </si>
  <si>
    <t>BLOND DOLL DOORSTOP</t>
  </si>
  <si>
    <t>OWL DOORSTOP</t>
  </si>
  <si>
    <t>ROSE CARAVAN DOORSTOP</t>
  </si>
  <si>
    <t>LAVENDER SCENTED FABRIC HEART</t>
  </si>
  <si>
    <t>SWISS ROLL TOWEL, PINK  SPOTS</t>
  </si>
  <si>
    <t>SWISS ROLL TOWEL, CHOCOLATE  SPOTS</t>
  </si>
  <si>
    <t>LARGE CAKE TOWEL PINK SPOTS</t>
  </si>
  <si>
    <t>LARGE CAKE TOWEL, CHOCOLATE SPOTS</t>
  </si>
  <si>
    <t>FAIRY CAKE FLANNEL ASSORTED COLOUR</t>
  </si>
  <si>
    <t>CREAM SLICE FLANNEL PINK SPOT</t>
  </si>
  <si>
    <t>CREAM SLICE FLANNEL CHOCOLATE SPOT</t>
  </si>
  <si>
    <t>CANDLE IN JAR COLLAGE , VANILLA</t>
  </si>
  <si>
    <t>CHARLIE AND LOLA CHARLOTTE BAG</t>
  </si>
  <si>
    <t>SET/6 STRAWBERRY PAPER CUPS</t>
  </si>
  <si>
    <t>CHRISTMAS TOILET ROLL</t>
  </si>
  <si>
    <t>SET/6 GREEN SPRING  PAPER PLATE</t>
  </si>
  <si>
    <t>SET/6 FRUIT SALAD  PAPER PLATES</t>
  </si>
  <si>
    <t>SET/6 POSIES PAPER PLATES</t>
  </si>
  <si>
    <t>SET/6 RED SPOTTY PAPER PLATES</t>
  </si>
  <si>
    <t>SET/6 STRAWBERRY PAPER PLATES</t>
  </si>
  <si>
    <t>SET/6 WOODLAND PAPER PLATES</t>
  </si>
  <si>
    <t>SET/6 COLLAGE PAPER PLATES</t>
  </si>
  <si>
    <t>SET/6 GREEN SPRING PAPER CUPS</t>
  </si>
  <si>
    <t>SET/6 FRUIT SALAD PAPER CUPS</t>
  </si>
  <si>
    <t>SET/6 POSIES PAPER CUPS</t>
  </si>
  <si>
    <t>SET/6 RED SPOTTY PAPER CUPS</t>
  </si>
  <si>
    <t>SET/6 WOODLAND PAPER CUPS</t>
  </si>
  <si>
    <t>SET/6 COLLAGE PAPER CUPS</t>
  </si>
  <si>
    <t>SET/20 FRUIT SALAD PAPER NAPKINS</t>
  </si>
  <si>
    <t>SET/20 POSIES PAPER NAPKINS</t>
  </si>
  <si>
    <t>SET/20 RED SPOTTY PAPER NAPKINS</t>
  </si>
  <si>
    <t>SET/20 STRAWBERRY PAPER NAPKINS</t>
  </si>
  <si>
    <t>SET/20 WOODLAND PAPER NAPKINS</t>
  </si>
  <si>
    <t>SET/20 COLLAGE PAPER NAPKIN</t>
  </si>
  <si>
    <t>VINTAGE BILLBOARD DRINK ME MUG</t>
  </si>
  <si>
    <t>VINTAGE BILLBOARD MUG</t>
  </si>
  <si>
    <t>VINTAGE BILLBOARD TEA MUG</t>
  </si>
  <si>
    <t>VINTAGE BILLBOARD LOVE/HATE MUG</t>
  </si>
  <si>
    <t>VINTAGE RED TEATIME MUG</t>
  </si>
  <si>
    <t>VINTAGE RED MUG</t>
  </si>
  <si>
    <t>BOOM BOX SPEAKER GIRLS</t>
  </si>
  <si>
    <t>BOOM BOX SPEAKER BOYS</t>
  </si>
  <si>
    <t>PARTY INVITES JAZZ HEARTS</t>
  </si>
  <si>
    <t>PARTY INVITES SPACEMAN</t>
  </si>
  <si>
    <t>PARTY INVITES FOOTBALL</t>
  </si>
  <si>
    <t>PARTY INVITES BALLOON GIRL</t>
  </si>
  <si>
    <t>PARTY INVITES DINOSAURS</t>
  </si>
  <si>
    <t>PARTY INVITES WOODLAND</t>
  </si>
  <si>
    <t>DOCTOR'S BAG SOFT TOY</t>
  </si>
  <si>
    <t>TOOL BOX SOFT TOY</t>
  </si>
  <si>
    <t>NURSE'S BAG SOFT TOY</t>
  </si>
  <si>
    <t>RIBBONS PURSE</t>
  </si>
  <si>
    <t>APRON MODERN VINTAGE COTTON</t>
  </si>
  <si>
    <t>RED SPOTTY APRON</t>
  </si>
  <si>
    <t>RED SPOTTY OVEN GLOVE DOUBLE</t>
  </si>
  <si>
    <t>MODERN VINTAGE COTTON SHOPPING BAG</t>
  </si>
  <si>
    <t>RED SPOTTY SHOPPING BAG</t>
  </si>
  <si>
    <t>SET/4 MODERN VINTAGE COTTON NAPKINS</t>
  </si>
  <si>
    <t>SET/2 TEA TOWELS MODERN VINTAGE</t>
  </si>
  <si>
    <t>SET/2 RED SPOTTY TEA TOWELS</t>
  </si>
  <si>
    <t>REX CASH+CARRY JUMBO SHOPPER</t>
  </si>
  <si>
    <t>JUMBO BAG CHARLIE AND LOLA TOYS</t>
  </si>
  <si>
    <t>SPACE CADET WHITE</t>
  </si>
  <si>
    <t>SPACE CADET BLACK</t>
  </si>
  <si>
    <t>SPACE CADET RED</t>
  </si>
  <si>
    <t>NINJA RABBIT BLACK</t>
  </si>
  <si>
    <t>NINJA RABBIT PINK</t>
  </si>
  <si>
    <t>SPACE OWL</t>
  </si>
  <si>
    <t>SPACE FROG</t>
  </si>
  <si>
    <t>BIRD BOX CHRISTMAS TREE DECORATION</t>
  </si>
  <si>
    <t>RED BIRD HOUSE TREE DECORATION</t>
  </si>
  <si>
    <t>LIGHT BIRD HOUSE TREE DECORATION</t>
  </si>
  <si>
    <t>DARK BIRD HOUSE TREE DECORATION</t>
  </si>
  <si>
    <t>SWISS CHALET TREE DECORATION</t>
  </si>
  <si>
    <t>ANTIQUE ALL GLASS CANDLESTICK</t>
  </si>
  <si>
    <t>GLITTER SNOW PEAR TREE DECORATION</t>
  </si>
  <si>
    <t>ETCHED GLASS BIRD TREE DECORATION</t>
  </si>
  <si>
    <t>ETCHED GLASS STAR TREE DECORATION</t>
  </si>
  <si>
    <t>ETCHED GLASS HEART TREE DECORATION</t>
  </si>
  <si>
    <t>ETCHED GLASS DROPLET DECORATION</t>
  </si>
  <si>
    <t>ROSE DU SUD CHILDS APRON</t>
  </si>
  <si>
    <t>ROSE DU SUD CUSHION COVER</t>
  </si>
  <si>
    <t>ROSE DU SUD DRAWSTRING BAG</t>
  </si>
  <si>
    <t>ROSE DU SUD WASHBAG</t>
  </si>
  <si>
    <t>ROSE DU SUD COSMETICS BAG</t>
  </si>
  <si>
    <t>ROSE DU SUD OVEN GLOVE</t>
  </si>
  <si>
    <t>JAZZ HEARTS ADDRESS BOOK</t>
  </si>
  <si>
    <t>JAZZ HEARTS SPIRAL NOTEPAD</t>
  </si>
  <si>
    <t>JAZZ HEARTS MEMO PAD</t>
  </si>
  <si>
    <t>JAZZ HEARTS PURSE NOTEBOOK</t>
  </si>
  <si>
    <t>JAZZ HEARTS MAGNETIC MEMO PAD</t>
  </si>
  <si>
    <t>SPRING FLOWER CHOPSTICKS SET/5</t>
  </si>
  <si>
    <t>URBAN CHIC CHOPSTICKS SET/5</t>
  </si>
  <si>
    <t>TRELLIS FLOWER CHOPSTICKS SET/5</t>
  </si>
  <si>
    <t>GEISHA GIRL CHOPSTICKS SET/5</t>
  </si>
  <si>
    <t>BLUE CALCULATOR RULER</t>
  </si>
  <si>
    <t>HEART CALCULATOR</t>
  </si>
  <si>
    <t>12 PENCILS TALL TUBE POSY</t>
  </si>
  <si>
    <t>12 PENCILS TALL TUBE RED SPOTTY</t>
  </si>
  <si>
    <t>12 PENCILS TALL TUBE SKULLS</t>
  </si>
  <si>
    <t>12 PENCILS TALL TUBE WOODLAND</t>
  </si>
  <si>
    <t>36 PENCILS TUBE POSY</t>
  </si>
  <si>
    <t>36 PENCILS TUBE RED SPOTTY</t>
  </si>
  <si>
    <t>36 PENCILS TUBE SKULLS</t>
  </si>
  <si>
    <t>36 PENCILS TUBE WOODLAND</t>
  </si>
  <si>
    <t>12 PENCILS SMALL TUBE POSY</t>
  </si>
  <si>
    <t>12 PENCILS SMALL TUBE RED SPOTTY</t>
  </si>
  <si>
    <t>12 PENCILS SMALL TUBE SKULL</t>
  </si>
  <si>
    <t>12 PENCIL SMALL TUBE WOODLAND</t>
  </si>
  <si>
    <t>PINK CREAM FELT CRAFT TRINKET BOX</t>
  </si>
  <si>
    <t>PINK BLUE FELT CRAFT TRINKET BOX</t>
  </si>
  <si>
    <t>PINK FLORAL FELTCRAFT SHOULDER BAG</t>
  </si>
  <si>
    <t>RED FLORAL FELTCRAFT SHOULDER BAG</t>
  </si>
  <si>
    <t>GREEN FLORAL FELTCRAFT SHOULDER BAG</t>
  </si>
  <si>
    <t>GREY FLORAL FELTCRAFT SHOULDER BAG</t>
  </si>
  <si>
    <t>SANDWICH BATH SPONGE</t>
  </si>
  <si>
    <t>POLYESTER FILLER PAD 60x40cm</t>
  </si>
  <si>
    <t>APPLE BATH SPONGE</t>
  </si>
  <si>
    <t>STRAWBERRY BATH SPONGE</t>
  </si>
  <si>
    <t>WATERMELON BATH SPONGE</t>
  </si>
  <si>
    <t>PORCELAIN HANGING BELL LARGE</t>
  </si>
  <si>
    <t>PORCELAIN HANGING BELL SMALL</t>
  </si>
  <si>
    <t>PORCELAIN T-LIGHT HOLDERS ASSORTED</t>
  </si>
  <si>
    <t>*USB Office Mirror Ball</t>
  </si>
  <si>
    <t>PORCELAIN CHERUB BELL LARGE</t>
  </si>
  <si>
    <t>PORCELAIN CHERUB BELL SMALL</t>
  </si>
  <si>
    <t>SET/6  ANGEL T-LIGHTS WHITE/GOLD</t>
  </si>
  <si>
    <t>SET/6 GINGERBREAD STAR T-LIGHTS</t>
  </si>
  <si>
    <t>SET/6 GINGERBREAD TREE T-LIGHTS</t>
  </si>
  <si>
    <t>FROG CANDLE</t>
  </si>
  <si>
    <t>SET/6 GARDEN GNOME T-LIGHT CANDLES</t>
  </si>
  <si>
    <t>ORANGE CANDLE</t>
  </si>
  <si>
    <t>FORKED CACTUS CANDLE</t>
  </si>
  <si>
    <t>ROUND CACTUS CANDLE</t>
  </si>
  <si>
    <t>SET/3 POT PLANT CANDLES</t>
  </si>
  <si>
    <t>YELLOW POT PLANT CANDLE</t>
  </si>
  <si>
    <t>PINK POT PLANT CANDLE</t>
  </si>
  <si>
    <t>BLUE POT PLANT CANDLE</t>
  </si>
  <si>
    <t>SET/5 RED SPOTTY LID GLASS BOWLS</t>
  </si>
  <si>
    <t>SET/5 BLUE SPOTTY LID GLASS BOWLS</t>
  </si>
  <si>
    <t>VINTAGE PHOTO ALBUM PARIS DAYS</t>
  </si>
  <si>
    <t>VINTAGE NOTEBOOK BEAUTY GIRL</t>
  </si>
  <si>
    <t>VINTAGE KEEPSAKE BOX BEAUTY GIRL</t>
  </si>
  <si>
    <t>VINTAGE KEEPSAKE BOX TRAVELOGUE</t>
  </si>
  <si>
    <t>VINTAGE KEEPSAKE BOX PARIS DAYS</t>
  </si>
  <si>
    <t>VINTAGE KEEPSAKE BOX PINK FLOWER</t>
  </si>
  <si>
    <t>VINTAGE NOTEBOOK RED ROSE</t>
  </si>
  <si>
    <t>VINTAGE NOTEBOOK TRAVELOGUE</t>
  </si>
  <si>
    <t>VINTAGE NOTEBOOK PARIS DAYS</t>
  </si>
  <si>
    <t>VINTAGE NOTEBOOK PINK FLOWER</t>
  </si>
  <si>
    <t>VINTAGE NOTEBOOK FRENCH LETTER</t>
  </si>
  <si>
    <t>HANGING BAUBLE T-LIGHT HOLDER LARGE</t>
  </si>
  <si>
    <t>HANGING BAUBLE T-LIGHT HOLDER SMALL</t>
  </si>
  <si>
    <t>SET/3 TALL GLASS CANDLE HOLDER PINK</t>
  </si>
  <si>
    <t>LARGE GLASS ROSE SCENTED CANDLE</t>
  </si>
  <si>
    <t>SMALL GLASS ROSE SCENTED CANDLE</t>
  </si>
  <si>
    <t>JARDIN DE FEMME SCENTED CANDLE</t>
  </si>
  <si>
    <t>SET 3 JARDIN DE FEMME SCENT CANDLES</t>
  </si>
  <si>
    <t>BOX OF 6 PEBBLE CANDLES</t>
  </si>
  <si>
    <t>BOX OF 9 PEBBLE CANDLES</t>
  </si>
  <si>
    <t>BOX OF 3 PEBBLE CANDLES</t>
  </si>
  <si>
    <t>MODERN CHRISTMAS TREE CANDLE</t>
  </si>
  <si>
    <t>TREE OF NOAH FESTIVE SCENTED CANDLE</t>
  </si>
  <si>
    <t>SET/9 CHRISTMAS T-LIGHTS SCENTED</t>
  </si>
  <si>
    <t>MODERN CHRISTMAS BAUBLE CANDLE</t>
  </si>
  <si>
    <t>OPULENT VELVET SET/3 CANDLES</t>
  </si>
  <si>
    <t>OPULENT VELVET CANDLE IN BOX</t>
  </si>
  <si>
    <t>GOLD FABRIC MIRROR</t>
  </si>
  <si>
    <t>SILVER FABRIC MIRROR</t>
  </si>
  <si>
    <t>PINK ROSE FABRIC MIRROR</t>
  </si>
  <si>
    <t>BLUE ROSE FABRIC MIRROR</t>
  </si>
  <si>
    <t>PATCHWORK PENCIL CASE BUTTERFLY</t>
  </si>
  <si>
    <t>DENIM PATCH PENCIL CASE BUTTERFLY</t>
  </si>
  <si>
    <t>BLUE PATCH PENCIL CASE PINK HEART</t>
  </si>
  <si>
    <t>PINK PATCH PENCIL CASE BLUE HEART</t>
  </si>
  <si>
    <t>GOLD COSMETIC BAG PINK STAR</t>
  </si>
  <si>
    <t>GOLD COSMETICS BAG WITH BUTTERFLY</t>
  </si>
  <si>
    <t>SILVER PURSE GOLD PINK BUTTERFLY</t>
  </si>
  <si>
    <t>BLUE ROSE PATCH PURSE PINK BUTTERFL</t>
  </si>
  <si>
    <t>DENIM PATCH PURSE PINK BUTTERFLY</t>
  </si>
  <si>
    <t>PINK PATCH PURSE BLUE HEART</t>
  </si>
  <si>
    <t>BLUE PATCH PURSE PINK HEART</t>
  </si>
  <si>
    <t>ZINC HEART LATTICE TRAY OVAL</t>
  </si>
  <si>
    <t>ZINC HEART LATTICE PLANTER BOWL</t>
  </si>
  <si>
    <t>ZINC HEART LATTICE DOUBLE PLANTER</t>
  </si>
  <si>
    <t>ZINC HEART LATTICE CHARGER SMALL</t>
  </si>
  <si>
    <t>ZINC HEART LATTICE CHARGER LARGE</t>
  </si>
  <si>
    <t>ZINC HEART LATTICE T-LIGHT HOLDER</t>
  </si>
  <si>
    <t>ZINC HEART LATTICE 2 WALL PLANTER</t>
  </si>
  <si>
    <t>FRENCH FLORAL CUSHION COVER</t>
  </si>
  <si>
    <t>FRENCH PAISLEY CUSHION COVER</t>
  </si>
  <si>
    <t>FRENCH LATTICE CUSHION COVER</t>
  </si>
  <si>
    <t>SHAKER THROW  QUILTED</t>
  </si>
  <si>
    <t>RED FLOCK LOVE HEART PHOTO FRAME</t>
  </si>
  <si>
    <t>GOLD PHOTO FRAME</t>
  </si>
  <si>
    <t>SILVER PHOTO FRAME</t>
  </si>
  <si>
    <t>GLITTER HANGING BUTTERFLY STRING</t>
  </si>
  <si>
    <t>GLITTER BUTTERFLY CLIPS</t>
  </si>
  <si>
    <t>GOLD APERITIF GLASS</t>
  </si>
  <si>
    <t>SILVER APERITIF GLASS</t>
  </si>
  <si>
    <t>GOLD WINE GLASS</t>
  </si>
  <si>
    <t>GOLD WINE GOBLET</t>
  </si>
  <si>
    <t>SILVER WINE GOBLET</t>
  </si>
  <si>
    <t>GOLDIE LOOKING MIRROR</t>
  </si>
  <si>
    <t>SILVER LOOKING MIRROR</t>
  </si>
  <si>
    <t>SILVER TEDDY BEAR</t>
  </si>
  <si>
    <t>GOLD TEDDY BEAR</t>
  </si>
  <si>
    <t>GOLD FLOWER CUSHION COVER</t>
  </si>
  <si>
    <t>SILVER FINCH DECORATION</t>
  </si>
  <si>
    <t>EMBOSSED FLOWER TRELLIS PHOTO FRAME</t>
  </si>
  <si>
    <t>GLASS CHICKEN BUTTER DISH</t>
  </si>
  <si>
    <t>SMALL PINK GLASS SUNDAE DISH</t>
  </si>
  <si>
    <t>SMALL GLASS SUNDAE DISH CLEAR</t>
  </si>
  <si>
    <t>LARGE PINK GLASS SUNDAE DISH</t>
  </si>
  <si>
    <t>LARGE GLASS SUNDAE DISH CLEAR</t>
  </si>
  <si>
    <t>PINK MILKSHAKE GLASS</t>
  </si>
  <si>
    <t>CLEAR MILKSHAKE GLASS</t>
  </si>
  <si>
    <t>SMALL BLUE PROVENCAL CERAMIC BALL</t>
  </si>
  <si>
    <t>LARGE BLUE PROVENCAL CERAMIC BALL</t>
  </si>
  <si>
    <t>BLUE  TILE HOOK</t>
  </si>
  <si>
    <t>BLUE TILED TRAY</t>
  </si>
  <si>
    <t>BLUE TILED SET OF 3 DRAWERS</t>
  </si>
  <si>
    <t>BLUE RETRO BAR STOOL</t>
  </si>
  <si>
    <t>BLACK RETRO BAR STOOL</t>
  </si>
  <si>
    <t>FUSCHIA RETRO BAR STOOL</t>
  </si>
  <si>
    <t>RED RETRO BAR STOOL</t>
  </si>
  <si>
    <t>HEART EAR MUFF HEADPHONES</t>
  </si>
  <si>
    <t>CAMOUFLAGE EAR MUFF HEADPHONES</t>
  </si>
  <si>
    <t>GOLD EAR MUFF HEADPHONES</t>
  </si>
  <si>
    <t>BLACK EAR MUFF HEADPHONES</t>
  </si>
  <si>
    <t>GARDEN PATH NOTEBOOK</t>
  </si>
  <si>
    <t>CHRYSANTHEMUM NOTEBOOK</t>
  </si>
  <si>
    <t>ABSTRACT CIRCLES NOTEBOOK</t>
  </si>
  <si>
    <t>DAISY NOTEBOOK</t>
  </si>
  <si>
    <t>GREEN FERN NOTEBOOK</t>
  </si>
  <si>
    <t>BLUE PAISLEY NOTEBOOK</t>
  </si>
  <si>
    <t>GARDEN PATH JOURNAL</t>
  </si>
  <si>
    <t>CHRYSANTHEMUM  JOURNAL</t>
  </si>
  <si>
    <t>ABSTRACT CIRCLE JOURNAL</t>
  </si>
  <si>
    <t>DAISY JOURNAL</t>
  </si>
  <si>
    <t>GREEN FERN JOURNAL</t>
  </si>
  <si>
    <t>BLUE PAISLEY JOURNAL</t>
  </si>
  <si>
    <t>GARDEN PATH SKETCHBOOK</t>
  </si>
  <si>
    <t>CHRYSANTHEMUM SKETCHBOOK</t>
  </si>
  <si>
    <t>ABSTRACT CIRCLES SKETCHBOOK</t>
  </si>
  <si>
    <t>DAISY SKETCHBOOK</t>
  </si>
  <si>
    <t>GREEN FERN SKETCHBOOK</t>
  </si>
  <si>
    <t>BLUE PAISLEY SKETCHBOOK</t>
  </si>
  <si>
    <t>GARDEN PATH POCKET BOOK</t>
  </si>
  <si>
    <t>CHRYSANTHEMUM POCKET BOOK</t>
  </si>
  <si>
    <t>ABSTRACT CIRCLES POCKET BOOK</t>
  </si>
  <si>
    <t>RED DAISY POCKET BOOK</t>
  </si>
  <si>
    <t>GREEN FERN POCKET BOOK</t>
  </si>
  <si>
    <t>BLUE PAISLEY POCKET BOOK</t>
  </si>
  <si>
    <t>RETRO RED SPOTTY WASHING UP GLOVES</t>
  </si>
  <si>
    <t>RETRO PINK SPOT WASHING UP GLOVES</t>
  </si>
  <si>
    <t>RETRO BLUE SPOTTY WASHING UP GLOVES</t>
  </si>
  <si>
    <t>FUNKY WASHING UP GLOVES ASSORTED</t>
  </si>
  <si>
    <t>RED/WHITE DOT MINI CASES</t>
  </si>
  <si>
    <t>ASSORTED COLOUR MINI CASES</t>
  </si>
  <si>
    <t>KENSINGTON COFFEE SET</t>
  </si>
  <si>
    <t>PICCADILLY TEA SET</t>
  </si>
  <si>
    <t>*USB Office Glitter Lamp</t>
  </si>
  <si>
    <t>GREEN MINI TAPE MEASURE</t>
  </si>
  <si>
    <t>RED MINI TAPE MEASURE</t>
  </si>
  <si>
    <t>PINK MINI TAPE MEASURE</t>
  </si>
  <si>
    <t>BLACK MINI TAPE MEASURE</t>
  </si>
  <si>
    <t>SILVER MINI TAPE MEASURE</t>
  </si>
  <si>
    <t>GOLD MINI TAPE MEASURE</t>
  </si>
  <si>
    <t>POSY CANDY BAG</t>
  </si>
  <si>
    <t>STRAWBERRY CANDY BAG</t>
  </si>
  <si>
    <t>RED SPOTTY CANDY BAG</t>
  </si>
  <si>
    <t>LUNCH BAG CARS BLUE</t>
  </si>
  <si>
    <t>LUNCH BAG  BLACK SKULL.</t>
  </si>
  <si>
    <t>LUNCH BAG WOODLAND</t>
  </si>
  <si>
    <t>LUNCH BAG RED SPOTTY</t>
  </si>
  <si>
    <t>RED SPOTTY CHARLOTTE BAG</t>
  </si>
  <si>
    <t>STRAWBERRY CHARLOTTE BAG</t>
  </si>
  <si>
    <t>OWLS CHARLOTTE BAG</t>
  </si>
  <si>
    <t>WOODLAND CHARLOTTE BAG</t>
  </si>
  <si>
    <t>RED SPOTTY SHOPPER BAG</t>
  </si>
  <si>
    <t>STRAWBERRY SHOPPER BAG</t>
  </si>
  <si>
    <t>PARTY FOOD SHOPPER BAG</t>
  </si>
  <si>
    <t>LITTLE FLOWER SHOPPER BAG</t>
  </si>
  <si>
    <t>POSY SHOPPER BAG</t>
  </si>
  <si>
    <t>JUMBO BAG OWLS</t>
  </si>
  <si>
    <t>JUMBO BAG WOODLAND ANIMALS</t>
  </si>
  <si>
    <t>JUMBO BAG TOYS</t>
  </si>
  <si>
    <t>CRAZY DAISY HEART DECORATION</t>
  </si>
  <si>
    <t>MRS ROBOT SOFT TOY</t>
  </si>
  <si>
    <t>MR ROBOT SOFT TOY</t>
  </si>
  <si>
    <t>BLUE PADDED SOFT MOBILE</t>
  </si>
  <si>
    <t>PINK PADDED MOBILE</t>
  </si>
  <si>
    <t>PINK CAT FLORAL CUSHION COVER</t>
  </si>
  <si>
    <t>GREEN CAT FLORAL CUSHION COVER</t>
  </si>
  <si>
    <t>MOUSEY LONG LEGS SOFT TOY</t>
  </si>
  <si>
    <t>LITTLE PINK MONSTER SOFT TOY</t>
  </si>
  <si>
    <t>LITTLE GREEN MONSTER SOFT TOY</t>
  </si>
  <si>
    <t>FLORAL SOFT CAR TOY</t>
  </si>
  <si>
    <t>FLORAL BLUE MONSTER</t>
  </si>
  <si>
    <t>FLORAL PINK MONSTER</t>
  </si>
  <si>
    <t>FLORAL DINOSAUR GREEN</t>
  </si>
  <si>
    <t>FLORAL ELEPHANT SOFT TOY</t>
  </si>
  <si>
    <t>RETRO SISTERS EXPRESSO CUPS</t>
  </si>
  <si>
    <t>BEAUTY SPEED EXPRESSO CUPS</t>
  </si>
  <si>
    <t>DOLLY MIXTURE CHILDREN'S UMBRELLA</t>
  </si>
  <si>
    <t>RED SPOTTY COIR DOORMAT</t>
  </si>
  <si>
    <t>STRAWBERRY DREAM CHILDS UMBRELLA</t>
  </si>
  <si>
    <t>RAIN GIRL CHILDS UMBRELLA</t>
  </si>
  <si>
    <t>RED SPOTTY CHILDS UMBRELLA</t>
  </si>
  <si>
    <t>PINK SPOTTY CHILDS UMBRELLA</t>
  </si>
  <si>
    <t>PINK FLOWERS CHILDS UMBRELLA</t>
  </si>
  <si>
    <t>EDWARDIAN PARASOL RED</t>
  </si>
  <si>
    <t>LARGE BLACK DIAMANTE HAIRSLIDE</t>
  </si>
  <si>
    <t>PINK SPOTTY BOWL</t>
  </si>
  <si>
    <t>RED SPOTTY BOWL</t>
  </si>
  <si>
    <t>BLUE SPOTTY BOWL</t>
  </si>
  <si>
    <t>GREEN SPOTTY BOWL</t>
  </si>
  <si>
    <t>STRAWBERRIES PRINT BOWL</t>
  </si>
  <si>
    <t>PINK TEATIME PRINT BOWL</t>
  </si>
  <si>
    <t>BLUE TEATIME PRINT BOWL</t>
  </si>
  <si>
    <t>VIP HOLIDAY PURSE</t>
  </si>
  <si>
    <t>RED HEART LUGGAGE TAG</t>
  </si>
  <si>
    <t>DISCO BALL CHRISTMAS DECORATION</t>
  </si>
  <si>
    <t>CHERRY BLOSSOM PURSE</t>
  </si>
  <si>
    <t>ECONOMY HOLIDAY PURSE</t>
  </si>
  <si>
    <t>RED SPOTTY PURSE</t>
  </si>
  <si>
    <t>TROPICAL HOLIDAY PURSE</t>
  </si>
  <si>
    <t>QUEEN OF THE SKIES HOLIDAY PURSE</t>
  </si>
  <si>
    <t>FIRST CLASS HOLIDAY PURSE</t>
  </si>
  <si>
    <t>BLUE SPOTTY PURSE</t>
  </si>
  <si>
    <t>VIP LUGGAGE TAG</t>
  </si>
  <si>
    <t>ECONOMY LUGGAGE TAG</t>
  </si>
  <si>
    <t>RED SPOTTY LUGGAGE TAG</t>
  </si>
  <si>
    <t>TROPICAL LUGGAGE TAG</t>
  </si>
  <si>
    <t>QUEEN OF SKIES LUGGAGE TAG</t>
  </si>
  <si>
    <t>FIRST CLASS LUGGAGE TAG</t>
  </si>
  <si>
    <t>CHERRY BLOSSOM LUGGAGE TAG</t>
  </si>
  <si>
    <t>BLUE SPOTTY LUGGAGE TAG</t>
  </si>
  <si>
    <t>VIPPASSPORT COVER</t>
  </si>
  <si>
    <t>ECONOMY PASSPORT COVER</t>
  </si>
  <si>
    <t>RED SPOTTY PASSPORT COVER</t>
  </si>
  <si>
    <t>TROPICAL PASSPORT COVER</t>
  </si>
  <si>
    <t>QUEEN OF THE SKIES PASSPORT COVER</t>
  </si>
  <si>
    <t>FIRST CLASS PASSPORT COVER</t>
  </si>
  <si>
    <t>CHERRY BLOSSOM PASSPORT COVER</t>
  </si>
  <si>
    <t>BLUE SPOTTY PASSPORT COVER</t>
  </si>
  <si>
    <t>PORCELAIN BUTTERFLY OIL BURNER</t>
  </si>
  <si>
    <t>18098c</t>
  </si>
  <si>
    <t>18098C</t>
  </si>
  <si>
    <t>BLUE PORCELAIN B'FLY OIL BURNER</t>
  </si>
  <si>
    <t>18098B</t>
  </si>
  <si>
    <t>PINK PORCELAIN B'FLY OIL BURNER</t>
  </si>
  <si>
    <t>18098A</t>
  </si>
  <si>
    <t>WHITE TALL PORCELAIN T-LIGHT HOLDER</t>
  </si>
  <si>
    <t>18097C</t>
  </si>
  <si>
    <t>BLUE TALL PORCELAIN T-LIGHT HOLDER</t>
  </si>
  <si>
    <t>18097B</t>
  </si>
  <si>
    <t>PINK TALL PORCELAIN T-LIGHT HOLDER</t>
  </si>
  <si>
    <t>18097A</t>
  </si>
  <si>
    <t>WHITE ROUND PORCELAIN TLIGHT HOLDER</t>
  </si>
  <si>
    <t>18096c</t>
  </si>
  <si>
    <t>18096C</t>
  </si>
  <si>
    <t>WHITE/BLUE RECT CERAMIC OIL BURNER</t>
  </si>
  <si>
    <t>18094C</t>
  </si>
  <si>
    <t>ASSORTED FRAGRANCE BATH CONFETTI</t>
  </si>
  <si>
    <t>ESSENTIAL BALM 3.5g TIN IN ENVELOPE</t>
  </si>
  <si>
    <t>ROSE FLOWER CANDLE+INCENSE 16X16CM</t>
  </si>
  <si>
    <t>17191A</t>
  </si>
  <si>
    <t>CIRCLE OF FRIENDS CANDLE HOLDER</t>
  </si>
  <si>
    <t>FLAT PALM T-LIGHT HOLDER</t>
  </si>
  <si>
    <t>ASSTD RASTA KEY-CHAINS</t>
  </si>
  <si>
    <t>ASS COL LARGE SAND FROG P'WEIGHT</t>
  </si>
  <si>
    <t>17165D</t>
  </si>
  <si>
    <t>ASS COL LARGE SAND GECKO P'WEIGHT</t>
  </si>
  <si>
    <t>17165B</t>
  </si>
  <si>
    <t>ASS COL SMALL SAND FROG P'WEIGHT</t>
  </si>
  <si>
    <t>17164D</t>
  </si>
  <si>
    <t>ASS COL SMALL SAND GECKO P'WEIGHT</t>
  </si>
  <si>
    <t>17164B</t>
  </si>
  <si>
    <t>BLUE STONES ON WIRE FOR CANDLE</t>
  </si>
  <si>
    <t>17136A</t>
  </si>
  <si>
    <t>DEEP BLUE GLASS GEMS IN BAG</t>
  </si>
  <si>
    <t>17129F</t>
  </si>
  <si>
    <t>CLEAR COLOUR GLASS GEMS IN BAG</t>
  </si>
  <si>
    <t>17129D</t>
  </si>
  <si>
    <t>SKY BLUE COLOUR GLASS GEMS IN BAG</t>
  </si>
  <si>
    <t>17129C</t>
  </si>
  <si>
    <t>FLOWER FAIRY INCENSE BOUQUET</t>
  </si>
  <si>
    <t>17109D</t>
  </si>
  <si>
    <t>FLOWER FAIRY INCENSE ROSE</t>
  </si>
  <si>
    <t>17109C</t>
  </si>
  <si>
    <t>FLOWER FAIRY INCENSE LAVENDER</t>
  </si>
  <si>
    <t>17109B</t>
  </si>
  <si>
    <t>FLOWER FAIRY INCENSE LILY</t>
  </si>
  <si>
    <t>17109A</t>
  </si>
  <si>
    <t>FLOWER FAIRY SUMMER BOUQUET SACHET</t>
  </si>
  <si>
    <t>17108D</t>
  </si>
  <si>
    <t>FLOWER FAIRY,5 SUMMER B'DRAW LINERS</t>
  </si>
  <si>
    <t>17107D</t>
  </si>
  <si>
    <t>ASSORTED LAQUERED INCENSE HOLDERS</t>
  </si>
  <si>
    <t>VANILLA INCENSE IN TIN</t>
  </si>
  <si>
    <t>17091J</t>
  </si>
  <si>
    <t>SANDALWOOD INCENSE IN TIN</t>
  </si>
  <si>
    <t>17091F</t>
  </si>
  <si>
    <t>JASMINE TEA INCENSE IN TIN</t>
  </si>
  <si>
    <t>17091B</t>
  </si>
  <si>
    <t>LAVENDER INCENSE IN TIN</t>
  </si>
  <si>
    <t>17091A</t>
  </si>
  <si>
    <t>VANILLA INCENSE 40 CONES IN TIN</t>
  </si>
  <si>
    <t>17090D</t>
  </si>
  <si>
    <t>LAVENDER INCENSE 40 CONES IN TIN</t>
  </si>
  <si>
    <t>17090A</t>
  </si>
  <si>
    <t>ASSORTED INCENSE PACK</t>
  </si>
  <si>
    <t>17084R</t>
  </si>
  <si>
    <t>DRAGONS BLOOD INCENSE</t>
  </si>
  <si>
    <t>17084P</t>
  </si>
  <si>
    <t>FAIRY DREAMS INCENSE</t>
  </si>
  <si>
    <t>17084N</t>
  </si>
  <si>
    <t>LOVE POTION MASALA INCENSE</t>
  </si>
  <si>
    <t>17084J</t>
  </si>
  <si>
    <t>MOON INCENSE</t>
  </si>
  <si>
    <t>17084G</t>
  </si>
  <si>
    <t>TRANQUILITY MASALA INCENSE</t>
  </si>
  <si>
    <t>17084A</t>
  </si>
  <si>
    <t>ASSORTED SHAPED STENCIL FOR HENNA</t>
  </si>
  <si>
    <t>INLAID WOOD INCENSE HOLDER</t>
  </si>
  <si>
    <t>PORCELAIN BUDAH INCENSE HOLDER</t>
  </si>
  <si>
    <t>BROCADE PURSE,SMALL ARCH BUTTON</t>
  </si>
  <si>
    <t>INCENSE BAZAAR PEACH</t>
  </si>
  <si>
    <t>17028J</t>
  </si>
  <si>
    <t>INCENSE BAZAAR CANNABIS</t>
  </si>
  <si>
    <t>17027A</t>
  </si>
  <si>
    <t>NAMASTE SWAGAT INCENSE</t>
  </si>
  <si>
    <t>ORIGAMI SANDLEWOOD INCENSE CONES</t>
  </si>
  <si>
    <t>17014F</t>
  </si>
  <si>
    <t>ORIGAMI OPIUM INCENSE CONES</t>
  </si>
  <si>
    <t>17014E</t>
  </si>
  <si>
    <t>ORIGAMI ROSE INCENSE CONES</t>
  </si>
  <si>
    <t>17014D</t>
  </si>
  <si>
    <t>ORIGAMI LAVENDER INCENSE CONES</t>
  </si>
  <si>
    <t>17014C</t>
  </si>
  <si>
    <t>ORIGAMI VANILLA INCENSE CONES</t>
  </si>
  <si>
    <t>17014A</t>
  </si>
  <si>
    <t>ORIGAMI SANDLEWOOD INCENSE IN TUBE</t>
  </si>
  <si>
    <t>17013F</t>
  </si>
  <si>
    <t>ORIGAMI ROSE INCENSE IN TUBE</t>
  </si>
  <si>
    <t>17013D</t>
  </si>
  <si>
    <t>ORIGAMI LAVENDER INCENSE IN TUBE</t>
  </si>
  <si>
    <t>17013C</t>
  </si>
  <si>
    <t>ORIGAMI JASMINE INCENSE IN TUBE</t>
  </si>
  <si>
    <t>17013B</t>
  </si>
  <si>
    <t>ORIGAMI SANDLEWOOD INCENSE/CAND SET</t>
  </si>
  <si>
    <t>17012F</t>
  </si>
  <si>
    <t>ORIGAMI OPIUM INCENSE/CANDLE SET</t>
  </si>
  <si>
    <t>17012E</t>
  </si>
  <si>
    <t>ORIGAMI ROSE INCENSE/CANDLE SET</t>
  </si>
  <si>
    <t>17012D</t>
  </si>
  <si>
    <t>ORIGAMI LAVENDER INCENSE/CANDL SET</t>
  </si>
  <si>
    <t>17012C</t>
  </si>
  <si>
    <t>ORIGAMI JASMINE INCENSE/CANDLE SET</t>
  </si>
  <si>
    <t>17012B</t>
  </si>
  <si>
    <t>ORIGAMI VANILLA INCENSE/CANDLE SET</t>
  </si>
  <si>
    <t>17012A</t>
  </si>
  <si>
    <t>ORIGAMI SANDLEWOOD INCENSE+FLOWER</t>
  </si>
  <si>
    <t>17011F</t>
  </si>
  <si>
    <t>ORIGAMI OPIUM SCENT INCENSE+FLOWER</t>
  </si>
  <si>
    <t>17011E</t>
  </si>
  <si>
    <t>ORIGAMI ROSE INCENSE+FLOWER</t>
  </si>
  <si>
    <t>17011D</t>
  </si>
  <si>
    <t>ORIGAMI LAVENDER INCENSE+FLOWER</t>
  </si>
  <si>
    <t>17011C</t>
  </si>
  <si>
    <t>ORIGAMI JASMINE INCENSE+FLOWER</t>
  </si>
  <si>
    <t>17011B</t>
  </si>
  <si>
    <t>ORIGAMI VANILLA INCENSE+FLOWER</t>
  </si>
  <si>
    <t>17011A</t>
  </si>
  <si>
    <t>S/3 POT POURI CUSHIONS BLUE COLOURS</t>
  </si>
  <si>
    <t>17007B</t>
  </si>
  <si>
    <t>BROCADE RING PURSE</t>
  </si>
  <si>
    <t>HEAVENS SCENT FRAGRANCE OILS ASSTD</t>
  </si>
  <si>
    <t>PIECE OF CAMO STATIONERY SET</t>
  </si>
  <si>
    <t>DAISY ERASERS IN BAG</t>
  </si>
  <si>
    <t>16258B</t>
  </si>
  <si>
    <t>SWIRLY CIRCULAR RUBBERS IN BAG</t>
  </si>
  <si>
    <t>16258A</t>
  </si>
  <si>
    <t>HEARTS PENCIL/RUBBER+5 MINI PENCILS</t>
  </si>
  <si>
    <t>16256C</t>
  </si>
  <si>
    <t>FLOWER PENCIL/RUBBER+5 MINI PENCILS</t>
  </si>
  <si>
    <t>16256B</t>
  </si>
  <si>
    <t>TRANSPARENT ACRYLIC TAPE DISPENSER</t>
  </si>
  <si>
    <t>BLUE HOLE PUNCH</t>
  </si>
  <si>
    <t>16248B</t>
  </si>
  <si>
    <t>PINK MINI STATIONERY SET W CASE</t>
  </si>
  <si>
    <t>16245A</t>
  </si>
  <si>
    <t>MAXWELL 2 TONE BLUE 60 PAGE PHOTO A</t>
  </si>
  <si>
    <t>16244B</t>
  </si>
  <si>
    <t>MAXWELL 2 TONE PINK 60 PAGE PHOTO A</t>
  </si>
  <si>
    <t>16244A</t>
  </si>
  <si>
    <t>BROWN COZY SQUARE PHOTO ALBUM</t>
  </si>
  <si>
    <t>16243B</t>
  </si>
  <si>
    <t>BALLERINA HEART DECORATION.</t>
  </si>
  <si>
    <t>PARTY TIME PENCIL ERASERS</t>
  </si>
  <si>
    <t>SLEEPING CAT ERASERS</t>
  </si>
  <si>
    <t>KITTY PENCIL ERASERS</t>
  </si>
  <si>
    <t>RECYCLED PENCIL WITH RABBIT ERASER</t>
  </si>
  <si>
    <t>RATTLE SNAKE EGGS</t>
  </si>
  <si>
    <t>HOUSE SHAPE PENCIL SHARPENER</t>
  </si>
  <si>
    <t>CARTOON  PENCIL SHARPENERS</t>
  </si>
  <si>
    <t>LETTER SHAPE PENCIL SHARPENER</t>
  </si>
  <si>
    <t>FUNKY GIRLZ MAGNETIC TO DO LIST</t>
  </si>
  <si>
    <t>FUNKY GIRLZ ASST MAGNETIC MEMO PAD</t>
  </si>
  <si>
    <t>PINK HEART RED HANDBAG</t>
  </si>
  <si>
    <t>16207B</t>
  </si>
  <si>
    <t>PINK STRAWBERRY HANDBAG</t>
  </si>
  <si>
    <t>16207A</t>
  </si>
  <si>
    <t>RED PURSE WITH PINK HEART</t>
  </si>
  <si>
    <t>16206B</t>
  </si>
  <si>
    <t>BLACK PHOTO ALBUM</t>
  </si>
  <si>
    <t>16202E</t>
  </si>
  <si>
    <t>BEIGE PHOTO ALBUM</t>
  </si>
  <si>
    <t>16202C</t>
  </si>
  <si>
    <t>PASTEL BLUE PHOTO ALBUM</t>
  </si>
  <si>
    <t>16202B</t>
  </si>
  <si>
    <t>PASTEL PINK PHOTO ALBUM</t>
  </si>
  <si>
    <t>16202A</t>
  </si>
  <si>
    <t>16201B</t>
  </si>
  <si>
    <t>16201A</t>
  </si>
  <si>
    <t>PINK BALLET OPENING CUBE BOX</t>
  </si>
  <si>
    <t>WRAP GREEN RUSSIAN FOLKART</t>
  </si>
  <si>
    <t>16169P</t>
  </si>
  <si>
    <t>WRAP BLUE RUSSIAN FOLKART</t>
  </si>
  <si>
    <t>16169N</t>
  </si>
  <si>
    <t>WRAP DAISY CARPET</t>
  </si>
  <si>
    <t>16169M</t>
  </si>
  <si>
    <t>WRAP FOLK ART</t>
  </si>
  <si>
    <t>16169K</t>
  </si>
  <si>
    <t>WRAP ROMANTIC DECOUPAGE</t>
  </si>
  <si>
    <t>16169G</t>
  </si>
  <si>
    <t>WRAP BLIZZARD</t>
  </si>
  <si>
    <t>16169F</t>
  </si>
  <si>
    <t>WRAP 50'S  CHRISTMAS</t>
  </si>
  <si>
    <t>16169E</t>
  </si>
  <si>
    <t>WRAP WINTER FOREST</t>
  </si>
  <si>
    <t>16169D</t>
  </si>
  <si>
    <t>WRAP BLUE REINDEER</t>
  </si>
  <si>
    <t>16169C</t>
  </si>
  <si>
    <t>WRAP CHRISTMAS DECOUPAGE</t>
  </si>
  <si>
    <t>16169A</t>
  </si>
  <si>
    <t>FUNKY MONKEY GIFT BAG SMALL</t>
  </si>
  <si>
    <t>16168S</t>
  </si>
  <si>
    <t>FUNKY MONKEY GIFT BAG MEDIUM</t>
  </si>
  <si>
    <t>16168M</t>
  </si>
  <si>
    <t>THE KING GIFT BAG 25x24x12cm</t>
  </si>
  <si>
    <t>16162M</t>
  </si>
  <si>
    <t>THE KING GIFT BAG</t>
  </si>
  <si>
    <t>16162L</t>
  </si>
  <si>
    <t>WRAP,SUKI AND FRIENDS</t>
  </si>
  <si>
    <t>16161U</t>
  </si>
  <si>
    <t>WRAP ENGLISH ROSE</t>
  </si>
  <si>
    <t>16161P</t>
  </si>
  <si>
    <t>WRAP  PINK FLOCK</t>
  </si>
  <si>
    <t>16161M</t>
  </si>
  <si>
    <t>WRAP BAD HAIR DAY</t>
  </si>
  <si>
    <t>16161G</t>
  </si>
  <si>
    <t>WRAP BOUDOIR</t>
  </si>
  <si>
    <t>16161E</t>
  </si>
  <si>
    <t>WRAP SPEED DEMONS</t>
  </si>
  <si>
    <t>16161C</t>
  </si>
  <si>
    <t>WRAP PINK FAIRY CAKES</t>
  </si>
  <si>
    <t>16156S</t>
  </si>
  <si>
    <t>WRAP, FRIENDSHIP ON GREEN</t>
  </si>
  <si>
    <t>16156N</t>
  </si>
  <si>
    <t>WRAP, CAROUSEL</t>
  </si>
  <si>
    <t>16156L</t>
  </si>
  <si>
    <t>FLOWER DES BLUE HANDBAG/ORANG HANDL</t>
  </si>
  <si>
    <t>16151A</t>
  </si>
  <si>
    <t>FUNKY GIRL ADDRESS BOOK</t>
  </si>
  <si>
    <t>POPART RECT PENCIL SHARPENER ASST</t>
  </si>
  <si>
    <t>POPART COL BALLPOINT PEN ASST</t>
  </si>
  <si>
    <t>TEATIME PUSH DOWN RUBBER</t>
  </si>
  <si>
    <t>TEATIME PENCIL W STAMP ASST</t>
  </si>
  <si>
    <t>TEATIME PENCIL WITH RUBBER</t>
  </si>
  <si>
    <t>TEATIME GEL PENS ASST</t>
  </si>
  <si>
    <t>TEATIME ROUND PENCIL SHARPENER</t>
  </si>
  <si>
    <t>POP ART PEN CASE &amp; PENS</t>
  </si>
  <si>
    <t>TEATIME PEN CASE &amp; PENS</t>
  </si>
  <si>
    <t>POPART WOODEN PENCILS ASST</t>
  </si>
  <si>
    <t>POP-ART FLUORESCENT PENS</t>
  </si>
  <si>
    <t>POP ART PUSH DOWN RUBBER</t>
  </si>
  <si>
    <t>MINI HIGHLIGHTER PENS</t>
  </si>
  <si>
    <t>CLEAR STATIONERY BOX SET</t>
  </si>
  <si>
    <t>16020C</t>
  </si>
  <si>
    <t>LARGE CHINESE STYLE SCISSOR</t>
  </si>
  <si>
    <t>MEDIUM CHINESE STYLE SCISSOR</t>
  </si>
  <si>
    <t>SMALL CHINESE STYLE SCISSOR</t>
  </si>
  <si>
    <t>FOOD/DRINK SPUNGE STICKERS</t>
  </si>
  <si>
    <t>ANIMAL STICKERS</t>
  </si>
  <si>
    <t>FOLDING CAMPING SCISSOR W/KNIF &amp; S</t>
  </si>
  <si>
    <t>SMALL FOLDING SCISSOR(POINTED EDGE)</t>
  </si>
  <si>
    <t>FAIRY CAKE DESIGN UMBRELLA</t>
  </si>
  <si>
    <t>15060b</t>
  </si>
  <si>
    <t>15060B</t>
  </si>
  <si>
    <t>ENGLISH ROSE EDWARDIAN PARASOL</t>
  </si>
  <si>
    <t>15059A</t>
  </si>
  <si>
    <t>ICE CREAM DESIGN GARDEN PARASOL</t>
  </si>
  <si>
    <t>15058C</t>
  </si>
  <si>
    <t>PINK WHITE SPOTS GARDEN PARASOL</t>
  </si>
  <si>
    <t>15058B</t>
  </si>
  <si>
    <t>BLUE WHITE SPOTS GARDEN PARASOL</t>
  </si>
  <si>
    <t>15058A</t>
  </si>
  <si>
    <t>EDWARDIAN PARASOL PINK</t>
  </si>
  <si>
    <t>15056p</t>
  </si>
  <si>
    <t>EDWARDIAN PARASOL NATURAL</t>
  </si>
  <si>
    <t>15056n</t>
  </si>
  <si>
    <t>EDWARDIAN PARASOL BLACK</t>
  </si>
  <si>
    <t>15056bl</t>
  </si>
  <si>
    <t>15056P</t>
  </si>
  <si>
    <t>15056N</t>
  </si>
  <si>
    <t>15056BL</t>
  </si>
  <si>
    <t>RED PAPER PARASOL</t>
  </si>
  <si>
    <t>15044D</t>
  </si>
  <si>
    <t>PURPLE PAPER PARASOL</t>
  </si>
  <si>
    <t>15044C</t>
  </si>
  <si>
    <t>BLUE PAPER PARASOL</t>
  </si>
  <si>
    <t>15044B</t>
  </si>
  <si>
    <t>PINK PAPER PARASOL</t>
  </si>
  <si>
    <t>15044A</t>
  </si>
  <si>
    <t>SANDALWOOD FAN</t>
  </si>
  <si>
    <t>ASSORTED COLOURS SILK FAN</t>
  </si>
  <si>
    <t>PAPER POCKET TRAVELING FAN</t>
  </si>
  <si>
    <t>FAN BLACK FRAME</t>
  </si>
  <si>
    <t>ASSTD DESIGN RACING CAR PEN</t>
  </si>
  <si>
    <t>ASSORTED COLOUR JUMBO PEN</t>
  </si>
  <si>
    <t>COLOURING PENCILS BROWN TUBE</t>
  </si>
  <si>
    <t>MINI FUNKY DESIGN TAPES</t>
  </si>
  <si>
    <t>ARMY CAMO BOOKCOVER TAPE</t>
  </si>
  <si>
    <t>10124G</t>
  </si>
  <si>
    <t>SPOTS ON RED BOOKCOVER TAPE</t>
  </si>
  <si>
    <t>10124A</t>
  </si>
  <si>
    <t>ARMY CAMO WRAPPING TAPE</t>
  </si>
  <si>
    <t>10123G</t>
  </si>
  <si>
    <t>HEARTS WRAPPING TAPE</t>
  </si>
  <si>
    <t>10123C</t>
  </si>
  <si>
    <t>DOGGY RUBBER</t>
  </si>
  <si>
    <t>BENDY COLOUR PENCILS</t>
  </si>
  <si>
    <t>GROOVY CACTUS INFLATABLE</t>
  </si>
  <si>
    <t>ROBOT PENCIL SHARPNER</t>
  </si>
  <si>
    <t>10002R</t>
  </si>
  <si>
    <t>INFLATABLE POLITICAL GLOBE</t>
  </si>
  <si>
    <t>total_revenue</t>
  </si>
  <si>
    <t>months_observed</t>
  </si>
  <si>
    <t>avg_monthly_units</t>
  </si>
  <si>
    <t>typical_monthly_units</t>
  </si>
  <si>
    <t>typical_price</t>
  </si>
  <si>
    <t>description</t>
  </si>
  <si>
    <t>stock_code</t>
  </si>
  <si>
    <t>Product Selection</t>
  </si>
  <si>
    <t>Stock Code</t>
  </si>
  <si>
    <t>Product Description</t>
  </si>
  <si>
    <t>Typical Price</t>
  </si>
  <si>
    <t>Typical Monthly Units</t>
  </si>
  <si>
    <t>Sales Volume Tier</t>
  </si>
  <si>
    <t>Estimated Price Elasticity</t>
  </si>
  <si>
    <t>Pricing Scenario</t>
  </si>
  <si>
    <t>Proposed Price Change</t>
  </si>
  <si>
    <t>New Price</t>
  </si>
  <si>
    <t>Implied Quantity Change</t>
  </si>
  <si>
    <t>Estimated Monthly Units</t>
  </si>
  <si>
    <t>Revenue Impact</t>
  </si>
  <si>
    <t>Baseline Monthly Revenue</t>
  </si>
  <si>
    <t>Estimated New Monthly Revenue</t>
  </si>
  <si>
    <t>Revenue Change</t>
  </si>
  <si>
    <t>Revenue Change (%)</t>
  </si>
  <si>
    <t>Decision Summary</t>
  </si>
  <si>
    <t>Product</t>
  </si>
  <si>
    <t>Price Change</t>
  </si>
  <si>
    <t>Quantity Impact</t>
  </si>
  <si>
    <t>Monthly Revenue Δ</t>
  </si>
  <si>
    <t>Model Interpretation</t>
  </si>
  <si>
    <t>product_selector</t>
  </si>
  <si>
    <t>INFLATABLE POLITICAL GLOBE [10002]</t>
  </si>
  <si>
    <t>Current</t>
  </si>
  <si>
    <t>Est. Units</t>
  </si>
  <si>
    <t>Revenue</t>
  </si>
  <si>
    <t>Revenue Δ %</t>
  </si>
  <si>
    <t>Model Methodology &amp; Limitations</t>
  </si>
  <si>
    <t>Methodology
Elasticity estimates are derived from log-log regressions with product and month fixed effects, clustered standard errors by product, and price-outlier trimming.</t>
  </si>
  <si>
    <t>Interpretation
Scenario results apply estimated volume-tier elasticities to hypothetical price changes using a constant-elasticity formula. They are not causal forecasts.</t>
  </si>
  <si>
    <t>Limitations
Estimates do not account for product costs, profit margins, competitor responses, inventory constraints, or other factors affecting pricing decisions.</t>
  </si>
  <si>
    <t>Price Scenario Comparison</t>
  </si>
  <si>
    <t>Retail Pricing | Elasticity &amp;  Revenue Scenario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</si>
</sst>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£-8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/>
    <xf numFmtId="0" fontId="16" fillId="0" borderId="0" xfId="0" applyFon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Border="1"/>
    <xf numFmtId="9" fontId="0" fillId="33" borderId="10" xfId="0" applyNumberFormat="1" applyFill="1" applyBorder="1"/>
    <xf numFmtId="0" fontId="0" fillId="33" borderId="10" xfId="0" applyFill="1" applyBorder="1"/>
    <xf numFmtId="0" fontId="13" fillId="34" borderId="0" xfId="0" applyFont="1" applyFill="1"/>
    <xf numFmtId="0" fontId="17" fillId="34" borderId="0" xfId="0" applyFont="1" applyFill="1"/>
    <xf numFmtId="164" fontId="17" fillId="34" borderId="0" xfId="0" applyNumberFormat="1" applyFont="1" applyFill="1"/>
    <xf numFmtId="10" fontId="17" fillId="34" borderId="0" xfId="0" applyNumberFormat="1" applyFont="1" applyFill="1"/>
    <xf numFmtId="1" fontId="17" fillId="34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9" fontId="13" fillId="34" borderId="0" xfId="0" applyNumberFormat="1" applyFont="1" applyFill="1"/>
    <xf numFmtId="0" fontId="16" fillId="0" borderId="0" xfId="0" applyFont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</a:t>
            </a:r>
            <a:r>
              <a:rPr lang="en-US" baseline="0"/>
              <a:t> Revenue Impact by Price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4781277340333"/>
          <c:y val="0.17634259259259263"/>
          <c:w val="0.84447440944881891"/>
          <c:h val="0.6714577865266842"/>
        </c:manualLayout>
      </c:layout>
      <c:lineChart>
        <c:grouping val="standard"/>
        <c:varyColors val="0"/>
        <c:ser>
          <c:idx val="1"/>
          <c:order val="0"/>
          <c:tx>
            <c:v>Revenue Change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'Excel Decision Model'!$E$25:$I$25</c:f>
              <c:numCache>
                <c:formatCode>0%</c:formatCode>
                <c:ptCount val="5"/>
                <c:pt idx="0">
                  <c:v>-0.1</c:v>
                </c:pt>
                <c:pt idx="1">
                  <c:v>-0.05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</c:numCache>
            </c:numRef>
          </c:cat>
          <c:val>
            <c:numRef>
              <c:f>'Excel Decision Model'!$E$26:$I$26</c:f>
              <c:numCache>
                <c:formatCode>0.00%</c:formatCode>
                <c:ptCount val="5"/>
                <c:pt idx="0">
                  <c:v>0.19986851460944255</c:v>
                </c:pt>
                <c:pt idx="1">
                  <c:v>9.2760819024284791E-2</c:v>
                </c:pt>
                <c:pt idx="2">
                  <c:v>0</c:v>
                </c:pt>
                <c:pt idx="3">
                  <c:v>-8.091659668060569E-2</c:v>
                </c:pt>
                <c:pt idx="4">
                  <c:v>-0.15196280773950932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5-4661-AAE8-DD216E0B8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418127"/>
        <c:axId val="420405983"/>
      </c:lineChart>
      <c:catAx>
        <c:axId val="187441812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05983"/>
        <c:crosses val="autoZero"/>
        <c:auto val="1"/>
        <c:lblAlgn val="ctr"/>
        <c:lblOffset val="100"/>
        <c:noMultiLvlLbl val="0"/>
      </c:catAx>
      <c:valAx>
        <c:axId val="4204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  <a:alpha val="2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41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179070</xdr:rowOff>
    </xdr:from>
    <xdr:to>
      <xdr:col>9</xdr:col>
      <xdr:colOff>0</xdr:colOff>
      <xdr:row>29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BADB18-0EDA-4230-D63C-05CC16C6D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62CC-D3B9-4E83-AAE4-65F82EFBE431}">
  <dimension ref="A1:I44"/>
  <sheetViews>
    <sheetView tabSelected="1" workbookViewId="0">
      <selection activeCell="L13" sqref="L13"/>
    </sheetView>
  </sheetViews>
  <sheetFormatPr defaultRowHeight="14.4" x14ac:dyDescent="0.3"/>
  <cols>
    <col min="1" max="1" width="27.21875" bestFit="1" customWidth="1"/>
    <col min="2" max="2" width="32.44140625" bestFit="1" customWidth="1"/>
    <col min="4" max="4" width="23.109375" bestFit="1" customWidth="1"/>
    <col min="5" max="5" width="32.5546875" bestFit="1" customWidth="1"/>
  </cols>
  <sheetData>
    <row r="1" spans="1:9" x14ac:dyDescent="0.3">
      <c r="A1" s="22" t="s">
        <v>6292</v>
      </c>
    </row>
    <row r="2" spans="1:9" x14ac:dyDescent="0.3">
      <c r="A2" s="22"/>
    </row>
    <row r="3" spans="1:9" ht="15" thickBot="1" x14ac:dyDescent="0.35">
      <c r="A3" s="14" t="s">
        <v>6258</v>
      </c>
      <c r="D3" s="4" t="s">
        <v>6275</v>
      </c>
    </row>
    <row r="4" spans="1:9" ht="15" thickBot="1" x14ac:dyDescent="0.35">
      <c r="A4" s="15" t="s">
        <v>6276</v>
      </c>
      <c r="B4" s="13" t="s">
        <v>6282</v>
      </c>
    </row>
    <row r="5" spans="1:9" x14ac:dyDescent="0.3">
      <c r="A5" s="15" t="s">
        <v>6259</v>
      </c>
      <c r="B5" s="11">
        <f>_xlfn.XLOOKUP(B4,product_lookup!I:I,product_lookup!A:A,"")</f>
        <v>10002</v>
      </c>
      <c r="D5" s="15" t="s">
        <v>6276</v>
      </c>
      <c r="E5" t="str">
        <f>B6</f>
        <v>INFLATABLE POLITICAL GLOBE</v>
      </c>
    </row>
    <row r="6" spans="1:9" x14ac:dyDescent="0.3">
      <c r="A6" s="15" t="s">
        <v>6260</v>
      </c>
      <c r="B6" t="str">
        <f>_xlfn.XLOOKUP(B4,product_lookup!I:I,product_lookup!B:B,"")</f>
        <v>INFLATABLE POLITICAL GLOBE</v>
      </c>
      <c r="D6" s="15" t="s">
        <v>6277</v>
      </c>
      <c r="E6" s="5">
        <f>B13</f>
        <v>0.1</v>
      </c>
    </row>
    <row r="7" spans="1:9" x14ac:dyDescent="0.3">
      <c r="A7" s="15" t="s">
        <v>6261</v>
      </c>
      <c r="B7" s="9">
        <f>_xlfn.XLOOKUP(B4,product_lookup!I:I,product_lookup!C:C,"")</f>
        <v>0.86</v>
      </c>
      <c r="D7" s="15" t="s">
        <v>6278</v>
      </c>
      <c r="E7" s="7">
        <f>B15</f>
        <v>-0.2290570979450085</v>
      </c>
    </row>
    <row r="8" spans="1:9" x14ac:dyDescent="0.3">
      <c r="A8" s="15" t="s">
        <v>6262</v>
      </c>
      <c r="B8">
        <f>_xlfn.XLOOKUP(B4,product_lookup!I:I,product_lookup!D:D,"")</f>
        <v>340</v>
      </c>
      <c r="D8" s="15" t="s">
        <v>6270</v>
      </c>
      <c r="E8" s="7">
        <f>B22</f>
        <v>-0.15196280773950932</v>
      </c>
    </row>
    <row r="9" spans="1:9" x14ac:dyDescent="0.3">
      <c r="A9" s="15" t="s">
        <v>6263</v>
      </c>
      <c r="B9" t="str">
        <f>_xlfn.XLOOKUP(B4,product_lookup!I:I,product_lookup!H:H,"")</f>
        <v>High Volume</v>
      </c>
      <c r="D9" s="15" t="s">
        <v>6279</v>
      </c>
      <c r="E9" s="9">
        <f>B21</f>
        <v>-44.433924983032512</v>
      </c>
    </row>
    <row r="10" spans="1:9" x14ac:dyDescent="0.3">
      <c r="A10" s="15" t="s">
        <v>6264</v>
      </c>
      <c r="B10" s="10">
        <f>_xlfn.XLOOKUP(B9,elasticity_estimates!A:A,elasticity_estimates!B:B,"")</f>
        <v>-2.7294142734035098</v>
      </c>
    </row>
    <row r="11" spans="1:9" x14ac:dyDescent="0.3">
      <c r="A11" s="14"/>
      <c r="D11" s="15" t="s">
        <v>6280</v>
      </c>
      <c r="E11" t="str">
        <f>IF(B13=0,"No price change entered",IF(B22&gt;0,"Scenario increases estimated revenue",IF(B22&lt;0,"Scenario decreases estimated revenue","No estimated revenue change")))</f>
        <v>Scenario decreases estimated revenue</v>
      </c>
    </row>
    <row r="12" spans="1:9" ht="15" thickBot="1" x14ac:dyDescent="0.35">
      <c r="A12" s="14" t="s">
        <v>6265</v>
      </c>
    </row>
    <row r="13" spans="1:9" ht="15" thickBot="1" x14ac:dyDescent="0.35">
      <c r="A13" s="15" t="s">
        <v>6266</v>
      </c>
      <c r="B13" s="12">
        <v>0.1</v>
      </c>
      <c r="D13" s="21" t="s">
        <v>6291</v>
      </c>
      <c r="E13" s="5">
        <v>-0.1</v>
      </c>
      <c r="F13" s="5">
        <v>-0.05</v>
      </c>
      <c r="G13" s="5" t="s">
        <v>6283</v>
      </c>
      <c r="H13" s="5">
        <v>0.05</v>
      </c>
      <c r="I13" s="5">
        <v>0.1</v>
      </c>
    </row>
    <row r="14" spans="1:9" s="6" customFormat="1" x14ac:dyDescent="0.3">
      <c r="A14" s="16" t="s">
        <v>6267</v>
      </c>
      <c r="B14" s="9">
        <f>B7*(1+B13)</f>
        <v>0.94600000000000006</v>
      </c>
      <c r="D14" s="16" t="s">
        <v>6267</v>
      </c>
      <c r="E14" s="9">
        <f>$B$7*(1+E$13)</f>
        <v>0.77400000000000002</v>
      </c>
      <c r="F14" s="9">
        <f t="shared" ref="F14:I14" si="0">$B$7*(1+F$13)</f>
        <v>0.81699999999999995</v>
      </c>
      <c r="G14" s="9">
        <f>$B$7</f>
        <v>0.86</v>
      </c>
      <c r="H14" s="9">
        <f t="shared" si="0"/>
        <v>0.90300000000000002</v>
      </c>
      <c r="I14" s="9">
        <f t="shared" si="0"/>
        <v>0.94600000000000006</v>
      </c>
    </row>
    <row r="15" spans="1:9" s="7" customFormat="1" x14ac:dyDescent="0.3">
      <c r="A15" s="17" t="s">
        <v>6268</v>
      </c>
      <c r="B15" s="7">
        <f>(1+B13)^B10-1</f>
        <v>-0.2290570979450085</v>
      </c>
      <c r="D15" s="17" t="s">
        <v>6284</v>
      </c>
      <c r="E15" s="10">
        <f>$B$8*(1+E$13)^$B$10</f>
        <v>453.28366107467826</v>
      </c>
      <c r="F15" s="10">
        <f>$B$8*(1+F$13)^$B$10</f>
        <v>391.09334575605976</v>
      </c>
      <c r="G15" s="10">
        <f>$B$8</f>
        <v>340</v>
      </c>
      <c r="H15" s="10">
        <f t="shared" ref="F15:I15" si="1">$B$8*(1+H$13)^$B$10</f>
        <v>297.60795917008954</v>
      </c>
      <c r="I15" s="10">
        <f t="shared" si="1"/>
        <v>262.12058669869708</v>
      </c>
    </row>
    <row r="16" spans="1:9" s="8" customFormat="1" x14ac:dyDescent="0.3">
      <c r="A16" s="18" t="s">
        <v>6269</v>
      </c>
      <c r="B16" s="8">
        <f>B8*(1+B15)</f>
        <v>262.12058669869708</v>
      </c>
      <c r="D16" s="18" t="s">
        <v>6285</v>
      </c>
      <c r="E16" s="9">
        <f>E14*E15</f>
        <v>350.84155367180097</v>
      </c>
      <c r="F16" s="9">
        <f t="shared" ref="F16:I16" si="2">F14*F15</f>
        <v>319.52326348270083</v>
      </c>
      <c r="G16" s="9">
        <f>$B$19</f>
        <v>292.39999999999998</v>
      </c>
      <c r="H16" s="9">
        <f t="shared" si="2"/>
        <v>268.73998713059086</v>
      </c>
      <c r="I16" s="9">
        <f t="shared" si="2"/>
        <v>247.96607501696747</v>
      </c>
    </row>
    <row r="17" spans="1:9" x14ac:dyDescent="0.3">
      <c r="A17" s="15"/>
      <c r="D17" s="15" t="s">
        <v>6286</v>
      </c>
      <c r="E17" s="7">
        <f>E16/$B$19-1</f>
        <v>0.19986851460944255</v>
      </c>
      <c r="F17" s="7">
        <f t="shared" ref="F17:I17" si="3">F16/$B$19-1</f>
        <v>9.2760819024284791E-2</v>
      </c>
      <c r="G17" s="7">
        <f>0%</f>
        <v>0</v>
      </c>
      <c r="H17" s="7">
        <f t="shared" si="3"/>
        <v>-8.091659668060569E-2</v>
      </c>
      <c r="I17" s="7">
        <f t="shared" si="3"/>
        <v>-0.15196280773950932</v>
      </c>
    </row>
    <row r="18" spans="1:9" x14ac:dyDescent="0.3">
      <c r="A18" s="14" t="s">
        <v>6270</v>
      </c>
    </row>
    <row r="19" spans="1:9" s="6" customFormat="1" x14ac:dyDescent="0.3">
      <c r="A19" s="16" t="s">
        <v>6271</v>
      </c>
      <c r="B19" s="9">
        <f>B7*B8</f>
        <v>292.39999999999998</v>
      </c>
    </row>
    <row r="20" spans="1:9" x14ac:dyDescent="0.3">
      <c r="A20" s="15" t="s">
        <v>6272</v>
      </c>
      <c r="B20" s="9">
        <f>B14*B16</f>
        <v>247.96607501696747</v>
      </c>
    </row>
    <row r="21" spans="1:9" x14ac:dyDescent="0.3">
      <c r="A21" s="15" t="s">
        <v>6273</v>
      </c>
      <c r="B21" s="9">
        <f>B20-B19</f>
        <v>-44.433924983032512</v>
      </c>
    </row>
    <row r="22" spans="1:9" s="7" customFormat="1" x14ac:dyDescent="0.3">
      <c r="A22" s="17" t="s">
        <v>6274</v>
      </c>
      <c r="B22" s="7">
        <f>B20/B19-1</f>
        <v>-0.15196280773950932</v>
      </c>
    </row>
    <row r="25" spans="1:9" x14ac:dyDescent="0.3">
      <c r="D25" t="s">
        <v>6277</v>
      </c>
      <c r="E25" s="5">
        <v>-0.1</v>
      </c>
      <c r="F25" s="5">
        <v>-0.05</v>
      </c>
      <c r="G25" s="5">
        <v>0</v>
      </c>
      <c r="H25" s="5">
        <v>0.05</v>
      </c>
      <c r="I25" s="5">
        <v>0.1</v>
      </c>
    </row>
    <row r="26" spans="1:9" x14ac:dyDescent="0.3">
      <c r="D26" t="s">
        <v>6273</v>
      </c>
      <c r="E26" s="7">
        <f>E17</f>
        <v>0.19986851460944255</v>
      </c>
      <c r="F26" s="7">
        <f>F17</f>
        <v>9.2760819024284791E-2</v>
      </c>
      <c r="G26" s="7">
        <f>G17</f>
        <v>0</v>
      </c>
      <c r="H26" s="7">
        <f>H17</f>
        <v>-8.091659668060569E-2</v>
      </c>
      <c r="I26" s="7">
        <f>I17</f>
        <v>-0.15196280773950932</v>
      </c>
    </row>
    <row r="33" spans="4:9" x14ac:dyDescent="0.3">
      <c r="D33" s="19" t="s">
        <v>6287</v>
      </c>
      <c r="E33" s="19"/>
      <c r="F33" s="19"/>
      <c r="G33" s="19"/>
      <c r="H33" s="19"/>
      <c r="I33" s="19"/>
    </row>
    <row r="34" spans="4:9" x14ac:dyDescent="0.3">
      <c r="D34" s="20" t="s">
        <v>6288</v>
      </c>
      <c r="E34" s="19"/>
      <c r="F34" s="19"/>
      <c r="G34" s="19"/>
      <c r="H34" s="19"/>
      <c r="I34" s="19"/>
    </row>
    <row r="35" spans="4:9" x14ac:dyDescent="0.3">
      <c r="D35" s="19"/>
      <c r="E35" s="19"/>
      <c r="F35" s="19"/>
      <c r="G35" s="19"/>
      <c r="H35" s="19"/>
      <c r="I35" s="19"/>
    </row>
    <row r="36" spans="4:9" x14ac:dyDescent="0.3">
      <c r="D36" s="19"/>
      <c r="E36" s="19"/>
      <c r="F36" s="19"/>
      <c r="G36" s="19"/>
      <c r="H36" s="19"/>
      <c r="I36" s="19"/>
    </row>
    <row r="38" spans="4:9" x14ac:dyDescent="0.3">
      <c r="D38" s="20" t="s">
        <v>6289</v>
      </c>
      <c r="E38" s="19"/>
      <c r="F38" s="19"/>
      <c r="G38" s="19"/>
      <c r="H38" s="19"/>
      <c r="I38" s="19"/>
    </row>
    <row r="39" spans="4:9" x14ac:dyDescent="0.3">
      <c r="D39" s="19"/>
      <c r="E39" s="19"/>
      <c r="F39" s="19"/>
      <c r="G39" s="19"/>
      <c r="H39" s="19"/>
      <c r="I39" s="19"/>
    </row>
    <row r="40" spans="4:9" x14ac:dyDescent="0.3">
      <c r="D40" s="19"/>
      <c r="E40" s="19"/>
      <c r="F40" s="19"/>
      <c r="G40" s="19"/>
      <c r="H40" s="19"/>
      <c r="I40" s="19"/>
    </row>
    <row r="42" spans="4:9" x14ac:dyDescent="0.3">
      <c r="D42" s="20" t="s">
        <v>6290</v>
      </c>
      <c r="E42" s="19"/>
      <c r="F42" s="19"/>
      <c r="G42" s="19"/>
      <c r="H42" s="19"/>
      <c r="I42" s="19"/>
    </row>
    <row r="43" spans="4:9" x14ac:dyDescent="0.3">
      <c r="D43" s="19"/>
      <c r="E43" s="19"/>
      <c r="F43" s="19"/>
      <c r="G43" s="19"/>
      <c r="H43" s="19"/>
      <c r="I43" s="19"/>
    </row>
    <row r="44" spans="4:9" x14ac:dyDescent="0.3">
      <c r="D44" s="19"/>
      <c r="E44" s="19"/>
      <c r="F44" s="19"/>
      <c r="G44" s="19"/>
      <c r="H44" s="19"/>
      <c r="I44" s="19"/>
    </row>
  </sheetData>
  <mergeCells count="5">
    <mergeCell ref="D33:I33"/>
    <mergeCell ref="D34:I36"/>
    <mergeCell ref="D38:I40"/>
    <mergeCell ref="D42:I44"/>
    <mergeCell ref="A1:A2"/>
  </mergeCells>
  <conditionalFormatting sqref="E17:I17">
    <cfRule type="cellIs" dxfId="10" priority="6" operator="greaterThan">
      <formula>0</formula>
    </cfRule>
    <cfRule type="cellIs" dxfId="9" priority="5" operator="lessThan">
      <formula>0</formula>
    </cfRule>
  </conditionalFormatting>
  <conditionalFormatting sqref="B22">
    <cfRule type="cellIs" dxfId="8" priority="4" operator="greaterThan">
      <formula>0</formula>
    </cfRule>
    <cfRule type="cellIs" dxfId="7" priority="3" operator="lessThan">
      <formula>0</formula>
    </cfRule>
  </conditionalFormatting>
  <conditionalFormatting sqref="E8">
    <cfRule type="cellIs" dxfId="0" priority="2" operator="greaterThan">
      <formula>0</formula>
    </cfRule>
    <cfRule type="cellIs" dxfId="1" priority="1" operator="lessThan">
      <formula>0</formula>
    </cfRule>
  </conditionalFormatting>
  <dataValidations count="1">
    <dataValidation type="list" allowBlank="1" showInputMessage="1" showErrorMessage="1" sqref="B4" xr:uid="{C4E2E537-7ADA-48E7-9704-06320D7AD41C}">
      <formula1>ProductList</formula1>
    </dataValidation>
  </dataValidations>
  <pageMargins left="0.7" right="0.7" top="0.75" bottom="0.75" header="0.3" footer="0.3"/>
  <pageSetup orientation="portrait" horizontalDpi="300" verticalDpi="300" r:id="rId1"/>
  <ignoredErrors>
    <ignoredError sqref="G14:G1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8C6B-1C28-485F-85CD-6F62B123233D}">
  <dimension ref="A1:H28"/>
  <sheetViews>
    <sheetView workbookViewId="0">
      <selection activeCell="G32" sqref="G32"/>
    </sheetView>
  </sheetViews>
  <sheetFormatPr defaultRowHeight="14.4" x14ac:dyDescent="0.3"/>
  <cols>
    <col min="1" max="1" width="11" bestFit="1" customWidth="1"/>
    <col min="2" max="2" width="7.77734375" bestFit="1" customWidth="1"/>
    <col min="3" max="3" width="19.5546875" style="1" bestFit="1" customWidth="1"/>
    <col min="4" max="4" width="9.33203125" style="1" bestFit="1" customWidth="1"/>
    <col min="5" max="5" width="18.5546875" style="1" bestFit="1" customWidth="1"/>
    <col min="6" max="6" width="19.5546875" style="1" bestFit="1" customWidth="1"/>
    <col min="7" max="7" width="18.5546875" style="1" bestFit="1" customWidth="1"/>
    <col min="8" max="8" width="19.77734375" style="1" bestFit="1" customWidth="1"/>
  </cols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-2</v>
      </c>
      <c r="C2" s="1">
        <v>-0.2</v>
      </c>
      <c r="D2" s="1">
        <v>0.8</v>
      </c>
      <c r="E2" s="2">
        <v>1.56249999999999</v>
      </c>
      <c r="F2" s="2">
        <v>0.562499999999999</v>
      </c>
      <c r="G2" s="1">
        <v>1.25</v>
      </c>
      <c r="H2" s="1">
        <v>0.25</v>
      </c>
    </row>
    <row r="3" spans="1:8" x14ac:dyDescent="0.3">
      <c r="A3" t="s">
        <v>8</v>
      </c>
      <c r="B3">
        <v>-2</v>
      </c>
      <c r="C3" s="1">
        <v>-0.15</v>
      </c>
      <c r="D3" s="1">
        <v>0.85</v>
      </c>
      <c r="E3" s="2">
        <v>1.38408304498269</v>
      </c>
      <c r="F3" s="2">
        <v>0.38408304498269902</v>
      </c>
      <c r="G3" s="2">
        <v>1.1764705882352899</v>
      </c>
      <c r="H3" s="2">
        <v>0.17647058823529399</v>
      </c>
    </row>
    <row r="4" spans="1:8" x14ac:dyDescent="0.3">
      <c r="A4" t="s">
        <v>8</v>
      </c>
      <c r="B4">
        <v>-2</v>
      </c>
      <c r="C4" s="1">
        <v>-0.1</v>
      </c>
      <c r="D4" s="1">
        <v>0.9</v>
      </c>
      <c r="E4" s="2">
        <v>1.2345679012345601</v>
      </c>
      <c r="F4" s="2">
        <v>0.234567901234567</v>
      </c>
      <c r="G4" s="2">
        <v>1.1111111111111101</v>
      </c>
      <c r="H4" s="2">
        <v>0.11111111111111099</v>
      </c>
    </row>
    <row r="5" spans="1:8" x14ac:dyDescent="0.3">
      <c r="A5" t="s">
        <v>8</v>
      </c>
      <c r="B5">
        <v>-2</v>
      </c>
      <c r="C5" s="1">
        <v>-4.9999999999999899E-2</v>
      </c>
      <c r="D5" s="1">
        <v>0.95</v>
      </c>
      <c r="E5" s="1">
        <v>1.10803324099723</v>
      </c>
      <c r="F5" s="1">
        <v>0.10803324099723</v>
      </c>
      <c r="G5" s="2">
        <v>1.0526315789473599</v>
      </c>
      <c r="H5" s="1">
        <v>5.26315789473683E-2</v>
      </c>
    </row>
    <row r="6" spans="1:8" x14ac:dyDescent="0.3">
      <c r="A6" t="s">
        <v>8</v>
      </c>
      <c r="B6">
        <v>-2</v>
      </c>
      <c r="C6" s="1">
        <v>0</v>
      </c>
      <c r="D6" s="1">
        <v>1</v>
      </c>
      <c r="E6" s="1">
        <v>1</v>
      </c>
      <c r="F6" s="1">
        <v>0</v>
      </c>
      <c r="G6" s="1">
        <v>1</v>
      </c>
      <c r="H6" s="1">
        <v>0</v>
      </c>
    </row>
    <row r="7" spans="1:8" x14ac:dyDescent="0.3">
      <c r="A7" t="s">
        <v>8</v>
      </c>
      <c r="B7">
        <v>-2</v>
      </c>
      <c r="C7" s="1">
        <v>4.9999999999999899E-2</v>
      </c>
      <c r="D7" s="1">
        <v>1.05</v>
      </c>
      <c r="E7" s="2">
        <v>0.90702947845804904</v>
      </c>
      <c r="F7" s="1">
        <v>-9.2970521541950096E-2</v>
      </c>
      <c r="G7" s="2">
        <v>0.952380952380952</v>
      </c>
      <c r="H7" s="1">
        <v>-4.7619047619047603E-2</v>
      </c>
    </row>
    <row r="8" spans="1:8" x14ac:dyDescent="0.3">
      <c r="A8" t="s">
        <v>8</v>
      </c>
      <c r="B8">
        <v>-2</v>
      </c>
      <c r="C8" s="2">
        <v>0.1</v>
      </c>
      <c r="D8" s="1">
        <v>1.1000000000000001</v>
      </c>
      <c r="E8" s="2">
        <v>0.82644628099173501</v>
      </c>
      <c r="F8" s="1">
        <v>-0.173553719008264</v>
      </c>
      <c r="G8" s="2">
        <v>0.90909090909090895</v>
      </c>
      <c r="H8" s="1">
        <v>-9.0909090909090898E-2</v>
      </c>
    </row>
    <row r="9" spans="1:8" x14ac:dyDescent="0.3">
      <c r="A9" t="s">
        <v>8</v>
      </c>
      <c r="B9">
        <v>-2</v>
      </c>
      <c r="C9" s="2">
        <v>0.15</v>
      </c>
      <c r="D9" s="1">
        <v>1.1499999999999999</v>
      </c>
      <c r="E9" s="2">
        <v>0.75614366729678595</v>
      </c>
      <c r="F9" s="1">
        <v>-0.243856332703213</v>
      </c>
      <c r="G9" s="2">
        <v>0.86956521739130399</v>
      </c>
      <c r="H9" s="1">
        <v>-0.13043478260869501</v>
      </c>
    </row>
    <row r="10" spans="1:8" x14ac:dyDescent="0.3">
      <c r="A10" t="s">
        <v>8</v>
      </c>
      <c r="B10">
        <v>-2</v>
      </c>
      <c r="C10" s="1">
        <v>0.2</v>
      </c>
      <c r="D10" s="1">
        <v>1.2</v>
      </c>
      <c r="E10" s="2">
        <v>0.69444444444444398</v>
      </c>
      <c r="F10" s="1">
        <v>-0.30555555555555503</v>
      </c>
      <c r="G10" s="2">
        <v>0.83333333333333304</v>
      </c>
      <c r="H10" s="1">
        <v>-0.16666666666666599</v>
      </c>
    </row>
    <row r="11" spans="1:8" x14ac:dyDescent="0.3">
      <c r="A11" t="s">
        <v>9</v>
      </c>
      <c r="B11">
        <v>-2.4700000000000002</v>
      </c>
      <c r="C11" s="1">
        <v>-0.2</v>
      </c>
      <c r="D11" s="1">
        <v>0.8</v>
      </c>
      <c r="E11" s="2">
        <v>1.7352726911598</v>
      </c>
      <c r="F11" s="2">
        <v>0.73527269115980698</v>
      </c>
      <c r="G11" s="2">
        <v>1.3882181529278399</v>
      </c>
      <c r="H11" s="2">
        <v>0.38821815292784601</v>
      </c>
    </row>
    <row r="12" spans="1:8" x14ac:dyDescent="0.3">
      <c r="A12" t="s">
        <v>9</v>
      </c>
      <c r="B12">
        <v>-2.4700000000000002</v>
      </c>
      <c r="C12" s="1">
        <v>-0.15</v>
      </c>
      <c r="D12" s="1">
        <v>0.85</v>
      </c>
      <c r="E12" s="2">
        <v>1.49394721664087</v>
      </c>
      <c r="F12" s="2">
        <v>0.49394721664086999</v>
      </c>
      <c r="G12" s="1">
        <v>1.2698551341447399</v>
      </c>
      <c r="H12" s="2">
        <v>0.269855134144739</v>
      </c>
    </row>
    <row r="13" spans="1:8" x14ac:dyDescent="0.3">
      <c r="A13" t="s">
        <v>9</v>
      </c>
      <c r="B13">
        <v>-2.4700000000000002</v>
      </c>
      <c r="C13" s="1">
        <v>-0.1</v>
      </c>
      <c r="D13" s="1">
        <v>0.9</v>
      </c>
      <c r="E13" s="2">
        <v>1.29724200171188</v>
      </c>
      <c r="F13" s="2">
        <v>0.29724200171188597</v>
      </c>
      <c r="G13" s="2">
        <v>1.16751780154069</v>
      </c>
      <c r="H13" s="2">
        <v>0.16751780154069701</v>
      </c>
    </row>
    <row r="14" spans="1:8" x14ac:dyDescent="0.3">
      <c r="A14" t="s">
        <v>9</v>
      </c>
      <c r="B14">
        <v>-2.4700000000000002</v>
      </c>
      <c r="C14" s="1">
        <v>-4.9999999999999899E-2</v>
      </c>
      <c r="D14" s="1">
        <v>0.95</v>
      </c>
      <c r="E14" s="2">
        <v>1.1350701295079</v>
      </c>
      <c r="F14" s="2">
        <v>0.13507012950790301</v>
      </c>
      <c r="G14" s="2">
        <v>1.0783166230325001</v>
      </c>
      <c r="H14" s="1">
        <v>7.8316623032508706E-2</v>
      </c>
    </row>
    <row r="15" spans="1:8" x14ac:dyDescent="0.3">
      <c r="A15" t="s">
        <v>9</v>
      </c>
      <c r="B15">
        <v>-2.4700000000000002</v>
      </c>
      <c r="C15" s="1">
        <v>0</v>
      </c>
      <c r="D15" s="1">
        <v>1</v>
      </c>
      <c r="E15" s="1">
        <v>1</v>
      </c>
      <c r="F15" s="1">
        <v>0</v>
      </c>
      <c r="G15" s="1">
        <v>1</v>
      </c>
      <c r="H15" s="1">
        <v>0</v>
      </c>
    </row>
    <row r="16" spans="1:8" x14ac:dyDescent="0.3">
      <c r="A16" t="s">
        <v>9</v>
      </c>
      <c r="B16">
        <v>-2.4700000000000002</v>
      </c>
      <c r="C16" s="1">
        <v>4.9999999999999899E-2</v>
      </c>
      <c r="D16" s="1">
        <v>1.05</v>
      </c>
      <c r="E16" s="2">
        <v>0.88646671074989603</v>
      </c>
      <c r="F16" s="1">
        <v>-0.113533289250103</v>
      </c>
      <c r="G16" s="2">
        <v>0.93079004628739104</v>
      </c>
      <c r="H16" s="1">
        <v>-6.9209953712608699E-2</v>
      </c>
    </row>
    <row r="17" spans="1:8" x14ac:dyDescent="0.3">
      <c r="A17" t="s">
        <v>9</v>
      </c>
      <c r="B17">
        <v>-2.4700000000000002</v>
      </c>
      <c r="C17" s="2">
        <v>0.1</v>
      </c>
      <c r="D17" s="1">
        <v>1.1000000000000001</v>
      </c>
      <c r="E17" s="2">
        <v>0.79024192666526605</v>
      </c>
      <c r="F17" s="1">
        <v>-0.20975807333473301</v>
      </c>
      <c r="G17" s="2">
        <v>0.86926611933179299</v>
      </c>
      <c r="H17" s="1">
        <v>-0.13073388066820599</v>
      </c>
    </row>
    <row r="18" spans="1:8" x14ac:dyDescent="0.3">
      <c r="A18" t="s">
        <v>9</v>
      </c>
      <c r="B18">
        <v>-2.4700000000000002</v>
      </c>
      <c r="C18" s="2">
        <v>0.15</v>
      </c>
      <c r="D18" s="1">
        <v>1.1499999999999999</v>
      </c>
      <c r="E18" s="2">
        <v>0.70807022831904898</v>
      </c>
      <c r="F18" s="1">
        <v>-0.29192977168095002</v>
      </c>
      <c r="G18" s="2">
        <v>0.81428076256690596</v>
      </c>
      <c r="H18" s="1">
        <v>-0.18571923743309299</v>
      </c>
    </row>
    <row r="19" spans="1:8" x14ac:dyDescent="0.3">
      <c r="A19" t="s">
        <v>9</v>
      </c>
      <c r="B19">
        <v>-2.4700000000000002</v>
      </c>
      <c r="C19" s="1">
        <v>0.2</v>
      </c>
      <c r="D19" s="1">
        <v>1.2</v>
      </c>
      <c r="E19" s="2">
        <v>0.63741506303492801</v>
      </c>
      <c r="F19" s="1">
        <v>-0.36258493696507099</v>
      </c>
      <c r="G19" s="2">
        <v>0.76489807564191403</v>
      </c>
      <c r="H19" s="1">
        <v>-0.235101924358085</v>
      </c>
    </row>
    <row r="20" spans="1:8" x14ac:dyDescent="0.3">
      <c r="A20" t="s">
        <v>10</v>
      </c>
      <c r="B20">
        <v>-2.73</v>
      </c>
      <c r="C20" s="1">
        <v>-0.2</v>
      </c>
      <c r="D20" s="1">
        <v>0.8</v>
      </c>
      <c r="E20" s="2">
        <v>1.8389263485421501</v>
      </c>
      <c r="F20" s="2">
        <v>0.83892634854215298</v>
      </c>
      <c r="G20" s="2">
        <v>1.47114107883372</v>
      </c>
      <c r="H20" s="2">
        <v>0.47114107883372303</v>
      </c>
    </row>
    <row r="21" spans="1:8" x14ac:dyDescent="0.3">
      <c r="A21" t="s">
        <v>10</v>
      </c>
      <c r="B21">
        <v>-2.73</v>
      </c>
      <c r="C21" s="1">
        <v>-0.15</v>
      </c>
      <c r="D21" s="1">
        <v>0.85</v>
      </c>
      <c r="E21" s="2">
        <v>1.5584265298395701</v>
      </c>
      <c r="F21" s="2">
        <v>0.55842652983957497</v>
      </c>
      <c r="G21" s="2">
        <v>1.32466255036363</v>
      </c>
      <c r="H21" s="2">
        <v>0.324662550363639</v>
      </c>
    </row>
    <row r="22" spans="1:8" x14ac:dyDescent="0.3">
      <c r="A22" t="s">
        <v>10</v>
      </c>
      <c r="B22">
        <v>-2.73</v>
      </c>
      <c r="C22" s="1">
        <v>-0.1</v>
      </c>
      <c r="D22" s="1">
        <v>0.9</v>
      </c>
      <c r="E22" s="2">
        <v>1.33326951525277</v>
      </c>
      <c r="F22" s="2">
        <v>0.33326951525277498</v>
      </c>
      <c r="G22" s="2">
        <v>1.1999425637274901</v>
      </c>
      <c r="H22" s="2">
        <v>0.199942563727497</v>
      </c>
    </row>
    <row r="23" spans="1:8" x14ac:dyDescent="0.3">
      <c r="A23" t="s">
        <v>10</v>
      </c>
      <c r="B23">
        <v>-2.73</v>
      </c>
      <c r="C23" s="1">
        <v>-4.9999999999999899E-2</v>
      </c>
      <c r="D23" s="1">
        <v>0.95</v>
      </c>
      <c r="E23" s="2">
        <v>1.15030910553267</v>
      </c>
      <c r="F23" s="2">
        <v>0.15030910553267901</v>
      </c>
      <c r="G23" s="2">
        <v>1.09279365025604</v>
      </c>
      <c r="H23" s="1">
        <v>9.2793650256045301E-2</v>
      </c>
    </row>
    <row r="24" spans="1:8" x14ac:dyDescent="0.3">
      <c r="A24" t="s">
        <v>10</v>
      </c>
      <c r="B24">
        <v>-2.73</v>
      </c>
      <c r="C24" s="1">
        <v>0</v>
      </c>
      <c r="D24" s="1">
        <v>1</v>
      </c>
      <c r="E24" s="1">
        <v>1</v>
      </c>
      <c r="F24" s="1">
        <v>0</v>
      </c>
      <c r="G24" s="1">
        <v>1</v>
      </c>
      <c r="H24" s="1">
        <v>0</v>
      </c>
    </row>
    <row r="25" spans="1:8" x14ac:dyDescent="0.3">
      <c r="A25" t="s">
        <v>10</v>
      </c>
      <c r="B25">
        <v>-2.73</v>
      </c>
      <c r="C25" s="1">
        <v>4.9999999999999899E-2</v>
      </c>
      <c r="D25" s="1">
        <v>1.05</v>
      </c>
      <c r="E25" s="2">
        <v>0.87529251276938602</v>
      </c>
      <c r="F25" s="1">
        <v>-0.12470748723061301</v>
      </c>
      <c r="G25" s="2">
        <v>0.91905713840785597</v>
      </c>
      <c r="H25" s="1">
        <v>-8.09428615921437E-2</v>
      </c>
    </row>
    <row r="26" spans="1:8" x14ac:dyDescent="0.3">
      <c r="A26" t="s">
        <v>10</v>
      </c>
      <c r="B26">
        <v>-2.73</v>
      </c>
      <c r="C26" s="2">
        <v>0.1</v>
      </c>
      <c r="D26" s="1">
        <v>1.1000000000000001</v>
      </c>
      <c r="E26" s="2">
        <v>0.77089986482355499</v>
      </c>
      <c r="F26" s="1">
        <v>-0.22910013517644401</v>
      </c>
      <c r="G26" s="2">
        <v>0.84798985130590998</v>
      </c>
      <c r="H26" s="1">
        <v>-0.15201014869408899</v>
      </c>
    </row>
    <row r="27" spans="1:8" x14ac:dyDescent="0.3">
      <c r="A27" t="s">
        <v>10</v>
      </c>
      <c r="B27">
        <v>-2.73</v>
      </c>
      <c r="C27" s="2">
        <v>0.15</v>
      </c>
      <c r="D27" s="1">
        <v>1.1499999999999999</v>
      </c>
      <c r="E27" s="2">
        <v>0.68280217497933604</v>
      </c>
      <c r="F27" s="1">
        <v>-0.31719782502066302</v>
      </c>
      <c r="G27" s="2">
        <v>0.78522250122623605</v>
      </c>
      <c r="H27" s="1">
        <v>-0.21477749877376301</v>
      </c>
    </row>
    <row r="28" spans="1:8" x14ac:dyDescent="0.3">
      <c r="A28" t="s">
        <v>10</v>
      </c>
      <c r="B28">
        <v>-2.73</v>
      </c>
      <c r="C28" s="1">
        <v>0.2</v>
      </c>
      <c r="D28" s="1">
        <v>1.2</v>
      </c>
      <c r="E28" s="2">
        <v>0.60790427609303899</v>
      </c>
      <c r="F28" s="1">
        <v>-0.39209572390696001</v>
      </c>
      <c r="G28" s="2">
        <v>0.72948513131164705</v>
      </c>
      <c r="H28" s="1">
        <v>-0.27051486868835201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A281-467F-4D79-9B26-3F1DCEE4EF42}">
  <dimension ref="A1:E4"/>
  <sheetViews>
    <sheetView workbookViewId="0">
      <selection activeCell="A3" sqref="A3"/>
    </sheetView>
  </sheetViews>
  <sheetFormatPr defaultRowHeight="14.4" x14ac:dyDescent="0.3"/>
  <cols>
    <col min="1" max="1" width="11.109375" bestFit="1" customWidth="1"/>
    <col min="2" max="2" width="12.6640625" bestFit="1" customWidth="1"/>
    <col min="3" max="3" width="12" bestFit="1" customWidth="1"/>
    <col min="4" max="5" width="12.6640625" bestFit="1" customWidth="1"/>
  </cols>
  <sheetData>
    <row r="1" spans="1:5" x14ac:dyDescent="0.3">
      <c r="A1" t="s">
        <v>0</v>
      </c>
      <c r="B1" t="s">
        <v>1</v>
      </c>
      <c r="C1" t="s">
        <v>13</v>
      </c>
      <c r="D1" t="s">
        <v>12</v>
      </c>
      <c r="E1" t="s">
        <v>11</v>
      </c>
    </row>
    <row r="2" spans="1:5" x14ac:dyDescent="0.3">
      <c r="A2" t="s">
        <v>8</v>
      </c>
      <c r="B2">
        <v>-1.9995265967075999</v>
      </c>
      <c r="C2" s="3">
        <v>4.4427729127352399E-2</v>
      </c>
      <c r="D2">
        <v>-2.0866049457972098</v>
      </c>
      <c r="E2">
        <v>-1.91244824761799</v>
      </c>
    </row>
    <row r="3" spans="1:5" x14ac:dyDescent="0.3">
      <c r="A3" t="s">
        <v>9</v>
      </c>
      <c r="B3">
        <v>-2.46829815733533</v>
      </c>
      <c r="C3">
        <v>3.3853814875170897E-2</v>
      </c>
      <c r="D3">
        <v>-2.53465163449067</v>
      </c>
      <c r="E3">
        <v>-2.4019446801800002</v>
      </c>
    </row>
    <row r="4" spans="1:5" x14ac:dyDescent="0.3">
      <c r="A4" t="s">
        <v>10</v>
      </c>
      <c r="B4">
        <v>-2.7294142734035098</v>
      </c>
      <c r="C4">
        <v>8.7810553644556893E-2</v>
      </c>
      <c r="D4">
        <v>-2.9015229585468401</v>
      </c>
      <c r="E4">
        <v>-2.5573055882601801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6029-2696-46C8-B129-25EC9E4C907C}">
  <dimension ref="A1:I4916"/>
  <sheetViews>
    <sheetView workbookViewId="0">
      <selection activeCell="O4884" sqref="O4884"/>
    </sheetView>
  </sheetViews>
  <sheetFormatPr defaultRowHeight="14.4" x14ac:dyDescent="0.3"/>
  <cols>
    <col min="1" max="1" width="15.109375" style="1" bestFit="1" customWidth="1"/>
    <col min="2" max="2" width="43" bestFit="1" customWidth="1"/>
    <col min="3" max="3" width="19.5546875" style="1" bestFit="1" customWidth="1"/>
    <col min="4" max="4" width="18.21875" style="1" bestFit="1" customWidth="1"/>
    <col min="5" max="5" width="18.5546875" style="1" bestFit="1" customWidth="1"/>
    <col min="6" max="6" width="15.21875" style="1" bestFit="1" customWidth="1"/>
    <col min="7" max="7" width="18.5546875" style="1" bestFit="1" customWidth="1"/>
    <col min="8" max="8" width="11" style="1" bestFit="1" customWidth="1"/>
    <col min="9" max="9" width="14.6640625" bestFit="1" customWidth="1"/>
  </cols>
  <sheetData>
    <row r="1" spans="1:9" x14ac:dyDescent="0.3">
      <c r="A1" s="1" t="s">
        <v>6257</v>
      </c>
      <c r="B1" t="s">
        <v>6256</v>
      </c>
      <c r="C1" s="1" t="s">
        <v>6255</v>
      </c>
      <c r="D1" s="1" t="s">
        <v>6254</v>
      </c>
      <c r="E1" s="1" t="s">
        <v>6253</v>
      </c>
      <c r="F1" s="1" t="s">
        <v>6252</v>
      </c>
      <c r="G1" s="1" t="s">
        <v>6251</v>
      </c>
      <c r="H1" s="1" t="s">
        <v>0</v>
      </c>
      <c r="I1" s="1" t="s">
        <v>6281</v>
      </c>
    </row>
    <row r="2" spans="1:9" x14ac:dyDescent="0.3">
      <c r="A2" s="1">
        <v>10002</v>
      </c>
      <c r="B2" t="s">
        <v>6250</v>
      </c>
      <c r="C2" s="1">
        <v>0.86</v>
      </c>
      <c r="D2" s="1">
        <v>340</v>
      </c>
      <c r="E2" s="2">
        <v>510.05882352941097</v>
      </c>
      <c r="F2" s="1">
        <v>17</v>
      </c>
      <c r="G2" s="1">
        <v>6942.26</v>
      </c>
      <c r="H2" s="1" t="s">
        <v>10</v>
      </c>
      <c r="I2" t="str">
        <f>B2&amp;" ["&amp;A2&amp;"]"</f>
        <v>INFLATABLE POLITICAL GLOBE [10002]</v>
      </c>
    </row>
    <row r="3" spans="1:9" x14ac:dyDescent="0.3">
      <c r="A3" s="1" t="s">
        <v>6249</v>
      </c>
      <c r="B3" t="s">
        <v>6248</v>
      </c>
      <c r="C3" s="1">
        <v>5.1150000000000002</v>
      </c>
      <c r="D3" s="1">
        <v>2</v>
      </c>
      <c r="E3" s="1">
        <v>2</v>
      </c>
      <c r="F3" s="1">
        <v>2</v>
      </c>
      <c r="G3" s="1">
        <v>20.57</v>
      </c>
      <c r="H3" s="1" t="s">
        <v>8</v>
      </c>
      <c r="I3" t="str">
        <f t="shared" ref="I3:I66" si="0">B3&amp;" ["&amp;A3&amp;"]"</f>
        <v>ROBOT PENCIL SHARPNER [10002R]</v>
      </c>
    </row>
    <row r="4" spans="1:9" x14ac:dyDescent="0.3">
      <c r="A4" s="1">
        <v>10080</v>
      </c>
      <c r="B4" t="s">
        <v>6247</v>
      </c>
      <c r="C4" s="1">
        <v>0.39</v>
      </c>
      <c r="D4" s="1">
        <v>6</v>
      </c>
      <c r="E4" s="2">
        <v>28.636363636363601</v>
      </c>
      <c r="F4" s="1">
        <v>11</v>
      </c>
      <c r="G4" s="1">
        <v>129.29</v>
      </c>
      <c r="H4" s="1" t="s">
        <v>8</v>
      </c>
      <c r="I4" t="str">
        <f t="shared" si="0"/>
        <v>GROOVY CACTUS INFLATABLE [10080]</v>
      </c>
    </row>
    <row r="5" spans="1:9" x14ac:dyDescent="0.3">
      <c r="A5" s="1">
        <v>10109</v>
      </c>
      <c r="B5" t="s">
        <v>6246</v>
      </c>
      <c r="C5" s="1">
        <v>0.42</v>
      </c>
      <c r="D5" s="1">
        <v>4</v>
      </c>
      <c r="E5" s="1">
        <v>4</v>
      </c>
      <c r="F5" s="1">
        <v>1</v>
      </c>
      <c r="G5" s="1">
        <v>1.68</v>
      </c>
      <c r="H5" s="1" t="s">
        <v>8</v>
      </c>
      <c r="I5" t="str">
        <f t="shared" si="0"/>
        <v>BENDY COLOUR PENCILS [10109]</v>
      </c>
    </row>
    <row r="6" spans="1:9" x14ac:dyDescent="0.3">
      <c r="A6" s="1">
        <v>10120</v>
      </c>
      <c r="B6" t="s">
        <v>6245</v>
      </c>
      <c r="C6" s="1">
        <v>0.21</v>
      </c>
      <c r="D6" s="1">
        <v>28</v>
      </c>
      <c r="E6" s="2">
        <v>31.619047619047599</v>
      </c>
      <c r="F6" s="1">
        <v>21</v>
      </c>
      <c r="G6" s="1">
        <v>142.74</v>
      </c>
      <c r="H6" s="1" t="s">
        <v>9</v>
      </c>
      <c r="I6" t="str">
        <f t="shared" si="0"/>
        <v>DOGGY RUBBER [10120]</v>
      </c>
    </row>
    <row r="7" spans="1:9" x14ac:dyDescent="0.3">
      <c r="A7" s="1" t="s">
        <v>6244</v>
      </c>
      <c r="B7" t="s">
        <v>6243</v>
      </c>
      <c r="C7" s="1">
        <v>0.65</v>
      </c>
      <c r="D7" s="1">
        <v>14.5</v>
      </c>
      <c r="E7" s="1">
        <v>25.5</v>
      </c>
      <c r="F7" s="1">
        <v>12</v>
      </c>
      <c r="G7" s="1">
        <v>200.1</v>
      </c>
      <c r="H7" s="1" t="s">
        <v>9</v>
      </c>
      <c r="I7" t="str">
        <f t="shared" si="0"/>
        <v>HEARTS WRAPPING TAPE [10123C]</v>
      </c>
    </row>
    <row r="8" spans="1:9" x14ac:dyDescent="0.3">
      <c r="A8" s="1" t="s">
        <v>6242</v>
      </c>
      <c r="B8" t="s">
        <v>6241</v>
      </c>
      <c r="C8" s="1">
        <v>0.65</v>
      </c>
      <c r="D8" s="1">
        <v>18</v>
      </c>
      <c r="E8" s="2">
        <v>13.6666666666666</v>
      </c>
      <c r="F8" s="1">
        <v>3</v>
      </c>
      <c r="G8" s="1">
        <v>29.68</v>
      </c>
      <c r="H8" s="1" t="s">
        <v>9</v>
      </c>
      <c r="I8" t="str">
        <f t="shared" si="0"/>
        <v>ARMY CAMO WRAPPING TAPE [10123G]</v>
      </c>
    </row>
    <row r="9" spans="1:9" x14ac:dyDescent="0.3">
      <c r="A9" s="1" t="s">
        <v>6240</v>
      </c>
      <c r="B9" t="s">
        <v>6239</v>
      </c>
      <c r="C9" s="1">
        <v>0.42</v>
      </c>
      <c r="D9" s="1">
        <v>3.5</v>
      </c>
      <c r="E9" s="2">
        <v>4.8333333333333304</v>
      </c>
      <c r="F9" s="1">
        <v>12</v>
      </c>
      <c r="G9" s="1">
        <v>24.36</v>
      </c>
      <c r="H9" s="1" t="s">
        <v>8</v>
      </c>
      <c r="I9" t="str">
        <f t="shared" si="0"/>
        <v>SPOTS ON RED BOOKCOVER TAPE [10124A]</v>
      </c>
    </row>
    <row r="10" spans="1:9" x14ac:dyDescent="0.3">
      <c r="A10" s="1" t="s">
        <v>6238</v>
      </c>
      <c r="B10" t="s">
        <v>6237</v>
      </c>
      <c r="C10" s="1">
        <v>0.42</v>
      </c>
      <c r="D10" s="1">
        <v>4</v>
      </c>
      <c r="E10" s="2">
        <v>3.6666666666666599</v>
      </c>
      <c r="F10" s="1">
        <v>9</v>
      </c>
      <c r="G10" s="1">
        <v>14.28</v>
      </c>
      <c r="H10" s="1" t="s">
        <v>8</v>
      </c>
      <c r="I10" t="str">
        <f t="shared" si="0"/>
        <v>ARMY CAMO BOOKCOVER TAPE [10124G]</v>
      </c>
    </row>
    <row r="11" spans="1:9" x14ac:dyDescent="0.3">
      <c r="A11" s="1">
        <v>10125</v>
      </c>
      <c r="B11" t="s">
        <v>6236</v>
      </c>
      <c r="C11" s="1">
        <v>0.85</v>
      </c>
      <c r="D11" s="1">
        <v>85</v>
      </c>
      <c r="E11" s="2">
        <v>91.434782608695599</v>
      </c>
      <c r="F11" s="1">
        <v>23</v>
      </c>
      <c r="G11" s="1">
        <v>1715.78</v>
      </c>
      <c r="H11" s="1" t="s">
        <v>10</v>
      </c>
      <c r="I11" t="str">
        <f t="shared" si="0"/>
        <v>MINI FUNKY DESIGN TAPES [10125]</v>
      </c>
    </row>
    <row r="12" spans="1:9" x14ac:dyDescent="0.3">
      <c r="A12" s="1">
        <v>10133</v>
      </c>
      <c r="B12" t="s">
        <v>6235</v>
      </c>
      <c r="C12" s="1">
        <v>0.85</v>
      </c>
      <c r="D12" s="1">
        <v>84.5</v>
      </c>
      <c r="E12" s="2">
        <v>174.40909090909</v>
      </c>
      <c r="F12" s="1">
        <v>22</v>
      </c>
      <c r="G12" s="1">
        <v>2373.2600000000002</v>
      </c>
      <c r="H12" s="1" t="s">
        <v>10</v>
      </c>
      <c r="I12" t="str">
        <f t="shared" si="0"/>
        <v>COLOURING PENCILS BROWN TUBE [10133]</v>
      </c>
    </row>
    <row r="13" spans="1:9" x14ac:dyDescent="0.3">
      <c r="A13" s="1">
        <v>10134</v>
      </c>
      <c r="B13" t="s">
        <v>6235</v>
      </c>
      <c r="C13" s="1">
        <v>1.25</v>
      </c>
      <c r="D13" s="1">
        <v>28</v>
      </c>
      <c r="E13" s="2">
        <v>52.0833333333333</v>
      </c>
      <c r="F13" s="1">
        <v>12</v>
      </c>
      <c r="G13" s="1">
        <v>721.13</v>
      </c>
      <c r="H13" s="1" t="s">
        <v>9</v>
      </c>
      <c r="I13" t="str">
        <f t="shared" si="0"/>
        <v>COLOURING PENCILS BROWN TUBE [10134]</v>
      </c>
    </row>
    <row r="14" spans="1:9" x14ac:dyDescent="0.3">
      <c r="A14" s="1">
        <v>10135</v>
      </c>
      <c r="B14" t="s">
        <v>6235</v>
      </c>
      <c r="C14" s="1">
        <v>1.25</v>
      </c>
      <c r="D14" s="1">
        <v>84</v>
      </c>
      <c r="E14" s="1">
        <v>169.04</v>
      </c>
      <c r="F14" s="1">
        <v>25</v>
      </c>
      <c r="G14" s="1">
        <v>4566.21</v>
      </c>
      <c r="H14" s="1" t="s">
        <v>10</v>
      </c>
      <c r="I14" t="str">
        <f t="shared" si="0"/>
        <v>COLOURING PENCILS BROWN TUBE [10135]</v>
      </c>
    </row>
    <row r="15" spans="1:9" x14ac:dyDescent="0.3">
      <c r="A15" s="1">
        <v>10138</v>
      </c>
      <c r="B15" t="s">
        <v>6234</v>
      </c>
      <c r="C15" s="1">
        <v>0.42</v>
      </c>
      <c r="D15" s="1">
        <v>21</v>
      </c>
      <c r="E15" s="1">
        <v>52.2</v>
      </c>
      <c r="F15" s="1">
        <v>5</v>
      </c>
      <c r="G15" s="1">
        <v>111.22</v>
      </c>
      <c r="H15" s="1" t="s">
        <v>9</v>
      </c>
      <c r="I15" t="str">
        <f t="shared" si="0"/>
        <v>ASSORTED COLOUR JUMBO PEN [10138]</v>
      </c>
    </row>
    <row r="16" spans="1:9" x14ac:dyDescent="0.3">
      <c r="A16" s="1">
        <v>11001</v>
      </c>
      <c r="B16" t="s">
        <v>6233</v>
      </c>
      <c r="C16" s="1">
        <v>1.69</v>
      </c>
      <c r="D16" s="1">
        <v>96</v>
      </c>
      <c r="E16" s="1">
        <v>193.16</v>
      </c>
      <c r="F16" s="1">
        <v>25</v>
      </c>
      <c r="G16" s="2">
        <v>7408.65</v>
      </c>
      <c r="H16" s="1" t="s">
        <v>10</v>
      </c>
      <c r="I16" t="str">
        <f t="shared" si="0"/>
        <v>ASSTD DESIGN RACING CAR PEN [11001]</v>
      </c>
    </row>
    <row r="17" spans="1:9" x14ac:dyDescent="0.3">
      <c r="A17" s="1">
        <v>15030</v>
      </c>
      <c r="B17" t="s">
        <v>6232</v>
      </c>
      <c r="C17" s="1">
        <v>0.28999999999999998</v>
      </c>
      <c r="D17" s="1">
        <v>10</v>
      </c>
      <c r="E17" s="2">
        <v>14.9411764705882</v>
      </c>
      <c r="F17" s="1">
        <v>17</v>
      </c>
      <c r="G17" s="1">
        <v>73.66</v>
      </c>
      <c r="H17" s="1" t="s">
        <v>8</v>
      </c>
      <c r="I17" t="str">
        <f t="shared" si="0"/>
        <v>FAN BLACK FRAME [15030]</v>
      </c>
    </row>
    <row r="18" spans="1:9" x14ac:dyDescent="0.3">
      <c r="A18" s="1">
        <v>15034</v>
      </c>
      <c r="B18" t="s">
        <v>6231</v>
      </c>
      <c r="C18" s="1">
        <v>0.16</v>
      </c>
      <c r="D18" s="1">
        <v>289.5</v>
      </c>
      <c r="E18" s="2">
        <v>446.27272727272702</v>
      </c>
      <c r="F18" s="1">
        <v>22</v>
      </c>
      <c r="G18" s="1">
        <v>1263.53</v>
      </c>
      <c r="H18" s="1" t="s">
        <v>10</v>
      </c>
      <c r="I18" t="str">
        <f t="shared" si="0"/>
        <v>PAPER POCKET TRAVELING FAN [15034]</v>
      </c>
    </row>
    <row r="19" spans="1:9" x14ac:dyDescent="0.3">
      <c r="A19" s="1">
        <v>15036</v>
      </c>
      <c r="B19" t="s">
        <v>6230</v>
      </c>
      <c r="C19" s="1">
        <v>0.75</v>
      </c>
      <c r="D19" s="1">
        <v>1427</v>
      </c>
      <c r="E19" s="1">
        <v>1770.88</v>
      </c>
      <c r="F19" s="1">
        <v>25</v>
      </c>
      <c r="G19" s="1">
        <v>32967.03</v>
      </c>
      <c r="H19" s="1" t="s">
        <v>10</v>
      </c>
      <c r="I19" t="str">
        <f t="shared" si="0"/>
        <v>ASSORTED COLOURS SILK FAN [15036]</v>
      </c>
    </row>
    <row r="20" spans="1:9" x14ac:dyDescent="0.3">
      <c r="A20" s="1">
        <v>15039</v>
      </c>
      <c r="B20" t="s">
        <v>6229</v>
      </c>
      <c r="C20" s="1">
        <v>0.97</v>
      </c>
      <c r="D20" s="1">
        <v>134</v>
      </c>
      <c r="E20" s="1">
        <v>204.04</v>
      </c>
      <c r="F20" s="1">
        <v>25</v>
      </c>
      <c r="G20" s="1">
        <v>4345.62</v>
      </c>
      <c r="H20" s="1" t="s">
        <v>10</v>
      </c>
      <c r="I20" t="str">
        <f t="shared" si="0"/>
        <v>SANDALWOOD FAN [15039]</v>
      </c>
    </row>
    <row r="21" spans="1:9" x14ac:dyDescent="0.3">
      <c r="A21" s="1" t="s">
        <v>6228</v>
      </c>
      <c r="B21" t="s">
        <v>6227</v>
      </c>
      <c r="C21" s="1">
        <v>3.11</v>
      </c>
      <c r="D21" s="1">
        <v>32</v>
      </c>
      <c r="E21" s="1">
        <v>198.56</v>
      </c>
      <c r="F21" s="1">
        <v>25</v>
      </c>
      <c r="G21" s="1">
        <v>13210.85</v>
      </c>
      <c r="H21" s="1" t="s">
        <v>9</v>
      </c>
      <c r="I21" t="str">
        <f t="shared" si="0"/>
        <v>PINK PAPER PARASOL [15044A]</v>
      </c>
    </row>
    <row r="22" spans="1:9" x14ac:dyDescent="0.3">
      <c r="A22" s="1" t="s">
        <v>6226</v>
      </c>
      <c r="B22" t="s">
        <v>6225</v>
      </c>
      <c r="C22" s="1">
        <v>2.95</v>
      </c>
      <c r="D22" s="1">
        <v>25</v>
      </c>
      <c r="E22" s="2">
        <v>79.523809523809504</v>
      </c>
      <c r="F22" s="1">
        <v>21</v>
      </c>
      <c r="G22" s="1">
        <v>4644.13</v>
      </c>
      <c r="H22" s="1" t="s">
        <v>9</v>
      </c>
      <c r="I22" t="str">
        <f t="shared" si="0"/>
        <v>BLUE PAPER PARASOL [15044B]</v>
      </c>
    </row>
    <row r="23" spans="1:9" x14ac:dyDescent="0.3">
      <c r="A23" s="1" t="s">
        <v>6224</v>
      </c>
      <c r="B23" t="s">
        <v>6223</v>
      </c>
      <c r="C23" s="1">
        <v>3.22</v>
      </c>
      <c r="D23" s="1">
        <v>17</v>
      </c>
      <c r="E23" s="1">
        <v>38.68</v>
      </c>
      <c r="F23" s="1">
        <v>25</v>
      </c>
      <c r="G23" s="2">
        <v>3027.2599999999902</v>
      </c>
      <c r="H23" s="1" t="s">
        <v>9</v>
      </c>
      <c r="I23" t="str">
        <f t="shared" si="0"/>
        <v>PURPLE PAPER PARASOL [15044C]</v>
      </c>
    </row>
    <row r="24" spans="1:9" x14ac:dyDescent="0.3">
      <c r="A24" s="1" t="s">
        <v>6222</v>
      </c>
      <c r="B24" t="s">
        <v>6221</v>
      </c>
      <c r="C24" s="1">
        <v>3.03</v>
      </c>
      <c r="D24" s="1">
        <v>35</v>
      </c>
      <c r="E24" s="1">
        <v>63.84</v>
      </c>
      <c r="F24" s="1">
        <v>25</v>
      </c>
      <c r="G24" s="1">
        <v>4559.6499999999996</v>
      </c>
      <c r="H24" s="1" t="s">
        <v>9</v>
      </c>
      <c r="I24" t="str">
        <f t="shared" si="0"/>
        <v>RED PAPER PARASOL [15044D]</v>
      </c>
    </row>
    <row r="25" spans="1:9" x14ac:dyDescent="0.3">
      <c r="A25" s="1" t="s">
        <v>6220</v>
      </c>
      <c r="B25" t="s">
        <v>6216</v>
      </c>
      <c r="C25" s="1">
        <v>5.5</v>
      </c>
      <c r="D25" s="1">
        <v>205</v>
      </c>
      <c r="E25" s="1">
        <v>380.16</v>
      </c>
      <c r="F25" s="1">
        <v>25</v>
      </c>
      <c r="G25" s="1">
        <v>47267.45</v>
      </c>
      <c r="H25" s="1" t="s">
        <v>10</v>
      </c>
      <c r="I25" t="str">
        <f t="shared" si="0"/>
        <v>EDWARDIAN PARASOL BLACK [15056BL]</v>
      </c>
    </row>
    <row r="26" spans="1:9" x14ac:dyDescent="0.3">
      <c r="A26" s="1" t="s">
        <v>6219</v>
      </c>
      <c r="B26" t="s">
        <v>6214</v>
      </c>
      <c r="C26" s="1">
        <v>5.58</v>
      </c>
      <c r="D26" s="1">
        <v>402</v>
      </c>
      <c r="E26" s="1">
        <v>451.44</v>
      </c>
      <c r="F26" s="1">
        <v>25</v>
      </c>
      <c r="G26" s="1">
        <v>57975.45</v>
      </c>
      <c r="H26" s="1" t="s">
        <v>10</v>
      </c>
      <c r="I26" t="str">
        <f t="shared" si="0"/>
        <v>EDWARDIAN PARASOL NATURAL [15056N]</v>
      </c>
    </row>
    <row r="27" spans="1:9" x14ac:dyDescent="0.3">
      <c r="A27" s="1" t="s">
        <v>6218</v>
      </c>
      <c r="B27" t="s">
        <v>6212</v>
      </c>
      <c r="C27" s="1">
        <v>5.75</v>
      </c>
      <c r="D27" s="1">
        <v>60</v>
      </c>
      <c r="E27" s="1">
        <v>98.92</v>
      </c>
      <c r="F27" s="1">
        <v>25</v>
      </c>
      <c r="G27" s="1">
        <v>12228.92</v>
      </c>
      <c r="H27" s="1" t="s">
        <v>9</v>
      </c>
      <c r="I27" t="str">
        <f t="shared" si="0"/>
        <v>EDWARDIAN PARASOL PINK [15056P]</v>
      </c>
    </row>
    <row r="28" spans="1:9" x14ac:dyDescent="0.3">
      <c r="A28" s="1" t="s">
        <v>6217</v>
      </c>
      <c r="B28" t="s">
        <v>6216</v>
      </c>
      <c r="C28" s="1">
        <v>12.46</v>
      </c>
      <c r="D28" s="1">
        <v>5.5</v>
      </c>
      <c r="E28" s="1">
        <v>5.8</v>
      </c>
      <c r="F28" s="1">
        <v>20</v>
      </c>
      <c r="G28" s="1">
        <v>1456.32</v>
      </c>
      <c r="H28" s="1" t="s">
        <v>8</v>
      </c>
      <c r="I28" t="str">
        <f t="shared" si="0"/>
        <v>EDWARDIAN PARASOL BLACK [15056bl]</v>
      </c>
    </row>
    <row r="29" spans="1:9" x14ac:dyDescent="0.3">
      <c r="A29" s="1" t="s">
        <v>6215</v>
      </c>
      <c r="B29" t="s">
        <v>6214</v>
      </c>
      <c r="C29" s="1">
        <v>12.46</v>
      </c>
      <c r="D29" s="1">
        <v>10</v>
      </c>
      <c r="E29" s="2">
        <v>10.176470588235199</v>
      </c>
      <c r="F29" s="1">
        <v>17</v>
      </c>
      <c r="G29" s="1">
        <v>2170.4</v>
      </c>
      <c r="H29" s="1" t="s">
        <v>8</v>
      </c>
      <c r="I29" t="str">
        <f t="shared" si="0"/>
        <v>EDWARDIAN PARASOL NATURAL [15056n]</v>
      </c>
    </row>
    <row r="30" spans="1:9" x14ac:dyDescent="0.3">
      <c r="A30" s="1" t="s">
        <v>6213</v>
      </c>
      <c r="B30" t="s">
        <v>6212</v>
      </c>
      <c r="C30" s="1">
        <v>12.46</v>
      </c>
      <c r="D30" s="1">
        <v>2</v>
      </c>
      <c r="E30" s="2">
        <v>2.55555555555555</v>
      </c>
      <c r="F30" s="1">
        <v>18</v>
      </c>
      <c r="G30" s="1">
        <v>577.84</v>
      </c>
      <c r="H30" s="1" t="s">
        <v>8</v>
      </c>
      <c r="I30" t="str">
        <f t="shared" si="0"/>
        <v>EDWARDIAN PARASOL PINK [15056p]</v>
      </c>
    </row>
    <row r="31" spans="1:9" x14ac:dyDescent="0.3">
      <c r="A31" s="1" t="s">
        <v>6211</v>
      </c>
      <c r="B31" t="s">
        <v>6210</v>
      </c>
      <c r="C31" s="2">
        <v>7.9949999999999903</v>
      </c>
      <c r="D31" s="1">
        <v>10</v>
      </c>
      <c r="E31" s="2">
        <v>26.4444444444444</v>
      </c>
      <c r="F31" s="1">
        <v>18</v>
      </c>
      <c r="G31" s="1">
        <v>3153.73</v>
      </c>
      <c r="H31" s="1" t="s">
        <v>8</v>
      </c>
      <c r="I31" t="str">
        <f t="shared" si="0"/>
        <v>BLUE WHITE SPOTS GARDEN PARASOL [15058A]</v>
      </c>
    </row>
    <row r="32" spans="1:9" x14ac:dyDescent="0.3">
      <c r="A32" s="1" t="s">
        <v>6209</v>
      </c>
      <c r="B32" t="s">
        <v>6208</v>
      </c>
      <c r="C32" s="1">
        <v>7.95</v>
      </c>
      <c r="D32" s="1">
        <v>8</v>
      </c>
      <c r="E32" s="1">
        <v>23</v>
      </c>
      <c r="F32" s="1">
        <v>19</v>
      </c>
      <c r="G32" s="1">
        <v>3302.71</v>
      </c>
      <c r="H32" s="1" t="s">
        <v>8</v>
      </c>
      <c r="I32" t="str">
        <f t="shared" si="0"/>
        <v>PINK WHITE SPOTS GARDEN PARASOL [15058B]</v>
      </c>
    </row>
    <row r="33" spans="1:9" x14ac:dyDescent="0.3">
      <c r="A33" s="1" t="s">
        <v>6207</v>
      </c>
      <c r="B33" t="s">
        <v>6206</v>
      </c>
      <c r="C33" s="1">
        <v>7.95</v>
      </c>
      <c r="D33" s="1">
        <v>7.5</v>
      </c>
      <c r="E33" s="1">
        <v>23.5</v>
      </c>
      <c r="F33" s="1">
        <v>20</v>
      </c>
      <c r="G33" s="1">
        <v>2753.72</v>
      </c>
      <c r="H33" s="1" t="s">
        <v>8</v>
      </c>
      <c r="I33" t="str">
        <f t="shared" si="0"/>
        <v>ICE CREAM DESIGN GARDEN PARASOL [15058C]</v>
      </c>
    </row>
    <row r="34" spans="1:9" x14ac:dyDescent="0.3">
      <c r="A34" s="1" t="s">
        <v>6205</v>
      </c>
      <c r="B34" t="s">
        <v>6204</v>
      </c>
      <c r="C34" s="1">
        <v>3.08</v>
      </c>
      <c r="D34" s="1">
        <v>509</v>
      </c>
      <c r="E34" s="1">
        <v>509</v>
      </c>
      <c r="F34" s="1">
        <v>1</v>
      </c>
      <c r="G34" s="1">
        <v>1567</v>
      </c>
      <c r="H34" s="1" t="s">
        <v>10</v>
      </c>
      <c r="I34" t="str">
        <f t="shared" si="0"/>
        <v>ENGLISH ROSE EDWARDIAN PARASOL [15059A]</v>
      </c>
    </row>
    <row r="35" spans="1:9" x14ac:dyDescent="0.3">
      <c r="A35" s="1" t="s">
        <v>6203</v>
      </c>
      <c r="B35" t="s">
        <v>6201</v>
      </c>
      <c r="C35" s="1">
        <v>4.375</v>
      </c>
      <c r="D35" s="1">
        <v>51.5</v>
      </c>
      <c r="E35" s="2">
        <v>58.9166666666666</v>
      </c>
      <c r="F35" s="1">
        <v>24</v>
      </c>
      <c r="G35" s="2">
        <v>6444.98</v>
      </c>
      <c r="H35" s="1" t="s">
        <v>9</v>
      </c>
      <c r="I35" t="str">
        <f t="shared" si="0"/>
        <v>FAIRY CAKE DESIGN UMBRELLA [15060B]</v>
      </c>
    </row>
    <row r="36" spans="1:9" x14ac:dyDescent="0.3">
      <c r="A36" s="1" t="s">
        <v>6202</v>
      </c>
      <c r="B36" t="s">
        <v>6201</v>
      </c>
      <c r="C36" s="1">
        <v>8.2899999999999991</v>
      </c>
      <c r="D36" s="1">
        <v>1</v>
      </c>
      <c r="E36" s="1">
        <v>1</v>
      </c>
      <c r="F36" s="1">
        <v>5</v>
      </c>
      <c r="G36" s="1">
        <v>41.81</v>
      </c>
      <c r="H36" s="1" t="s">
        <v>8</v>
      </c>
      <c r="I36" t="str">
        <f t="shared" si="0"/>
        <v>FAIRY CAKE DESIGN UMBRELLA [15060b]</v>
      </c>
    </row>
    <row r="37" spans="1:9" x14ac:dyDescent="0.3">
      <c r="A37" s="1">
        <v>16008</v>
      </c>
      <c r="B37" t="s">
        <v>6200</v>
      </c>
      <c r="C37" s="1">
        <v>0.25</v>
      </c>
      <c r="D37" s="1">
        <v>72</v>
      </c>
      <c r="E37" s="2">
        <v>184.76470588235199</v>
      </c>
      <c r="F37" s="1">
        <v>17</v>
      </c>
      <c r="G37" s="1">
        <v>422.96</v>
      </c>
      <c r="H37" s="1" t="s">
        <v>10</v>
      </c>
      <c r="I37" t="str">
        <f t="shared" si="0"/>
        <v>SMALL FOLDING SCISSOR(POINTED EDGE) [16008]</v>
      </c>
    </row>
    <row r="38" spans="1:9" x14ac:dyDescent="0.3">
      <c r="A38" s="1">
        <v>16010</v>
      </c>
      <c r="B38" t="s">
        <v>6199</v>
      </c>
      <c r="C38" s="1">
        <v>0.12</v>
      </c>
      <c r="D38" s="1">
        <v>9</v>
      </c>
      <c r="E38" s="1">
        <v>8</v>
      </c>
      <c r="F38" s="1">
        <v>4</v>
      </c>
      <c r="G38" s="1">
        <v>3.84</v>
      </c>
      <c r="H38" s="1" t="s">
        <v>8</v>
      </c>
      <c r="I38" t="str">
        <f t="shared" si="0"/>
        <v>FOLDING CAMPING SCISSOR W/KNIF &amp; S [16010]</v>
      </c>
    </row>
    <row r="39" spans="1:9" x14ac:dyDescent="0.3">
      <c r="A39" s="1">
        <v>16011</v>
      </c>
      <c r="B39" t="s">
        <v>6198</v>
      </c>
      <c r="C39" s="1">
        <v>0.21</v>
      </c>
      <c r="D39" s="1">
        <v>147</v>
      </c>
      <c r="E39" s="1">
        <v>152.47999999999999</v>
      </c>
      <c r="F39" s="1">
        <v>24</v>
      </c>
      <c r="G39" s="1">
        <v>799.32</v>
      </c>
      <c r="H39" s="1" t="s">
        <v>10</v>
      </c>
      <c r="I39" t="str">
        <f t="shared" si="0"/>
        <v>ANIMAL STICKERS [16011]</v>
      </c>
    </row>
    <row r="40" spans="1:9" x14ac:dyDescent="0.3">
      <c r="A40" s="1">
        <v>16012</v>
      </c>
      <c r="B40" t="s">
        <v>6197</v>
      </c>
      <c r="C40" s="1">
        <v>0.21</v>
      </c>
      <c r="D40" s="1">
        <v>84</v>
      </c>
      <c r="E40" s="2">
        <v>131.863636363636</v>
      </c>
      <c r="F40" s="1">
        <v>22</v>
      </c>
      <c r="G40" s="1">
        <v>608.01</v>
      </c>
      <c r="H40" s="1" t="s">
        <v>10</v>
      </c>
      <c r="I40" t="str">
        <f t="shared" si="0"/>
        <v>FOOD/DRINK SPUNGE STICKERS [16012]</v>
      </c>
    </row>
    <row r="41" spans="1:9" x14ac:dyDescent="0.3">
      <c r="A41" s="1">
        <v>16014</v>
      </c>
      <c r="B41" t="s">
        <v>6196</v>
      </c>
      <c r="C41" s="1">
        <v>0.33</v>
      </c>
      <c r="D41" s="1">
        <v>786</v>
      </c>
      <c r="E41" s="1">
        <v>1223.125</v>
      </c>
      <c r="F41" s="1">
        <v>24</v>
      </c>
      <c r="G41" s="1">
        <v>9513.1</v>
      </c>
      <c r="H41" s="1" t="s">
        <v>10</v>
      </c>
      <c r="I41" t="str">
        <f t="shared" si="0"/>
        <v>SMALL CHINESE STYLE SCISSOR [16014]</v>
      </c>
    </row>
    <row r="42" spans="1:9" x14ac:dyDescent="0.3">
      <c r="A42" s="1">
        <v>16015</v>
      </c>
      <c r="B42" t="s">
        <v>6195</v>
      </c>
      <c r="C42" s="1">
        <v>0.5</v>
      </c>
      <c r="D42" s="1">
        <v>43</v>
      </c>
      <c r="E42" s="2">
        <v>74.857142857142804</v>
      </c>
      <c r="F42" s="1">
        <v>21</v>
      </c>
      <c r="G42" s="1">
        <v>711.38</v>
      </c>
      <c r="H42" s="1" t="s">
        <v>9</v>
      </c>
      <c r="I42" t="str">
        <f t="shared" si="0"/>
        <v>MEDIUM CHINESE STYLE SCISSOR [16015]</v>
      </c>
    </row>
    <row r="43" spans="1:9" x14ac:dyDescent="0.3">
      <c r="A43" s="1">
        <v>16016</v>
      </c>
      <c r="B43" t="s">
        <v>6194</v>
      </c>
      <c r="C43" s="1">
        <v>0.85</v>
      </c>
      <c r="D43" s="1">
        <v>60</v>
      </c>
      <c r="E43" s="1">
        <v>92.56</v>
      </c>
      <c r="F43" s="1">
        <v>25</v>
      </c>
      <c r="G43" s="1">
        <v>1870.7</v>
      </c>
      <c r="H43" s="1" t="s">
        <v>9</v>
      </c>
      <c r="I43" t="str">
        <f t="shared" si="0"/>
        <v>LARGE CHINESE STYLE SCISSOR [16016]</v>
      </c>
    </row>
    <row r="44" spans="1:9" x14ac:dyDescent="0.3">
      <c r="A44" s="1" t="s">
        <v>6193</v>
      </c>
      <c r="B44" t="s">
        <v>6192</v>
      </c>
      <c r="C44" s="1">
        <v>0.85</v>
      </c>
      <c r="D44" s="1">
        <v>5.5</v>
      </c>
      <c r="E44" s="2">
        <v>11.4285714285714</v>
      </c>
      <c r="F44" s="1">
        <v>14</v>
      </c>
      <c r="G44" s="1">
        <v>134.5</v>
      </c>
      <c r="H44" s="1" t="s">
        <v>8</v>
      </c>
      <c r="I44" t="str">
        <f t="shared" si="0"/>
        <v>CLEAR STATIONERY BOX SET [16020C]</v>
      </c>
    </row>
    <row r="45" spans="1:9" x14ac:dyDescent="0.3">
      <c r="A45" s="1">
        <v>16033</v>
      </c>
      <c r="B45" t="s">
        <v>6191</v>
      </c>
      <c r="C45" s="1">
        <v>0.12</v>
      </c>
      <c r="D45" s="1">
        <v>600</v>
      </c>
      <c r="E45" s="2">
        <v>1008.06666666666</v>
      </c>
      <c r="F45" s="1">
        <v>15</v>
      </c>
      <c r="G45" s="1">
        <v>1544.52</v>
      </c>
      <c r="H45" s="1" t="s">
        <v>10</v>
      </c>
      <c r="I45" t="str">
        <f t="shared" si="0"/>
        <v>MINI HIGHLIGHTER PENS [16033]</v>
      </c>
    </row>
    <row r="46" spans="1:9" x14ac:dyDescent="0.3">
      <c r="A46" s="1">
        <v>16043</v>
      </c>
      <c r="B46" t="s">
        <v>6190</v>
      </c>
      <c r="C46" s="1">
        <v>0.42</v>
      </c>
      <c r="D46" s="1">
        <v>24</v>
      </c>
      <c r="E46" s="2">
        <v>32.142857142857103</v>
      </c>
      <c r="F46" s="1">
        <v>7</v>
      </c>
      <c r="G46" s="1">
        <v>65.099999999999994</v>
      </c>
      <c r="H46" s="1" t="s">
        <v>9</v>
      </c>
      <c r="I46" t="str">
        <f t="shared" si="0"/>
        <v>POP ART PUSH DOWN RUBBER [16043]</v>
      </c>
    </row>
    <row r="47" spans="1:9" x14ac:dyDescent="0.3">
      <c r="A47" s="1">
        <v>16044</v>
      </c>
      <c r="B47" t="s">
        <v>6189</v>
      </c>
      <c r="C47" s="1">
        <v>0.42</v>
      </c>
      <c r="D47" s="1">
        <v>48</v>
      </c>
      <c r="E47" s="1">
        <v>48</v>
      </c>
      <c r="F47" s="1">
        <v>1</v>
      </c>
      <c r="G47" s="1">
        <v>20.16</v>
      </c>
      <c r="H47" s="1" t="s">
        <v>9</v>
      </c>
      <c r="I47" t="str">
        <f t="shared" si="0"/>
        <v>POP-ART FLUORESCENT PENS [16044]</v>
      </c>
    </row>
    <row r="48" spans="1:9" x14ac:dyDescent="0.3">
      <c r="A48" s="1">
        <v>16045</v>
      </c>
      <c r="B48" t="s">
        <v>6188</v>
      </c>
      <c r="C48" s="1">
        <v>0.08</v>
      </c>
      <c r="D48" s="1">
        <v>200</v>
      </c>
      <c r="E48" s="2">
        <v>665.142857142857</v>
      </c>
      <c r="F48" s="1">
        <v>14</v>
      </c>
      <c r="G48" s="1">
        <v>429.44</v>
      </c>
      <c r="H48" s="1" t="s">
        <v>10</v>
      </c>
      <c r="I48" t="str">
        <f t="shared" si="0"/>
        <v>POPART WOODEN PENCILS ASST [16045]</v>
      </c>
    </row>
    <row r="49" spans="1:9" x14ac:dyDescent="0.3">
      <c r="A49" s="1">
        <v>16046</v>
      </c>
      <c r="B49" t="s">
        <v>6187</v>
      </c>
      <c r="C49" s="1">
        <v>0.85</v>
      </c>
      <c r="D49" s="1">
        <v>6</v>
      </c>
      <c r="E49" s="1">
        <v>41.15</v>
      </c>
      <c r="F49" s="1">
        <v>20</v>
      </c>
      <c r="G49" s="2">
        <v>470.96</v>
      </c>
      <c r="H49" s="1" t="s">
        <v>8</v>
      </c>
      <c r="I49" t="str">
        <f t="shared" si="0"/>
        <v>TEATIME PEN CASE &amp; PENS [16046]</v>
      </c>
    </row>
    <row r="50" spans="1:9" x14ac:dyDescent="0.3">
      <c r="A50" s="1">
        <v>16047</v>
      </c>
      <c r="B50" t="s">
        <v>6186</v>
      </c>
      <c r="C50" s="1">
        <v>0.86499999999999999</v>
      </c>
      <c r="D50" s="1">
        <v>17</v>
      </c>
      <c r="E50" s="1">
        <v>27.75</v>
      </c>
      <c r="F50" s="1">
        <v>8</v>
      </c>
      <c r="G50" s="1">
        <v>206.56</v>
      </c>
      <c r="H50" s="1" t="s">
        <v>9</v>
      </c>
      <c r="I50" t="str">
        <f t="shared" si="0"/>
        <v>POP ART PEN CASE &amp; PENS [16047]</v>
      </c>
    </row>
    <row r="51" spans="1:9" x14ac:dyDescent="0.3">
      <c r="A51" s="1">
        <v>16048</v>
      </c>
      <c r="B51" t="s">
        <v>6185</v>
      </c>
      <c r="C51" s="1">
        <v>0.14000000000000001</v>
      </c>
      <c r="D51" s="1">
        <v>125</v>
      </c>
      <c r="E51" s="2">
        <v>184.444444444444</v>
      </c>
      <c r="F51" s="1">
        <v>18</v>
      </c>
      <c r="G51" s="1">
        <v>470.36</v>
      </c>
      <c r="H51" s="1" t="s">
        <v>10</v>
      </c>
      <c r="I51" t="str">
        <f t="shared" si="0"/>
        <v>TEATIME ROUND PENCIL SHARPENER [16048]</v>
      </c>
    </row>
    <row r="52" spans="1:9" x14ac:dyDescent="0.3">
      <c r="A52" s="1">
        <v>16049</v>
      </c>
      <c r="B52" t="s">
        <v>6184</v>
      </c>
      <c r="C52" s="1">
        <v>0.17</v>
      </c>
      <c r="D52" s="1">
        <v>434</v>
      </c>
      <c r="E52" s="2">
        <v>409.85714285714198</v>
      </c>
      <c r="F52" s="1">
        <v>7</v>
      </c>
      <c r="G52" s="1">
        <v>434.48</v>
      </c>
      <c r="H52" s="1" t="s">
        <v>10</v>
      </c>
      <c r="I52" t="str">
        <f t="shared" si="0"/>
        <v>TEATIME GEL PENS ASST [16049]</v>
      </c>
    </row>
    <row r="53" spans="1:9" x14ac:dyDescent="0.3">
      <c r="A53" s="1">
        <v>16050</v>
      </c>
      <c r="B53" t="s">
        <v>6183</v>
      </c>
      <c r="C53" s="1">
        <v>0.31</v>
      </c>
      <c r="D53" s="1">
        <v>28</v>
      </c>
      <c r="E53" s="2">
        <v>50.3333333333333</v>
      </c>
      <c r="F53" s="1">
        <v>3</v>
      </c>
      <c r="G53" s="1">
        <v>46.45</v>
      </c>
      <c r="H53" s="1" t="s">
        <v>9</v>
      </c>
      <c r="I53" t="str">
        <f t="shared" si="0"/>
        <v>TEATIME PENCIL WITH RUBBER [16050]</v>
      </c>
    </row>
    <row r="54" spans="1:9" x14ac:dyDescent="0.3">
      <c r="A54" s="1">
        <v>16051</v>
      </c>
      <c r="B54" t="s">
        <v>6182</v>
      </c>
      <c r="C54" s="1">
        <v>0.435</v>
      </c>
      <c r="D54" s="1">
        <v>37.5</v>
      </c>
      <c r="E54" s="1">
        <v>37.5</v>
      </c>
      <c r="F54" s="1">
        <v>2</v>
      </c>
      <c r="G54" s="1">
        <v>32.729999999999997</v>
      </c>
      <c r="H54" s="1" t="s">
        <v>9</v>
      </c>
      <c r="I54" t="str">
        <f t="shared" si="0"/>
        <v>TEATIME PENCIL W STAMP ASST [16051]</v>
      </c>
    </row>
    <row r="55" spans="1:9" x14ac:dyDescent="0.3">
      <c r="A55" s="1">
        <v>16052</v>
      </c>
      <c r="B55" t="s">
        <v>6181</v>
      </c>
      <c r="C55" s="1">
        <v>0.45</v>
      </c>
      <c r="D55" s="1">
        <v>30</v>
      </c>
      <c r="E55" s="2">
        <v>56.533333333333303</v>
      </c>
      <c r="F55" s="1">
        <v>15</v>
      </c>
      <c r="G55" s="1">
        <v>281.32</v>
      </c>
      <c r="H55" s="1" t="s">
        <v>9</v>
      </c>
      <c r="I55" t="str">
        <f t="shared" si="0"/>
        <v>TEATIME PUSH DOWN RUBBER [16052]</v>
      </c>
    </row>
    <row r="56" spans="1:9" x14ac:dyDescent="0.3">
      <c r="A56" s="1">
        <v>16053</v>
      </c>
      <c r="B56" t="s">
        <v>6180</v>
      </c>
      <c r="C56" s="1">
        <v>0.21</v>
      </c>
      <c r="D56" s="1">
        <v>50</v>
      </c>
      <c r="E56" s="2">
        <v>52.1666666666666</v>
      </c>
      <c r="F56" s="1">
        <v>6</v>
      </c>
      <c r="G56" s="1">
        <v>65.73</v>
      </c>
      <c r="H56" s="1" t="s">
        <v>9</v>
      </c>
      <c r="I56" t="str">
        <f t="shared" si="0"/>
        <v>POPART COL BALLPOINT PEN ASST [16053]</v>
      </c>
    </row>
    <row r="57" spans="1:9" x14ac:dyDescent="0.3">
      <c r="A57" s="1">
        <v>16054</v>
      </c>
      <c r="B57" t="s">
        <v>6179</v>
      </c>
      <c r="C57" s="1">
        <v>0.12</v>
      </c>
      <c r="D57" s="1">
        <v>110</v>
      </c>
      <c r="E57" s="2">
        <v>166.28571428571399</v>
      </c>
      <c r="F57" s="1">
        <v>7</v>
      </c>
      <c r="G57" s="1">
        <v>139.68</v>
      </c>
      <c r="H57" s="1" t="s">
        <v>10</v>
      </c>
      <c r="I57" t="str">
        <f t="shared" si="0"/>
        <v>POPART RECT PENCIL SHARPENER ASST [16054]</v>
      </c>
    </row>
    <row r="58" spans="1:9" x14ac:dyDescent="0.3">
      <c r="A58" s="1">
        <v>16119</v>
      </c>
      <c r="B58" t="s">
        <v>6178</v>
      </c>
      <c r="C58" s="1">
        <v>0.48</v>
      </c>
      <c r="D58" s="1">
        <v>273</v>
      </c>
      <c r="E58" s="1">
        <v>273</v>
      </c>
      <c r="F58" s="1">
        <v>1</v>
      </c>
      <c r="G58" s="1">
        <v>130.71</v>
      </c>
      <c r="H58" s="1" t="s">
        <v>10</v>
      </c>
      <c r="I58" t="str">
        <f t="shared" si="0"/>
        <v>FUNKY GIRL ADDRESS BOOK [16119]</v>
      </c>
    </row>
    <row r="59" spans="1:9" x14ac:dyDescent="0.3">
      <c r="A59" s="1" t="s">
        <v>6177</v>
      </c>
      <c r="B59" t="s">
        <v>6176</v>
      </c>
      <c r="C59" s="1">
        <v>3.75</v>
      </c>
      <c r="D59" s="1">
        <v>2</v>
      </c>
      <c r="E59" s="2">
        <v>17.3333333333333</v>
      </c>
      <c r="F59" s="1">
        <v>3</v>
      </c>
      <c r="G59" s="1">
        <v>72.5</v>
      </c>
      <c r="H59" s="1" t="s">
        <v>8</v>
      </c>
      <c r="I59" t="str">
        <f t="shared" si="0"/>
        <v>FLOWER DES BLUE HANDBAG/ORANG HANDL [16151A]</v>
      </c>
    </row>
    <row r="60" spans="1:9" x14ac:dyDescent="0.3">
      <c r="A60" s="1" t="s">
        <v>6175</v>
      </c>
      <c r="B60" t="s">
        <v>6174</v>
      </c>
      <c r="C60" s="1">
        <v>0.42</v>
      </c>
      <c r="D60" s="1">
        <v>50</v>
      </c>
      <c r="E60" s="1">
        <v>47.5</v>
      </c>
      <c r="F60" s="1">
        <v>19</v>
      </c>
      <c r="G60" s="1">
        <v>399</v>
      </c>
      <c r="H60" s="1" t="s">
        <v>9</v>
      </c>
      <c r="I60" t="str">
        <f t="shared" si="0"/>
        <v>WRAP, CAROUSEL [16156L]</v>
      </c>
    </row>
    <row r="61" spans="1:9" x14ac:dyDescent="0.3">
      <c r="A61" s="1" t="s">
        <v>6173</v>
      </c>
      <c r="B61" t="s">
        <v>6172</v>
      </c>
      <c r="C61" s="1">
        <v>0.42</v>
      </c>
      <c r="D61" s="1">
        <v>225</v>
      </c>
      <c r="E61" s="2">
        <v>210.71428571428501</v>
      </c>
      <c r="F61" s="1">
        <v>7</v>
      </c>
      <c r="G61" s="1">
        <v>619.5</v>
      </c>
      <c r="H61" s="1" t="s">
        <v>10</v>
      </c>
      <c r="I61" t="str">
        <f t="shared" si="0"/>
        <v>WRAP, FRIENDSHIP ON GREEN [16156N]</v>
      </c>
    </row>
    <row r="62" spans="1:9" x14ac:dyDescent="0.3">
      <c r="A62" s="1" t="s">
        <v>6171</v>
      </c>
      <c r="B62" t="s">
        <v>6170</v>
      </c>
      <c r="C62" s="1">
        <v>0.4</v>
      </c>
      <c r="D62" s="1">
        <v>675</v>
      </c>
      <c r="E62" s="1">
        <v>666.44</v>
      </c>
      <c r="F62" s="1">
        <v>25</v>
      </c>
      <c r="G62" s="1">
        <v>6558.62</v>
      </c>
      <c r="H62" s="1" t="s">
        <v>10</v>
      </c>
      <c r="I62" t="str">
        <f t="shared" si="0"/>
        <v>WRAP PINK FAIRY CAKES [16156S]</v>
      </c>
    </row>
    <row r="63" spans="1:9" x14ac:dyDescent="0.3">
      <c r="A63" s="1" t="s">
        <v>6169</v>
      </c>
      <c r="B63" t="s">
        <v>6168</v>
      </c>
      <c r="C63" s="1">
        <v>0.1</v>
      </c>
      <c r="D63" s="1">
        <v>450</v>
      </c>
      <c r="E63" s="1">
        <v>450</v>
      </c>
      <c r="F63" s="1">
        <v>1</v>
      </c>
      <c r="G63" s="1">
        <v>45</v>
      </c>
      <c r="H63" s="1" t="s">
        <v>10</v>
      </c>
      <c r="I63" t="str">
        <f t="shared" si="0"/>
        <v>WRAP SPEED DEMONS [16161C]</v>
      </c>
    </row>
    <row r="64" spans="1:9" x14ac:dyDescent="0.3">
      <c r="A64" s="1" t="s">
        <v>6167</v>
      </c>
      <c r="B64" t="s">
        <v>6166</v>
      </c>
      <c r="C64" s="1">
        <v>0.1</v>
      </c>
      <c r="D64" s="1">
        <v>100</v>
      </c>
      <c r="E64" s="1">
        <v>250</v>
      </c>
      <c r="F64" s="1">
        <v>3</v>
      </c>
      <c r="G64" s="1">
        <v>75</v>
      </c>
      <c r="H64" s="1" t="s">
        <v>10</v>
      </c>
      <c r="I64" t="str">
        <f t="shared" si="0"/>
        <v>WRAP BOUDOIR [16161E]</v>
      </c>
    </row>
    <row r="65" spans="1:9" x14ac:dyDescent="0.3">
      <c r="A65" s="1" t="s">
        <v>6165</v>
      </c>
      <c r="B65" t="s">
        <v>6164</v>
      </c>
      <c r="C65" s="1">
        <v>0.1</v>
      </c>
      <c r="D65" s="1">
        <v>25</v>
      </c>
      <c r="E65" s="2">
        <v>57.352941176470502</v>
      </c>
      <c r="F65" s="1">
        <v>17</v>
      </c>
      <c r="G65" s="1">
        <v>97.5</v>
      </c>
      <c r="H65" s="1" t="s">
        <v>9</v>
      </c>
      <c r="I65" t="str">
        <f t="shared" si="0"/>
        <v>WRAP BAD HAIR DAY [16161G]</v>
      </c>
    </row>
    <row r="66" spans="1:9" x14ac:dyDescent="0.3">
      <c r="A66" s="1" t="s">
        <v>6163</v>
      </c>
      <c r="B66" t="s">
        <v>6162</v>
      </c>
      <c r="C66" s="1">
        <v>0.42</v>
      </c>
      <c r="D66" s="1">
        <v>75</v>
      </c>
      <c r="E66" s="1">
        <v>87.5</v>
      </c>
      <c r="F66" s="1">
        <v>12</v>
      </c>
      <c r="G66" s="1">
        <v>439</v>
      </c>
      <c r="H66" s="1" t="s">
        <v>10</v>
      </c>
      <c r="I66" t="str">
        <f t="shared" si="0"/>
        <v>WRAP  PINK FLOCK [16161M]</v>
      </c>
    </row>
    <row r="67" spans="1:9" x14ac:dyDescent="0.3">
      <c r="A67" s="1" t="s">
        <v>6161</v>
      </c>
      <c r="B67" t="s">
        <v>6160</v>
      </c>
      <c r="C67" s="1">
        <v>0.42</v>
      </c>
      <c r="D67" s="1">
        <v>525</v>
      </c>
      <c r="E67" s="2">
        <v>549.91666666666595</v>
      </c>
      <c r="F67" s="1">
        <v>24</v>
      </c>
      <c r="G67" s="1">
        <v>5435.4</v>
      </c>
      <c r="H67" s="1" t="s">
        <v>10</v>
      </c>
      <c r="I67" t="str">
        <f t="shared" ref="I67:I130" si="1">B67&amp;" ["&amp;A67&amp;"]"</f>
        <v>WRAP ENGLISH ROSE [16161P]</v>
      </c>
    </row>
    <row r="68" spans="1:9" x14ac:dyDescent="0.3">
      <c r="A68" s="1" t="s">
        <v>6159</v>
      </c>
      <c r="B68" t="s">
        <v>6158</v>
      </c>
      <c r="C68" s="1">
        <v>0.42</v>
      </c>
      <c r="D68" s="1">
        <v>325</v>
      </c>
      <c r="E68" s="2">
        <v>385.61538461538402</v>
      </c>
      <c r="F68" s="1">
        <v>25</v>
      </c>
      <c r="G68" s="1">
        <v>4084.92</v>
      </c>
      <c r="H68" s="1" t="s">
        <v>10</v>
      </c>
      <c r="I68" t="str">
        <f t="shared" si="1"/>
        <v>WRAP,SUKI AND FRIENDS [16161U]</v>
      </c>
    </row>
    <row r="69" spans="1:9" x14ac:dyDescent="0.3">
      <c r="A69" s="1" t="s">
        <v>6157</v>
      </c>
      <c r="B69" t="s">
        <v>6156</v>
      </c>
      <c r="C69" s="1">
        <v>0.65</v>
      </c>
      <c r="D69" s="1">
        <v>3</v>
      </c>
      <c r="E69" s="2">
        <v>55.727272727272698</v>
      </c>
      <c r="F69" s="1">
        <v>11</v>
      </c>
      <c r="G69" s="1">
        <v>196.03</v>
      </c>
      <c r="H69" s="1" t="s">
        <v>8</v>
      </c>
      <c r="I69" t="str">
        <f t="shared" si="1"/>
        <v>THE KING GIFT BAG [16162L]</v>
      </c>
    </row>
    <row r="70" spans="1:9" x14ac:dyDescent="0.3">
      <c r="A70" s="1" t="s">
        <v>6155</v>
      </c>
      <c r="B70" t="s">
        <v>6154</v>
      </c>
      <c r="C70" s="1">
        <v>0.42</v>
      </c>
      <c r="D70" s="1">
        <v>12</v>
      </c>
      <c r="E70" s="2">
        <v>12.5714285714285</v>
      </c>
      <c r="F70" s="1">
        <v>7</v>
      </c>
      <c r="G70" s="1">
        <v>36.96</v>
      </c>
      <c r="H70" s="1" t="s">
        <v>9</v>
      </c>
      <c r="I70" t="str">
        <f t="shared" si="1"/>
        <v>THE KING GIFT BAG 25x24x12cm [16162M]</v>
      </c>
    </row>
    <row r="71" spans="1:9" x14ac:dyDescent="0.3">
      <c r="A71" s="1" t="s">
        <v>6153</v>
      </c>
      <c r="B71" t="s">
        <v>6152</v>
      </c>
      <c r="C71" s="1">
        <v>0.46</v>
      </c>
      <c r="D71" s="1">
        <v>28</v>
      </c>
      <c r="E71" s="1">
        <v>70.25</v>
      </c>
      <c r="F71" s="1">
        <v>24</v>
      </c>
      <c r="G71" s="1">
        <v>512.38</v>
      </c>
      <c r="H71" s="1" t="s">
        <v>9</v>
      </c>
      <c r="I71" t="str">
        <f t="shared" si="1"/>
        <v>FUNKY MONKEY GIFT BAG MEDIUM [16168M]</v>
      </c>
    </row>
    <row r="72" spans="1:9" x14ac:dyDescent="0.3">
      <c r="A72" s="1" t="s">
        <v>6151</v>
      </c>
      <c r="B72" t="s">
        <v>6150</v>
      </c>
      <c r="C72" s="1">
        <v>0.09</v>
      </c>
      <c r="D72" s="1">
        <v>625.5</v>
      </c>
      <c r="E72" s="1">
        <v>625.5</v>
      </c>
      <c r="F72" s="1">
        <v>2</v>
      </c>
      <c r="G72" s="2">
        <v>115.44999999999899</v>
      </c>
      <c r="H72" s="1" t="s">
        <v>10</v>
      </c>
      <c r="I72" t="str">
        <f t="shared" si="1"/>
        <v>FUNKY MONKEY GIFT BAG SMALL [16168S]</v>
      </c>
    </row>
    <row r="73" spans="1:9" x14ac:dyDescent="0.3">
      <c r="A73" s="1" t="s">
        <v>6149</v>
      </c>
      <c r="B73" t="s">
        <v>6148</v>
      </c>
      <c r="C73" s="1">
        <v>0.42</v>
      </c>
      <c r="D73" s="1">
        <v>25</v>
      </c>
      <c r="E73" s="1">
        <v>25</v>
      </c>
      <c r="F73" s="1">
        <v>1</v>
      </c>
      <c r="G73" s="1">
        <v>10.5</v>
      </c>
      <c r="H73" s="1" t="s">
        <v>9</v>
      </c>
      <c r="I73" t="str">
        <f t="shared" si="1"/>
        <v>WRAP CHRISTMAS DECOUPAGE [16169A]</v>
      </c>
    </row>
    <row r="74" spans="1:9" x14ac:dyDescent="0.3">
      <c r="A74" s="1" t="s">
        <v>6147</v>
      </c>
      <c r="B74" t="s">
        <v>6146</v>
      </c>
      <c r="C74" s="1">
        <v>0.42</v>
      </c>
      <c r="D74" s="1">
        <v>287.5</v>
      </c>
      <c r="E74" s="1">
        <v>337.5</v>
      </c>
      <c r="F74" s="1">
        <v>4</v>
      </c>
      <c r="G74" s="1">
        <v>567</v>
      </c>
      <c r="H74" s="1" t="s">
        <v>10</v>
      </c>
      <c r="I74" t="str">
        <f t="shared" si="1"/>
        <v>WRAP BLUE REINDEER [16169C]</v>
      </c>
    </row>
    <row r="75" spans="1:9" x14ac:dyDescent="0.3">
      <c r="A75" s="1" t="s">
        <v>6145</v>
      </c>
      <c r="B75" t="s">
        <v>6144</v>
      </c>
      <c r="C75" s="1">
        <v>0.42</v>
      </c>
      <c r="D75" s="1">
        <v>250</v>
      </c>
      <c r="E75" s="1">
        <v>250</v>
      </c>
      <c r="F75" s="1">
        <v>1</v>
      </c>
      <c r="G75" s="1">
        <v>105</v>
      </c>
      <c r="H75" s="1" t="s">
        <v>10</v>
      </c>
      <c r="I75" t="str">
        <f t="shared" si="1"/>
        <v>WRAP WINTER FOREST [16169D]</v>
      </c>
    </row>
    <row r="76" spans="1:9" x14ac:dyDescent="0.3">
      <c r="A76" s="1" t="s">
        <v>6143</v>
      </c>
      <c r="B76" t="s">
        <v>6142</v>
      </c>
      <c r="C76" s="1">
        <v>0.42</v>
      </c>
      <c r="D76" s="1">
        <v>638</v>
      </c>
      <c r="E76" s="1">
        <v>760.5</v>
      </c>
      <c r="F76" s="1">
        <v>6</v>
      </c>
      <c r="G76" s="1">
        <v>1892.46</v>
      </c>
      <c r="H76" s="1" t="s">
        <v>10</v>
      </c>
      <c r="I76" t="str">
        <f t="shared" si="1"/>
        <v>WRAP 50'S  CHRISTMAS [16169E]</v>
      </c>
    </row>
    <row r="77" spans="1:9" x14ac:dyDescent="0.3">
      <c r="A77" s="1" t="s">
        <v>6141</v>
      </c>
      <c r="B77" t="s">
        <v>6140</v>
      </c>
      <c r="C77" s="1">
        <v>0.42</v>
      </c>
      <c r="D77" s="1">
        <v>175</v>
      </c>
      <c r="E77" s="1">
        <v>195</v>
      </c>
      <c r="F77" s="1">
        <v>5</v>
      </c>
      <c r="G77" s="1">
        <v>409.5</v>
      </c>
      <c r="H77" s="1" t="s">
        <v>10</v>
      </c>
      <c r="I77" t="str">
        <f t="shared" si="1"/>
        <v>WRAP BLIZZARD [16169F]</v>
      </c>
    </row>
    <row r="78" spans="1:9" x14ac:dyDescent="0.3">
      <c r="A78" s="1" t="s">
        <v>6139</v>
      </c>
      <c r="B78" t="s">
        <v>6138</v>
      </c>
      <c r="C78" s="1">
        <v>0.42</v>
      </c>
      <c r="D78" s="1">
        <v>25</v>
      </c>
      <c r="E78" s="1">
        <v>25</v>
      </c>
      <c r="F78" s="1">
        <v>1</v>
      </c>
      <c r="G78" s="1">
        <v>10.5</v>
      </c>
      <c r="H78" s="1" t="s">
        <v>9</v>
      </c>
      <c r="I78" t="str">
        <f t="shared" si="1"/>
        <v>WRAP ROMANTIC DECOUPAGE [16169G]</v>
      </c>
    </row>
    <row r="79" spans="1:9" x14ac:dyDescent="0.3">
      <c r="A79" s="1" t="s">
        <v>6137</v>
      </c>
      <c r="B79" t="s">
        <v>6136</v>
      </c>
      <c r="C79" s="1">
        <v>0.42</v>
      </c>
      <c r="D79" s="1">
        <v>75</v>
      </c>
      <c r="E79" s="2">
        <v>159.61538461538399</v>
      </c>
      <c r="F79" s="1">
        <v>13</v>
      </c>
      <c r="G79" s="1">
        <v>658.75</v>
      </c>
      <c r="H79" s="1" t="s">
        <v>10</v>
      </c>
      <c r="I79" t="str">
        <f t="shared" si="1"/>
        <v>WRAP FOLK ART [16169K]</v>
      </c>
    </row>
    <row r="80" spans="1:9" x14ac:dyDescent="0.3">
      <c r="A80" s="1" t="s">
        <v>6135</v>
      </c>
      <c r="B80" t="s">
        <v>6134</v>
      </c>
      <c r="C80" s="1">
        <v>0.42</v>
      </c>
      <c r="D80" s="1">
        <v>50</v>
      </c>
      <c r="E80" s="1">
        <v>98.095238095238102</v>
      </c>
      <c r="F80" s="1">
        <v>21</v>
      </c>
      <c r="G80" s="1">
        <v>640.95000000000005</v>
      </c>
      <c r="H80" s="1" t="s">
        <v>9</v>
      </c>
      <c r="I80" t="str">
        <f t="shared" si="1"/>
        <v>WRAP DAISY CARPET [16169M]</v>
      </c>
    </row>
    <row r="81" spans="1:9" x14ac:dyDescent="0.3">
      <c r="A81" s="1" t="s">
        <v>6133</v>
      </c>
      <c r="B81" t="s">
        <v>6132</v>
      </c>
      <c r="C81" s="1">
        <v>0.42</v>
      </c>
      <c r="D81" s="1">
        <v>100</v>
      </c>
      <c r="E81" s="1">
        <v>168.75</v>
      </c>
      <c r="F81" s="1">
        <v>12</v>
      </c>
      <c r="G81" s="1">
        <v>626.25</v>
      </c>
      <c r="H81" s="1" t="s">
        <v>10</v>
      </c>
      <c r="I81" t="str">
        <f t="shared" si="1"/>
        <v>WRAP BLUE RUSSIAN FOLKART [16169N]</v>
      </c>
    </row>
    <row r="82" spans="1:9" x14ac:dyDescent="0.3">
      <c r="A82" s="1" t="s">
        <v>6131</v>
      </c>
      <c r="B82" t="s">
        <v>6130</v>
      </c>
      <c r="C82" s="1">
        <v>0.42</v>
      </c>
      <c r="D82" s="1">
        <v>50</v>
      </c>
      <c r="E82" s="2">
        <v>134.61538461538399</v>
      </c>
      <c r="F82" s="1">
        <v>13</v>
      </c>
      <c r="G82" s="1">
        <v>533.75</v>
      </c>
      <c r="H82" s="1" t="s">
        <v>9</v>
      </c>
      <c r="I82" t="str">
        <f t="shared" si="1"/>
        <v>WRAP GREEN RUSSIAN FOLKART [16169P]</v>
      </c>
    </row>
    <row r="83" spans="1:9" x14ac:dyDescent="0.3">
      <c r="A83" s="1">
        <v>16192</v>
      </c>
      <c r="B83" t="s">
        <v>6129</v>
      </c>
      <c r="C83" s="1">
        <v>4.3</v>
      </c>
      <c r="D83" s="1">
        <v>3</v>
      </c>
      <c r="E83" s="1">
        <v>3</v>
      </c>
      <c r="F83" s="1">
        <v>1</v>
      </c>
      <c r="G83" s="1">
        <v>12.9</v>
      </c>
      <c r="H83" s="1" t="s">
        <v>8</v>
      </c>
      <c r="I83" t="str">
        <f t="shared" si="1"/>
        <v>PINK BALLET OPENING CUBE BOX [16192]</v>
      </c>
    </row>
    <row r="84" spans="1:9" x14ac:dyDescent="0.3">
      <c r="A84" s="1" t="s">
        <v>6128</v>
      </c>
      <c r="B84" t="s">
        <v>6125</v>
      </c>
      <c r="C84" s="1">
        <v>1.95</v>
      </c>
      <c r="D84" s="1">
        <v>13</v>
      </c>
      <c r="E84" s="1">
        <v>20</v>
      </c>
      <c r="F84" s="1">
        <v>5</v>
      </c>
      <c r="G84" s="2">
        <v>199.79999999999899</v>
      </c>
      <c r="H84" s="1" t="s">
        <v>9</v>
      </c>
      <c r="I84" t="str">
        <f t="shared" si="1"/>
        <v>PASTEL PINK PHOTO ALBUM [16201A]</v>
      </c>
    </row>
    <row r="85" spans="1:9" x14ac:dyDescent="0.3">
      <c r="A85" s="1" t="s">
        <v>6127</v>
      </c>
      <c r="B85" t="s">
        <v>6123</v>
      </c>
      <c r="C85" s="1">
        <v>2.39</v>
      </c>
      <c r="D85" s="1">
        <v>34</v>
      </c>
      <c r="E85" s="1">
        <v>34</v>
      </c>
      <c r="F85" s="1">
        <v>1</v>
      </c>
      <c r="G85" s="1">
        <v>81.099999999999994</v>
      </c>
      <c r="H85" s="1" t="s">
        <v>9</v>
      </c>
      <c r="I85" t="str">
        <f t="shared" si="1"/>
        <v>PASTEL BLUE PHOTO ALBUM [16201B]</v>
      </c>
    </row>
    <row r="86" spans="1:9" x14ac:dyDescent="0.3">
      <c r="A86" s="1" t="s">
        <v>6126</v>
      </c>
      <c r="B86" t="s">
        <v>6125</v>
      </c>
      <c r="C86" s="1">
        <v>2.2050000000000001</v>
      </c>
      <c r="D86" s="1">
        <v>19</v>
      </c>
      <c r="E86" s="1">
        <v>19</v>
      </c>
      <c r="F86" s="1">
        <v>2</v>
      </c>
      <c r="G86" s="1">
        <v>81.3</v>
      </c>
      <c r="H86" s="1" t="s">
        <v>9</v>
      </c>
      <c r="I86" t="str">
        <f t="shared" si="1"/>
        <v>PASTEL PINK PHOTO ALBUM [16202A]</v>
      </c>
    </row>
    <row r="87" spans="1:9" x14ac:dyDescent="0.3">
      <c r="A87" s="1" t="s">
        <v>6124</v>
      </c>
      <c r="B87" t="s">
        <v>6123</v>
      </c>
      <c r="C87" s="1">
        <v>1.95</v>
      </c>
      <c r="D87" s="1">
        <v>28</v>
      </c>
      <c r="E87" s="1">
        <v>26</v>
      </c>
      <c r="F87" s="1">
        <v>4</v>
      </c>
      <c r="G87" s="1">
        <v>231.6</v>
      </c>
      <c r="H87" s="1" t="s">
        <v>9</v>
      </c>
      <c r="I87" t="str">
        <f t="shared" si="1"/>
        <v>PASTEL BLUE PHOTO ALBUM [16202B]</v>
      </c>
    </row>
    <row r="88" spans="1:9" x14ac:dyDescent="0.3">
      <c r="A88" s="1" t="s">
        <v>6122</v>
      </c>
      <c r="B88" t="s">
        <v>6121</v>
      </c>
      <c r="C88" s="1">
        <v>2.09</v>
      </c>
      <c r="D88" s="1">
        <v>25</v>
      </c>
      <c r="E88" s="1">
        <v>23.5</v>
      </c>
      <c r="F88" s="1">
        <v>4</v>
      </c>
      <c r="G88" s="1">
        <v>201.3</v>
      </c>
      <c r="H88" s="1" t="s">
        <v>9</v>
      </c>
      <c r="I88" t="str">
        <f t="shared" si="1"/>
        <v>BEIGE PHOTO ALBUM [16202C]</v>
      </c>
    </row>
    <row r="89" spans="1:9" x14ac:dyDescent="0.3">
      <c r="A89" s="1" t="s">
        <v>6120</v>
      </c>
      <c r="B89" t="s">
        <v>6119</v>
      </c>
      <c r="C89" s="1">
        <v>4.09</v>
      </c>
      <c r="D89" s="1">
        <v>6.5</v>
      </c>
      <c r="E89" s="1">
        <v>8.375</v>
      </c>
      <c r="F89" s="1">
        <v>8</v>
      </c>
      <c r="G89" s="1">
        <v>155.22999999999999</v>
      </c>
      <c r="H89" s="1" t="s">
        <v>8</v>
      </c>
      <c r="I89" t="str">
        <f t="shared" si="1"/>
        <v>BLACK PHOTO ALBUM [16202E]</v>
      </c>
    </row>
    <row r="90" spans="1:9" x14ac:dyDescent="0.3">
      <c r="A90" s="1" t="s">
        <v>6118</v>
      </c>
      <c r="B90" t="s">
        <v>6117</v>
      </c>
      <c r="C90" s="1">
        <v>1.25</v>
      </c>
      <c r="D90" s="1">
        <v>5</v>
      </c>
      <c r="E90" s="1">
        <v>12</v>
      </c>
      <c r="F90" s="1">
        <v>8</v>
      </c>
      <c r="G90" s="1">
        <v>116.4</v>
      </c>
      <c r="H90" s="1" t="s">
        <v>8</v>
      </c>
      <c r="I90" t="str">
        <f t="shared" si="1"/>
        <v>RED PURSE WITH PINK HEART [16206B]</v>
      </c>
    </row>
    <row r="91" spans="1:9" x14ac:dyDescent="0.3">
      <c r="A91" s="1" t="s">
        <v>6116</v>
      </c>
      <c r="B91" t="s">
        <v>6115</v>
      </c>
      <c r="C91" s="1">
        <v>2.95</v>
      </c>
      <c r="D91" s="1">
        <v>6</v>
      </c>
      <c r="E91" s="2">
        <v>7.9444444444444402</v>
      </c>
      <c r="F91" s="1">
        <v>18</v>
      </c>
      <c r="G91" s="1">
        <v>423.53</v>
      </c>
      <c r="H91" s="1" t="s">
        <v>8</v>
      </c>
      <c r="I91" t="str">
        <f t="shared" si="1"/>
        <v>PINK STRAWBERRY HANDBAG [16207A]</v>
      </c>
    </row>
    <row r="92" spans="1:9" x14ac:dyDescent="0.3">
      <c r="A92" s="1" t="s">
        <v>6114</v>
      </c>
      <c r="B92" t="s">
        <v>6113</v>
      </c>
      <c r="C92" s="2">
        <v>2.59499999999999</v>
      </c>
      <c r="D92" s="1">
        <v>4.5</v>
      </c>
      <c r="E92" s="1">
        <v>26.5</v>
      </c>
      <c r="F92" s="1">
        <v>10</v>
      </c>
      <c r="G92" s="1">
        <v>457.65</v>
      </c>
      <c r="H92" s="1" t="s">
        <v>8</v>
      </c>
      <c r="I92" t="str">
        <f t="shared" si="1"/>
        <v>PINK HEART RED HANDBAG [16207B]</v>
      </c>
    </row>
    <row r="93" spans="1:9" x14ac:dyDescent="0.3">
      <c r="A93" s="1">
        <v>16212</v>
      </c>
      <c r="B93" t="s">
        <v>6112</v>
      </c>
      <c r="C93" s="1">
        <v>0.65</v>
      </c>
      <c r="D93" s="1">
        <v>38</v>
      </c>
      <c r="E93" s="2">
        <v>33.272727272727202</v>
      </c>
      <c r="F93" s="1">
        <v>11</v>
      </c>
      <c r="G93" s="1">
        <v>287.01</v>
      </c>
      <c r="H93" s="1" t="s">
        <v>9</v>
      </c>
      <c r="I93" t="str">
        <f t="shared" si="1"/>
        <v>FUNKY GIRLZ ASST MAGNETIC MEMO PAD [16212]</v>
      </c>
    </row>
    <row r="94" spans="1:9" x14ac:dyDescent="0.3">
      <c r="A94" s="1">
        <v>16215</v>
      </c>
      <c r="B94" t="s">
        <v>6111</v>
      </c>
      <c r="C94" s="1">
        <v>0.65</v>
      </c>
      <c r="D94" s="1">
        <v>8</v>
      </c>
      <c r="E94" s="1">
        <v>8</v>
      </c>
      <c r="F94" s="1">
        <v>1</v>
      </c>
      <c r="G94" s="1">
        <v>5.2</v>
      </c>
      <c r="H94" s="1" t="s">
        <v>8</v>
      </c>
      <c r="I94" t="str">
        <f t="shared" si="1"/>
        <v>FUNKY GIRLZ MAGNETIC TO DO LIST [16215]</v>
      </c>
    </row>
    <row r="95" spans="1:9" x14ac:dyDescent="0.3">
      <c r="A95" s="1">
        <v>16216</v>
      </c>
      <c r="B95" t="s">
        <v>6110</v>
      </c>
      <c r="C95" s="1">
        <v>0.16</v>
      </c>
      <c r="D95" s="1">
        <v>80</v>
      </c>
      <c r="E95" s="2">
        <v>180.78260869565199</v>
      </c>
      <c r="F95" s="1">
        <v>23</v>
      </c>
      <c r="G95" s="1">
        <v>371.64</v>
      </c>
      <c r="H95" s="1" t="s">
        <v>10</v>
      </c>
      <c r="I95" t="str">
        <f t="shared" si="1"/>
        <v>LETTER SHAPE PENCIL SHARPENER [16216]</v>
      </c>
    </row>
    <row r="96" spans="1:9" x14ac:dyDescent="0.3">
      <c r="A96" s="1">
        <v>16218</v>
      </c>
      <c r="B96" t="s">
        <v>6109</v>
      </c>
      <c r="C96" s="1">
        <v>0.16</v>
      </c>
      <c r="D96" s="1">
        <v>164</v>
      </c>
      <c r="E96" s="2">
        <v>255.111111111111</v>
      </c>
      <c r="F96" s="1">
        <v>18</v>
      </c>
      <c r="G96" s="1">
        <v>418.49</v>
      </c>
      <c r="H96" s="1" t="s">
        <v>10</v>
      </c>
      <c r="I96" t="str">
        <f t="shared" si="1"/>
        <v>CARTOON  PENCIL SHARPENERS [16218]</v>
      </c>
    </row>
    <row r="97" spans="1:9" x14ac:dyDescent="0.3">
      <c r="A97" s="1">
        <v>16219</v>
      </c>
      <c r="B97" t="s">
        <v>6108</v>
      </c>
      <c r="C97" s="1">
        <v>0.21</v>
      </c>
      <c r="D97" s="1">
        <v>37.5</v>
      </c>
      <c r="E97" s="1">
        <v>165.2</v>
      </c>
      <c r="F97" s="1">
        <v>20</v>
      </c>
      <c r="G97" s="1">
        <v>468.93</v>
      </c>
      <c r="H97" s="1" t="s">
        <v>9</v>
      </c>
      <c r="I97" t="str">
        <f t="shared" si="1"/>
        <v>HOUSE SHAPE PENCIL SHARPENER [16219]</v>
      </c>
    </row>
    <row r="98" spans="1:9" x14ac:dyDescent="0.3">
      <c r="A98" s="1">
        <v>16225</v>
      </c>
      <c r="B98" t="s">
        <v>6107</v>
      </c>
      <c r="C98" s="1">
        <v>1.25</v>
      </c>
      <c r="D98" s="1">
        <v>25.5</v>
      </c>
      <c r="E98" s="2">
        <v>63.3333333333333</v>
      </c>
      <c r="F98" s="1">
        <v>24</v>
      </c>
      <c r="G98" s="1">
        <v>1271.6600000000001</v>
      </c>
      <c r="H98" s="1" t="s">
        <v>9</v>
      </c>
      <c r="I98" t="str">
        <f t="shared" si="1"/>
        <v>RATTLE SNAKE EGGS [16225]</v>
      </c>
    </row>
    <row r="99" spans="1:9" x14ac:dyDescent="0.3">
      <c r="A99" s="1">
        <v>16235</v>
      </c>
      <c r="B99" t="s">
        <v>6106</v>
      </c>
      <c r="C99" s="1">
        <v>0.24</v>
      </c>
      <c r="D99" s="1">
        <v>189</v>
      </c>
      <c r="E99" s="1">
        <v>233.08</v>
      </c>
      <c r="F99" s="1">
        <v>25</v>
      </c>
      <c r="G99" s="1">
        <v>1333.95</v>
      </c>
      <c r="H99" s="1" t="s">
        <v>10</v>
      </c>
      <c r="I99" t="str">
        <f t="shared" si="1"/>
        <v>RECYCLED PENCIL WITH RABBIT ERASER [16235]</v>
      </c>
    </row>
    <row r="100" spans="1:9" x14ac:dyDescent="0.3">
      <c r="A100" s="1">
        <v>16236</v>
      </c>
      <c r="B100" t="s">
        <v>6105</v>
      </c>
      <c r="C100" s="1">
        <v>0.22</v>
      </c>
      <c r="D100" s="1">
        <v>98</v>
      </c>
      <c r="E100" s="1">
        <v>106.08</v>
      </c>
      <c r="F100" s="1">
        <v>25</v>
      </c>
      <c r="G100" s="1">
        <v>593.29</v>
      </c>
      <c r="H100" s="1" t="s">
        <v>10</v>
      </c>
      <c r="I100" t="str">
        <f t="shared" si="1"/>
        <v>KITTY PENCIL ERASERS [16236]</v>
      </c>
    </row>
    <row r="101" spans="1:9" x14ac:dyDescent="0.3">
      <c r="A101" s="1">
        <v>16237</v>
      </c>
      <c r="B101" t="s">
        <v>6104</v>
      </c>
      <c r="C101" s="1">
        <v>0.22</v>
      </c>
      <c r="D101" s="1">
        <v>361</v>
      </c>
      <c r="E101" s="1">
        <v>415.4</v>
      </c>
      <c r="F101" s="1">
        <v>25</v>
      </c>
      <c r="G101" s="1">
        <v>2233.15</v>
      </c>
      <c r="H101" s="1" t="s">
        <v>10</v>
      </c>
      <c r="I101" t="str">
        <f t="shared" si="1"/>
        <v>SLEEPING CAT ERASERS [16237]</v>
      </c>
    </row>
    <row r="102" spans="1:9" x14ac:dyDescent="0.3">
      <c r="A102" s="1">
        <v>16238</v>
      </c>
      <c r="B102" t="s">
        <v>6103</v>
      </c>
      <c r="C102" s="1">
        <v>0.23</v>
      </c>
      <c r="D102" s="1">
        <v>95</v>
      </c>
      <c r="E102" s="1">
        <v>97.88</v>
      </c>
      <c r="F102" s="1">
        <v>25</v>
      </c>
      <c r="G102" s="1">
        <v>559.54</v>
      </c>
      <c r="H102" s="1" t="s">
        <v>10</v>
      </c>
      <c r="I102" t="str">
        <f t="shared" si="1"/>
        <v>PARTY TIME PENCIL ERASERS [16238]</v>
      </c>
    </row>
    <row r="103" spans="1:9" x14ac:dyDescent="0.3">
      <c r="A103" s="1">
        <v>16239</v>
      </c>
      <c r="B103" t="s">
        <v>6102</v>
      </c>
      <c r="C103" s="2">
        <v>2.0549999999999899</v>
      </c>
      <c r="D103" s="1">
        <v>19</v>
      </c>
      <c r="E103" s="1">
        <v>86.75</v>
      </c>
      <c r="F103" s="1">
        <v>4</v>
      </c>
      <c r="G103" s="2">
        <v>492.16999999999899</v>
      </c>
      <c r="H103" s="1" t="s">
        <v>9</v>
      </c>
      <c r="I103" t="str">
        <f t="shared" si="1"/>
        <v>BALLERINA HEART DECORATION. [16239]</v>
      </c>
    </row>
    <row r="104" spans="1:9" x14ac:dyDescent="0.3">
      <c r="A104" s="1" t="s">
        <v>6101</v>
      </c>
      <c r="B104" t="s">
        <v>6100</v>
      </c>
      <c r="C104" s="1">
        <v>5.91</v>
      </c>
      <c r="D104" s="1">
        <v>3</v>
      </c>
      <c r="E104" s="1">
        <v>53</v>
      </c>
      <c r="F104" s="1">
        <v>4</v>
      </c>
      <c r="G104" s="1">
        <v>441.77</v>
      </c>
      <c r="H104" s="1" t="s">
        <v>8</v>
      </c>
      <c r="I104" t="str">
        <f t="shared" si="1"/>
        <v>BROWN COZY SQUARE PHOTO ALBUM [16243B]</v>
      </c>
    </row>
    <row r="105" spans="1:9" x14ac:dyDescent="0.3">
      <c r="A105" s="1" t="s">
        <v>6099</v>
      </c>
      <c r="B105" t="s">
        <v>6098</v>
      </c>
      <c r="C105" s="1">
        <v>3.28</v>
      </c>
      <c r="D105" s="1">
        <v>37</v>
      </c>
      <c r="E105" s="1">
        <v>46.5</v>
      </c>
      <c r="F105" s="1">
        <v>4</v>
      </c>
      <c r="G105" s="1">
        <v>479.41</v>
      </c>
      <c r="H105" s="1" t="s">
        <v>9</v>
      </c>
      <c r="I105" t="str">
        <f t="shared" si="1"/>
        <v>MAXWELL 2 TONE PINK 60 PAGE PHOTO A [16244A]</v>
      </c>
    </row>
    <row r="106" spans="1:9" x14ac:dyDescent="0.3">
      <c r="A106" s="1" t="s">
        <v>6097</v>
      </c>
      <c r="B106" t="s">
        <v>6096</v>
      </c>
      <c r="C106" s="1">
        <v>4.21</v>
      </c>
      <c r="D106" s="1">
        <v>8</v>
      </c>
      <c r="E106" s="2">
        <v>48.714285714285701</v>
      </c>
      <c r="F106" s="1">
        <v>7</v>
      </c>
      <c r="G106" s="1">
        <v>763.02</v>
      </c>
      <c r="H106" s="1" t="s">
        <v>8</v>
      </c>
      <c r="I106" t="str">
        <f t="shared" si="1"/>
        <v>MAXWELL 2 TONE BLUE 60 PAGE PHOTO A [16244B]</v>
      </c>
    </row>
    <row r="107" spans="1:9" x14ac:dyDescent="0.3">
      <c r="A107" s="1" t="s">
        <v>6095</v>
      </c>
      <c r="B107" t="s">
        <v>6094</v>
      </c>
      <c r="C107" s="1">
        <v>1.25</v>
      </c>
      <c r="D107" s="1">
        <v>2</v>
      </c>
      <c r="E107" s="1">
        <v>2.2000000000000002</v>
      </c>
      <c r="F107" s="1">
        <v>5</v>
      </c>
      <c r="G107" s="1">
        <v>13.75</v>
      </c>
      <c r="H107" s="1" t="s">
        <v>8</v>
      </c>
      <c r="I107" t="str">
        <f t="shared" si="1"/>
        <v>PINK MINI STATIONERY SET W CASE [16245A]</v>
      </c>
    </row>
    <row r="108" spans="1:9" x14ac:dyDescent="0.3">
      <c r="A108" s="1" t="s">
        <v>6093</v>
      </c>
      <c r="B108" t="s">
        <v>6092</v>
      </c>
      <c r="C108" s="1">
        <v>1.25</v>
      </c>
      <c r="D108" s="1">
        <v>2.5</v>
      </c>
      <c r="E108" s="1">
        <v>10.125</v>
      </c>
      <c r="F108" s="1">
        <v>8</v>
      </c>
      <c r="G108" s="1">
        <v>101.25</v>
      </c>
      <c r="H108" s="1" t="s">
        <v>8</v>
      </c>
      <c r="I108" t="str">
        <f t="shared" si="1"/>
        <v>BLUE HOLE PUNCH [16248B]</v>
      </c>
    </row>
    <row r="109" spans="1:9" x14ac:dyDescent="0.3">
      <c r="A109" s="1">
        <v>16254</v>
      </c>
      <c r="B109" t="s">
        <v>6091</v>
      </c>
      <c r="C109" s="1">
        <v>0.85</v>
      </c>
      <c r="D109" s="1">
        <v>3</v>
      </c>
      <c r="E109" s="2">
        <v>67.214285714285694</v>
      </c>
      <c r="F109" s="1">
        <v>14</v>
      </c>
      <c r="G109" s="1">
        <v>305.66000000000003</v>
      </c>
      <c r="H109" s="1" t="s">
        <v>8</v>
      </c>
      <c r="I109" t="str">
        <f t="shared" si="1"/>
        <v>TRANSPARENT ACRYLIC TAPE DISPENSER [16254]</v>
      </c>
    </row>
    <row r="110" spans="1:9" x14ac:dyDescent="0.3">
      <c r="A110" s="1" t="s">
        <v>6090</v>
      </c>
      <c r="B110" t="s">
        <v>6089</v>
      </c>
      <c r="C110" s="1">
        <v>0.44</v>
      </c>
      <c r="D110" s="1">
        <v>60</v>
      </c>
      <c r="E110" s="2">
        <v>74.857142857142804</v>
      </c>
      <c r="F110" s="1">
        <v>7</v>
      </c>
      <c r="G110" s="1">
        <v>232.35</v>
      </c>
      <c r="H110" s="1" t="s">
        <v>9</v>
      </c>
      <c r="I110" t="str">
        <f t="shared" si="1"/>
        <v>FLOWER PENCIL/RUBBER+5 MINI PENCILS [16256B]</v>
      </c>
    </row>
    <row r="111" spans="1:9" x14ac:dyDescent="0.3">
      <c r="A111" s="1" t="s">
        <v>6088</v>
      </c>
      <c r="B111" t="s">
        <v>6087</v>
      </c>
      <c r="C111" s="1">
        <v>0.42</v>
      </c>
      <c r="D111" s="1">
        <v>36</v>
      </c>
      <c r="E111" s="1">
        <v>33.799999999999997</v>
      </c>
      <c r="F111" s="1">
        <v>5</v>
      </c>
      <c r="G111" s="1">
        <v>70.98</v>
      </c>
      <c r="H111" s="1" t="s">
        <v>9</v>
      </c>
      <c r="I111" t="str">
        <f t="shared" si="1"/>
        <v>HEARTS PENCIL/RUBBER+5 MINI PENCILS [16256C]</v>
      </c>
    </row>
    <row r="112" spans="1:9" x14ac:dyDescent="0.3">
      <c r="A112" s="1" t="s">
        <v>6086</v>
      </c>
      <c r="B112" t="s">
        <v>6085</v>
      </c>
      <c r="C112" s="1">
        <v>0.42</v>
      </c>
      <c r="D112" s="1">
        <v>37</v>
      </c>
      <c r="E112" s="2">
        <v>46.2173913043478</v>
      </c>
      <c r="F112" s="1">
        <v>23</v>
      </c>
      <c r="G112" s="1">
        <v>375.93</v>
      </c>
      <c r="H112" s="1" t="s">
        <v>9</v>
      </c>
      <c r="I112" t="str">
        <f t="shared" si="1"/>
        <v>SWIRLY CIRCULAR RUBBERS IN BAG [16258A]</v>
      </c>
    </row>
    <row r="113" spans="1:9" x14ac:dyDescent="0.3">
      <c r="A113" s="1" t="s">
        <v>6084</v>
      </c>
      <c r="B113" t="s">
        <v>6083</v>
      </c>
      <c r="C113" s="1">
        <v>0.22</v>
      </c>
      <c r="D113" s="1">
        <v>1016</v>
      </c>
      <c r="E113" s="1">
        <v>1016</v>
      </c>
      <c r="F113" s="1">
        <v>1</v>
      </c>
      <c r="G113" s="1">
        <v>221.06</v>
      </c>
      <c r="H113" s="1" t="s">
        <v>10</v>
      </c>
      <c r="I113" t="str">
        <f t="shared" si="1"/>
        <v>DAISY ERASERS IN BAG [16258B]</v>
      </c>
    </row>
    <row r="114" spans="1:9" x14ac:dyDescent="0.3">
      <c r="A114" s="1">
        <v>16259</v>
      </c>
      <c r="B114" t="s">
        <v>6082</v>
      </c>
      <c r="C114" s="1">
        <v>0.21</v>
      </c>
      <c r="D114" s="1">
        <v>179</v>
      </c>
      <c r="E114" s="1">
        <v>273.64999999999998</v>
      </c>
      <c r="F114" s="1">
        <v>20</v>
      </c>
      <c r="G114" s="1">
        <v>766.09</v>
      </c>
      <c r="H114" s="1" t="s">
        <v>10</v>
      </c>
      <c r="I114" t="str">
        <f t="shared" si="1"/>
        <v>PIECE OF CAMO STATIONERY SET [16259]</v>
      </c>
    </row>
    <row r="115" spans="1:9" x14ac:dyDescent="0.3">
      <c r="A115" s="1">
        <v>17001</v>
      </c>
      <c r="B115" t="s">
        <v>6081</v>
      </c>
      <c r="C115" s="1">
        <v>0.28999999999999998</v>
      </c>
      <c r="D115" s="1">
        <v>75</v>
      </c>
      <c r="E115" s="1">
        <v>121.1</v>
      </c>
      <c r="F115" s="1">
        <v>10</v>
      </c>
      <c r="G115" s="1">
        <v>299.35000000000002</v>
      </c>
      <c r="H115" s="1" t="s">
        <v>10</v>
      </c>
      <c r="I115" t="str">
        <f t="shared" si="1"/>
        <v>HEAVENS SCENT FRAGRANCE OILS ASSTD [17001]</v>
      </c>
    </row>
    <row r="116" spans="1:9" x14ac:dyDescent="0.3">
      <c r="A116" s="1">
        <v>17003</v>
      </c>
      <c r="B116" t="s">
        <v>6080</v>
      </c>
      <c r="C116" s="1">
        <v>0.21</v>
      </c>
      <c r="D116" s="1">
        <v>1895</v>
      </c>
      <c r="E116" s="1">
        <v>2814.76</v>
      </c>
      <c r="F116" s="1">
        <v>25</v>
      </c>
      <c r="G116" s="1">
        <v>14766.42</v>
      </c>
      <c r="H116" s="1" t="s">
        <v>10</v>
      </c>
      <c r="I116" t="str">
        <f t="shared" si="1"/>
        <v>BROCADE RING PURSE [17003]</v>
      </c>
    </row>
    <row r="117" spans="1:9" x14ac:dyDescent="0.3">
      <c r="A117" s="1" t="s">
        <v>6079</v>
      </c>
      <c r="B117" t="s">
        <v>6078</v>
      </c>
      <c r="C117" s="1">
        <v>2.1</v>
      </c>
      <c r="D117" s="1">
        <v>3.5</v>
      </c>
      <c r="E117" s="2">
        <v>5.6666666666666599</v>
      </c>
      <c r="F117" s="1">
        <v>6</v>
      </c>
      <c r="G117" s="1">
        <v>71.400000000000006</v>
      </c>
      <c r="H117" s="1" t="s">
        <v>8</v>
      </c>
      <c r="I117" t="str">
        <f t="shared" si="1"/>
        <v>S/3 POT POURI CUSHIONS BLUE COLOURS [17007B]</v>
      </c>
    </row>
    <row r="118" spans="1:9" x14ac:dyDescent="0.3">
      <c r="A118" s="1" t="s">
        <v>6077</v>
      </c>
      <c r="B118" t="s">
        <v>6076</v>
      </c>
      <c r="C118" s="2">
        <v>3.1549999999999998</v>
      </c>
      <c r="D118" s="1">
        <v>4</v>
      </c>
      <c r="E118" s="2">
        <v>10.8333333333333</v>
      </c>
      <c r="F118" s="1">
        <v>6</v>
      </c>
      <c r="G118" s="2">
        <v>75.429999999999893</v>
      </c>
      <c r="H118" s="1" t="s">
        <v>8</v>
      </c>
      <c r="I118" t="str">
        <f t="shared" si="1"/>
        <v>ORIGAMI VANILLA INCENSE+FLOWER [17011A]</v>
      </c>
    </row>
    <row r="119" spans="1:9" x14ac:dyDescent="0.3">
      <c r="A119" s="1" t="s">
        <v>6075</v>
      </c>
      <c r="B119" t="s">
        <v>6074</v>
      </c>
      <c r="C119" s="1">
        <v>2.1</v>
      </c>
      <c r="D119" s="1">
        <v>3</v>
      </c>
      <c r="E119" s="1">
        <v>3</v>
      </c>
      <c r="F119" s="1">
        <v>1</v>
      </c>
      <c r="G119" s="1">
        <v>6.3</v>
      </c>
      <c r="H119" s="1" t="s">
        <v>8</v>
      </c>
      <c r="I119" t="str">
        <f t="shared" si="1"/>
        <v>ORIGAMI JASMINE INCENSE+FLOWER [17011B]</v>
      </c>
    </row>
    <row r="120" spans="1:9" x14ac:dyDescent="0.3">
      <c r="A120" s="1" t="s">
        <v>6073</v>
      </c>
      <c r="B120" t="s">
        <v>6072</v>
      </c>
      <c r="C120" s="1">
        <v>0.66</v>
      </c>
      <c r="D120" s="1">
        <v>335</v>
      </c>
      <c r="E120" s="1">
        <v>335</v>
      </c>
      <c r="F120" s="1">
        <v>1</v>
      </c>
      <c r="G120" s="1">
        <v>221.4</v>
      </c>
      <c r="H120" s="1" t="s">
        <v>10</v>
      </c>
      <c r="I120" t="str">
        <f t="shared" si="1"/>
        <v>ORIGAMI LAVENDER INCENSE+FLOWER [17011C]</v>
      </c>
    </row>
    <row r="121" spans="1:9" x14ac:dyDescent="0.3">
      <c r="A121" s="1" t="s">
        <v>6071</v>
      </c>
      <c r="B121" t="s">
        <v>6070</v>
      </c>
      <c r="C121" s="1">
        <v>0.48499999999999999</v>
      </c>
      <c r="D121" s="1">
        <v>104</v>
      </c>
      <c r="E121" s="1">
        <v>104</v>
      </c>
      <c r="F121" s="1">
        <v>2</v>
      </c>
      <c r="G121" s="1">
        <v>133.6</v>
      </c>
      <c r="H121" s="1" t="s">
        <v>10</v>
      </c>
      <c r="I121" t="str">
        <f t="shared" si="1"/>
        <v>ORIGAMI ROSE INCENSE+FLOWER [17011D]</v>
      </c>
    </row>
    <row r="122" spans="1:9" x14ac:dyDescent="0.3">
      <c r="A122" s="1" t="s">
        <v>6069</v>
      </c>
      <c r="B122" t="s">
        <v>6068</v>
      </c>
      <c r="C122" s="1">
        <v>0.65</v>
      </c>
      <c r="D122" s="1">
        <v>124</v>
      </c>
      <c r="E122" s="1">
        <v>124</v>
      </c>
      <c r="F122" s="1">
        <v>1</v>
      </c>
      <c r="G122" s="1">
        <v>80.599999999999994</v>
      </c>
      <c r="H122" s="1" t="s">
        <v>10</v>
      </c>
      <c r="I122" t="str">
        <f t="shared" si="1"/>
        <v>ORIGAMI OPIUM SCENT INCENSE+FLOWER [17011E]</v>
      </c>
    </row>
    <row r="123" spans="1:9" x14ac:dyDescent="0.3">
      <c r="A123" s="1" t="s">
        <v>6067</v>
      </c>
      <c r="B123" t="s">
        <v>6066</v>
      </c>
      <c r="C123" s="1">
        <v>2.1</v>
      </c>
      <c r="D123" s="1">
        <v>7</v>
      </c>
      <c r="E123" s="1">
        <v>35</v>
      </c>
      <c r="F123" s="1">
        <v>11</v>
      </c>
      <c r="G123" s="1">
        <v>336.2</v>
      </c>
      <c r="H123" s="1" t="s">
        <v>8</v>
      </c>
      <c r="I123" t="str">
        <f t="shared" si="1"/>
        <v>ORIGAMI SANDLEWOOD INCENSE+FLOWER [17011F]</v>
      </c>
    </row>
    <row r="124" spans="1:9" x14ac:dyDescent="0.3">
      <c r="A124" s="1" t="s">
        <v>6065</v>
      </c>
      <c r="B124" t="s">
        <v>6064</v>
      </c>
      <c r="C124" s="1">
        <v>1.06</v>
      </c>
      <c r="D124" s="1">
        <v>25</v>
      </c>
      <c r="E124" s="2">
        <v>41.235294117647001</v>
      </c>
      <c r="F124" s="1">
        <v>17</v>
      </c>
      <c r="G124" s="1">
        <v>729.82</v>
      </c>
      <c r="H124" s="1" t="s">
        <v>9</v>
      </c>
      <c r="I124" t="str">
        <f t="shared" si="1"/>
        <v>ORIGAMI VANILLA INCENSE/CANDLE SET [17012A]</v>
      </c>
    </row>
    <row r="125" spans="1:9" x14ac:dyDescent="0.3">
      <c r="A125" s="1" t="s">
        <v>6063</v>
      </c>
      <c r="B125" t="s">
        <v>6062</v>
      </c>
      <c r="C125" s="1">
        <v>1.1499999999999999</v>
      </c>
      <c r="D125" s="1">
        <v>29</v>
      </c>
      <c r="E125" s="2">
        <v>39.8888888888888</v>
      </c>
      <c r="F125" s="1">
        <v>18</v>
      </c>
      <c r="G125" s="1">
        <v>852.16</v>
      </c>
      <c r="H125" s="1" t="s">
        <v>9</v>
      </c>
      <c r="I125" t="str">
        <f t="shared" si="1"/>
        <v>ORIGAMI JASMINE INCENSE/CANDLE SET [17012B]</v>
      </c>
    </row>
    <row r="126" spans="1:9" x14ac:dyDescent="0.3">
      <c r="A126" s="1" t="s">
        <v>6061</v>
      </c>
      <c r="B126" t="s">
        <v>6060</v>
      </c>
      <c r="C126" s="1">
        <v>2.4950000000000001</v>
      </c>
      <c r="D126" s="1">
        <v>10.5</v>
      </c>
      <c r="E126" s="2">
        <v>38.909090909090899</v>
      </c>
      <c r="F126" s="1">
        <v>22</v>
      </c>
      <c r="G126" s="1">
        <v>950.4</v>
      </c>
      <c r="H126" s="1" t="s">
        <v>9</v>
      </c>
      <c r="I126" t="str">
        <f t="shared" si="1"/>
        <v>ORIGAMI LAVENDER INCENSE/CANDL SET [17012C]</v>
      </c>
    </row>
    <row r="127" spans="1:9" x14ac:dyDescent="0.3">
      <c r="A127" s="1" t="s">
        <v>6059</v>
      </c>
      <c r="B127" t="s">
        <v>6058</v>
      </c>
      <c r="C127" s="1">
        <v>2.46</v>
      </c>
      <c r="D127" s="1">
        <v>13</v>
      </c>
      <c r="E127" s="2">
        <v>30.588235294117599</v>
      </c>
      <c r="F127" s="1">
        <v>17</v>
      </c>
      <c r="G127" s="1">
        <v>658.72</v>
      </c>
      <c r="H127" s="1" t="s">
        <v>9</v>
      </c>
      <c r="I127" t="str">
        <f t="shared" si="1"/>
        <v>ORIGAMI ROSE INCENSE/CANDLE SET [17012D]</v>
      </c>
    </row>
    <row r="128" spans="1:9" x14ac:dyDescent="0.3">
      <c r="A128" s="1" t="s">
        <v>6057</v>
      </c>
      <c r="B128" t="s">
        <v>6056</v>
      </c>
      <c r="C128" s="1">
        <v>2.5350000000000001</v>
      </c>
      <c r="D128" s="1">
        <v>6</v>
      </c>
      <c r="E128" s="1">
        <v>32.875</v>
      </c>
      <c r="F128" s="1">
        <v>8</v>
      </c>
      <c r="G128" s="1">
        <v>296.79000000000002</v>
      </c>
      <c r="H128" s="1" t="s">
        <v>8</v>
      </c>
      <c r="I128" t="str">
        <f t="shared" si="1"/>
        <v>ORIGAMI OPIUM INCENSE/CANDLE SET [17012E]</v>
      </c>
    </row>
    <row r="129" spans="1:9" x14ac:dyDescent="0.3">
      <c r="A129" s="1" t="s">
        <v>6055</v>
      </c>
      <c r="B129" t="s">
        <v>6054</v>
      </c>
      <c r="C129" s="1">
        <v>1.92</v>
      </c>
      <c r="D129" s="1">
        <v>12</v>
      </c>
      <c r="E129" s="2">
        <v>30.789473684210499</v>
      </c>
      <c r="F129" s="1">
        <v>19</v>
      </c>
      <c r="G129" s="1">
        <v>675.59</v>
      </c>
      <c r="H129" s="1" t="s">
        <v>9</v>
      </c>
      <c r="I129" t="str">
        <f t="shared" si="1"/>
        <v>ORIGAMI SANDLEWOOD INCENSE/CAND SET [17012F]</v>
      </c>
    </row>
    <row r="130" spans="1:9" x14ac:dyDescent="0.3">
      <c r="A130" s="1" t="s">
        <v>6053</v>
      </c>
      <c r="B130" t="s">
        <v>6052</v>
      </c>
      <c r="C130" s="1">
        <v>0.86</v>
      </c>
      <c r="D130" s="1">
        <v>256</v>
      </c>
      <c r="E130" s="1">
        <v>256</v>
      </c>
      <c r="F130" s="1">
        <v>1</v>
      </c>
      <c r="G130" s="1">
        <v>221.03</v>
      </c>
      <c r="H130" s="1" t="s">
        <v>10</v>
      </c>
      <c r="I130" t="str">
        <f t="shared" si="1"/>
        <v>ORIGAMI JASMINE INCENSE IN TUBE [17013B]</v>
      </c>
    </row>
    <row r="131" spans="1:9" x14ac:dyDescent="0.3">
      <c r="A131" s="1" t="s">
        <v>6051</v>
      </c>
      <c r="B131" t="s">
        <v>6050</v>
      </c>
      <c r="C131" s="1">
        <v>0.42</v>
      </c>
      <c r="D131" s="1">
        <v>106.5</v>
      </c>
      <c r="E131" s="1">
        <v>106.5</v>
      </c>
      <c r="F131" s="1">
        <v>2</v>
      </c>
      <c r="G131" s="2">
        <v>89.46</v>
      </c>
      <c r="H131" s="1" t="s">
        <v>10</v>
      </c>
      <c r="I131" t="str">
        <f t="shared" ref="I131:I194" si="2">B131&amp;" ["&amp;A131&amp;"]"</f>
        <v>ORIGAMI LAVENDER INCENSE IN TUBE [17013C]</v>
      </c>
    </row>
    <row r="132" spans="1:9" x14ac:dyDescent="0.3">
      <c r="A132" s="1" t="s">
        <v>6049</v>
      </c>
      <c r="B132" t="s">
        <v>6048</v>
      </c>
      <c r="C132" s="1">
        <v>0.435</v>
      </c>
      <c r="D132" s="1">
        <v>98</v>
      </c>
      <c r="E132" s="1">
        <v>100</v>
      </c>
      <c r="F132" s="1">
        <v>10</v>
      </c>
      <c r="G132" s="1">
        <v>446.66</v>
      </c>
      <c r="H132" s="1" t="s">
        <v>10</v>
      </c>
      <c r="I132" t="str">
        <f t="shared" si="2"/>
        <v>ORIGAMI ROSE INCENSE IN TUBE [17013D]</v>
      </c>
    </row>
    <row r="133" spans="1:9" x14ac:dyDescent="0.3">
      <c r="A133" s="1" t="s">
        <v>6047</v>
      </c>
      <c r="B133" t="s">
        <v>6046</v>
      </c>
      <c r="C133" s="1">
        <v>1.65</v>
      </c>
      <c r="D133" s="1">
        <v>1</v>
      </c>
      <c r="E133" s="1">
        <v>1.5</v>
      </c>
      <c r="F133" s="1">
        <v>4</v>
      </c>
      <c r="G133" s="1">
        <v>9.9</v>
      </c>
      <c r="H133" s="1" t="s">
        <v>8</v>
      </c>
      <c r="I133" t="str">
        <f t="shared" si="2"/>
        <v>ORIGAMI SANDLEWOOD INCENSE IN TUBE [17013F]</v>
      </c>
    </row>
    <row r="134" spans="1:9" x14ac:dyDescent="0.3">
      <c r="A134" s="1" t="s">
        <v>6045</v>
      </c>
      <c r="B134" t="s">
        <v>6044</v>
      </c>
      <c r="C134" s="1">
        <v>0.42</v>
      </c>
      <c r="D134" s="1">
        <v>20.5</v>
      </c>
      <c r="E134" s="1">
        <v>40.5</v>
      </c>
      <c r="F134" s="1">
        <v>6</v>
      </c>
      <c r="G134" s="1">
        <v>106.92</v>
      </c>
      <c r="H134" s="1" t="s">
        <v>9</v>
      </c>
      <c r="I134" t="str">
        <f t="shared" si="2"/>
        <v>ORIGAMI VANILLA INCENSE CONES [17014A]</v>
      </c>
    </row>
    <row r="135" spans="1:9" x14ac:dyDescent="0.3">
      <c r="A135" s="1" t="s">
        <v>6043</v>
      </c>
      <c r="B135" t="s">
        <v>6042</v>
      </c>
      <c r="C135" s="1">
        <v>0.45</v>
      </c>
      <c r="D135" s="1">
        <v>97</v>
      </c>
      <c r="E135" s="1">
        <v>97</v>
      </c>
      <c r="F135" s="1">
        <v>1</v>
      </c>
      <c r="G135" s="1">
        <v>43.75</v>
      </c>
      <c r="H135" s="1" t="s">
        <v>10</v>
      </c>
      <c r="I135" t="str">
        <f t="shared" si="2"/>
        <v>ORIGAMI LAVENDER INCENSE CONES [17014C]</v>
      </c>
    </row>
    <row r="136" spans="1:9" x14ac:dyDescent="0.3">
      <c r="A136" s="1" t="s">
        <v>6041</v>
      </c>
      <c r="B136" t="s">
        <v>6040</v>
      </c>
      <c r="C136" s="1">
        <v>0.44</v>
      </c>
      <c r="D136" s="1">
        <v>88</v>
      </c>
      <c r="E136" s="1">
        <v>95.6</v>
      </c>
      <c r="F136" s="1">
        <v>5</v>
      </c>
      <c r="G136" s="1">
        <v>201</v>
      </c>
      <c r="H136" s="1" t="s">
        <v>10</v>
      </c>
      <c r="I136" t="str">
        <f t="shared" si="2"/>
        <v>ORIGAMI ROSE INCENSE CONES [17014D]</v>
      </c>
    </row>
    <row r="137" spans="1:9" x14ac:dyDescent="0.3">
      <c r="A137" s="1" t="s">
        <v>6039</v>
      </c>
      <c r="B137" t="s">
        <v>6038</v>
      </c>
      <c r="C137" s="1">
        <v>1.65</v>
      </c>
      <c r="D137" s="1">
        <v>1</v>
      </c>
      <c r="E137" s="1">
        <v>2</v>
      </c>
      <c r="F137" s="1">
        <v>3</v>
      </c>
      <c r="G137" s="2">
        <v>9.8999999999999897</v>
      </c>
      <c r="H137" s="1" t="s">
        <v>8</v>
      </c>
      <c r="I137" t="str">
        <f t="shared" si="2"/>
        <v>ORIGAMI OPIUM INCENSE CONES [17014E]</v>
      </c>
    </row>
    <row r="138" spans="1:9" x14ac:dyDescent="0.3">
      <c r="A138" s="1" t="s">
        <v>6037</v>
      </c>
      <c r="B138" t="s">
        <v>6036</v>
      </c>
      <c r="C138" s="1">
        <v>1.65</v>
      </c>
      <c r="D138" s="1">
        <v>1.5</v>
      </c>
      <c r="E138" s="1">
        <v>1.5</v>
      </c>
      <c r="F138" s="1">
        <v>2</v>
      </c>
      <c r="G138" s="2">
        <v>4.9499999999999904</v>
      </c>
      <c r="H138" s="1" t="s">
        <v>8</v>
      </c>
      <c r="I138" t="str">
        <f t="shared" si="2"/>
        <v>ORIGAMI SANDLEWOOD INCENSE CONES [17014F]</v>
      </c>
    </row>
    <row r="139" spans="1:9" x14ac:dyDescent="0.3">
      <c r="A139" s="1">
        <v>17021</v>
      </c>
      <c r="B139" t="s">
        <v>6035</v>
      </c>
      <c r="C139" s="1">
        <v>0.3</v>
      </c>
      <c r="D139" s="1">
        <v>87</v>
      </c>
      <c r="E139" s="1">
        <v>155</v>
      </c>
      <c r="F139" s="1">
        <v>24</v>
      </c>
      <c r="G139" s="1">
        <v>984.24</v>
      </c>
      <c r="H139" s="1" t="s">
        <v>10</v>
      </c>
      <c r="I139" t="str">
        <f t="shared" si="2"/>
        <v>NAMASTE SWAGAT INCENSE [17021]</v>
      </c>
    </row>
    <row r="140" spans="1:9" x14ac:dyDescent="0.3">
      <c r="A140" s="1" t="s">
        <v>6034</v>
      </c>
      <c r="B140" t="s">
        <v>6033</v>
      </c>
      <c r="C140" s="1">
        <v>0.35499999999999998</v>
      </c>
      <c r="D140" s="1">
        <v>114</v>
      </c>
      <c r="E140" s="1">
        <v>114</v>
      </c>
      <c r="F140" s="1">
        <v>2</v>
      </c>
      <c r="G140" s="1">
        <v>84.84</v>
      </c>
      <c r="H140" s="1" t="s">
        <v>10</v>
      </c>
      <c r="I140" t="str">
        <f t="shared" si="2"/>
        <v>INCENSE BAZAAR CANNABIS [17027A]</v>
      </c>
    </row>
    <row r="141" spans="1:9" x14ac:dyDescent="0.3">
      <c r="A141" s="1" t="s">
        <v>6032</v>
      </c>
      <c r="B141" t="s">
        <v>6031</v>
      </c>
      <c r="C141" s="1">
        <v>0.42</v>
      </c>
      <c r="D141" s="1">
        <v>6</v>
      </c>
      <c r="E141" s="1">
        <v>6</v>
      </c>
      <c r="F141" s="1">
        <v>1</v>
      </c>
      <c r="G141" s="1">
        <v>2.52</v>
      </c>
      <c r="H141" s="1" t="s">
        <v>8</v>
      </c>
      <c r="I141" t="str">
        <f t="shared" si="2"/>
        <v>INCENSE BAZAAR PEACH [17028J]</v>
      </c>
    </row>
    <row r="142" spans="1:9" x14ac:dyDescent="0.3">
      <c r="A142" s="1">
        <v>17033</v>
      </c>
      <c r="B142" t="s">
        <v>6030</v>
      </c>
      <c r="C142" s="1">
        <v>0.28999999999999998</v>
      </c>
      <c r="D142" s="1">
        <v>206</v>
      </c>
      <c r="E142" s="1">
        <v>328</v>
      </c>
      <c r="F142" s="1">
        <v>10</v>
      </c>
      <c r="G142" s="1">
        <v>867.84</v>
      </c>
      <c r="H142" s="1" t="s">
        <v>10</v>
      </c>
      <c r="I142" t="str">
        <f t="shared" si="2"/>
        <v>BROCADE PURSE,SMALL ARCH BUTTON [17033]</v>
      </c>
    </row>
    <row r="143" spans="1:9" x14ac:dyDescent="0.3">
      <c r="A143" s="1">
        <v>17038</v>
      </c>
      <c r="B143" t="s">
        <v>6029</v>
      </c>
      <c r="C143" s="1">
        <v>0.1</v>
      </c>
      <c r="D143" s="1">
        <v>200</v>
      </c>
      <c r="E143" s="2">
        <v>149.88235294117601</v>
      </c>
      <c r="F143" s="1">
        <v>17</v>
      </c>
      <c r="G143" s="1">
        <v>246.03</v>
      </c>
      <c r="H143" s="1" t="s">
        <v>10</v>
      </c>
      <c r="I143" t="str">
        <f t="shared" si="2"/>
        <v>PORCELAIN BUDAH INCENSE HOLDER [17038]</v>
      </c>
    </row>
    <row r="144" spans="1:9" x14ac:dyDescent="0.3">
      <c r="A144" s="1">
        <v>17039</v>
      </c>
      <c r="B144" t="s">
        <v>6028</v>
      </c>
      <c r="C144" s="1">
        <v>0.26</v>
      </c>
      <c r="D144" s="1">
        <v>159</v>
      </c>
      <c r="E144" s="2">
        <v>411.888888888888</v>
      </c>
      <c r="F144" s="1">
        <v>9</v>
      </c>
      <c r="G144" s="1">
        <v>837.88</v>
      </c>
      <c r="H144" s="1" t="s">
        <v>10</v>
      </c>
      <c r="I144" t="str">
        <f t="shared" si="2"/>
        <v>INLAID WOOD INCENSE HOLDER [17039]</v>
      </c>
    </row>
    <row r="145" spans="1:9" x14ac:dyDescent="0.3">
      <c r="A145" s="1">
        <v>17061</v>
      </c>
      <c r="B145" t="s">
        <v>6027</v>
      </c>
      <c r="C145" s="1">
        <v>0.04</v>
      </c>
      <c r="D145" s="1">
        <v>52</v>
      </c>
      <c r="E145" s="1">
        <v>52</v>
      </c>
      <c r="F145" s="1">
        <v>1</v>
      </c>
      <c r="G145" s="1">
        <v>2.08</v>
      </c>
      <c r="H145" s="1" t="s">
        <v>9</v>
      </c>
      <c r="I145" t="str">
        <f t="shared" si="2"/>
        <v>ASSORTED SHAPED STENCIL FOR HENNA [17061]</v>
      </c>
    </row>
    <row r="146" spans="1:9" x14ac:dyDescent="0.3">
      <c r="A146" s="1" t="s">
        <v>6026</v>
      </c>
      <c r="B146" t="s">
        <v>6025</v>
      </c>
      <c r="C146" s="1">
        <v>0.21</v>
      </c>
      <c r="D146" s="1">
        <v>25</v>
      </c>
      <c r="E146" s="1">
        <v>34</v>
      </c>
      <c r="F146" s="1">
        <v>13</v>
      </c>
      <c r="G146" s="1">
        <v>92.82</v>
      </c>
      <c r="H146" s="1" t="s">
        <v>9</v>
      </c>
      <c r="I146" t="str">
        <f t="shared" si="2"/>
        <v>TRANQUILITY MASALA INCENSE [17084A]</v>
      </c>
    </row>
    <row r="147" spans="1:9" x14ac:dyDescent="0.3">
      <c r="A147" s="1" t="s">
        <v>6024</v>
      </c>
      <c r="B147" t="s">
        <v>6023</v>
      </c>
      <c r="C147" s="1">
        <v>0.21</v>
      </c>
      <c r="D147" s="1">
        <v>50</v>
      </c>
      <c r="E147" s="1">
        <v>50</v>
      </c>
      <c r="F147" s="1">
        <v>1</v>
      </c>
      <c r="G147" s="1">
        <v>10.5</v>
      </c>
      <c r="H147" s="1" t="s">
        <v>9</v>
      </c>
      <c r="I147" t="str">
        <f t="shared" si="2"/>
        <v>MOON INCENSE [17084G]</v>
      </c>
    </row>
    <row r="148" spans="1:9" x14ac:dyDescent="0.3">
      <c r="A148" s="1" t="s">
        <v>6022</v>
      </c>
      <c r="B148" t="s">
        <v>6021</v>
      </c>
      <c r="C148" s="1">
        <v>0.21</v>
      </c>
      <c r="D148" s="1">
        <v>25</v>
      </c>
      <c r="E148" s="1">
        <v>30.4</v>
      </c>
      <c r="F148" s="1">
        <v>15</v>
      </c>
      <c r="G148" s="1">
        <v>95.76</v>
      </c>
      <c r="H148" s="1" t="s">
        <v>9</v>
      </c>
      <c r="I148" t="str">
        <f t="shared" si="2"/>
        <v>LOVE POTION MASALA INCENSE [17084J]</v>
      </c>
    </row>
    <row r="149" spans="1:9" x14ac:dyDescent="0.3">
      <c r="A149" s="1" t="s">
        <v>6020</v>
      </c>
      <c r="B149" t="s">
        <v>6019</v>
      </c>
      <c r="C149" s="1">
        <v>0.24</v>
      </c>
      <c r="D149" s="1">
        <v>87</v>
      </c>
      <c r="E149" s="1">
        <v>110.72</v>
      </c>
      <c r="F149" s="1">
        <v>25</v>
      </c>
      <c r="G149" s="1">
        <v>640.26</v>
      </c>
      <c r="H149" s="1" t="s">
        <v>10</v>
      </c>
      <c r="I149" t="str">
        <f t="shared" si="2"/>
        <v>FAIRY DREAMS INCENSE [17084N]</v>
      </c>
    </row>
    <row r="150" spans="1:9" x14ac:dyDescent="0.3">
      <c r="A150" s="1" t="s">
        <v>6018</v>
      </c>
      <c r="B150" t="s">
        <v>6017</v>
      </c>
      <c r="C150" s="1">
        <v>0.23</v>
      </c>
      <c r="D150" s="1">
        <v>29</v>
      </c>
      <c r="E150" s="1">
        <v>49.5</v>
      </c>
      <c r="F150" s="1">
        <v>20</v>
      </c>
      <c r="G150" s="1">
        <v>222.75</v>
      </c>
      <c r="H150" s="1" t="s">
        <v>9</v>
      </c>
      <c r="I150" t="str">
        <f t="shared" si="2"/>
        <v>DRAGONS BLOOD INCENSE [17084P]</v>
      </c>
    </row>
    <row r="151" spans="1:9" x14ac:dyDescent="0.3">
      <c r="A151" s="1" t="s">
        <v>6016</v>
      </c>
      <c r="B151" t="s">
        <v>6015</v>
      </c>
      <c r="C151" s="1">
        <v>0.21</v>
      </c>
      <c r="D151" s="1">
        <v>216</v>
      </c>
      <c r="E151" s="2">
        <v>482.95454545454498</v>
      </c>
      <c r="F151" s="1">
        <v>22</v>
      </c>
      <c r="G151" s="1">
        <v>1968.45</v>
      </c>
      <c r="H151" s="1" t="s">
        <v>10</v>
      </c>
      <c r="I151" t="str">
        <f t="shared" si="2"/>
        <v>ASSORTED INCENSE PACK [17084R]</v>
      </c>
    </row>
    <row r="152" spans="1:9" x14ac:dyDescent="0.3">
      <c r="A152" s="1" t="s">
        <v>6014</v>
      </c>
      <c r="B152" t="s">
        <v>6013</v>
      </c>
      <c r="C152" s="1">
        <v>1.25</v>
      </c>
      <c r="D152" s="1">
        <v>7</v>
      </c>
      <c r="E152" s="1">
        <v>10.8125</v>
      </c>
      <c r="F152" s="1">
        <v>16</v>
      </c>
      <c r="G152" s="1">
        <v>182.65</v>
      </c>
      <c r="H152" s="1" t="s">
        <v>8</v>
      </c>
      <c r="I152" t="str">
        <f t="shared" si="2"/>
        <v>LAVENDER INCENSE 40 CONES IN TIN [17090A]</v>
      </c>
    </row>
    <row r="153" spans="1:9" x14ac:dyDescent="0.3">
      <c r="A153" s="1" t="s">
        <v>6012</v>
      </c>
      <c r="B153" t="s">
        <v>6011</v>
      </c>
      <c r="C153" s="1">
        <v>1.25</v>
      </c>
      <c r="D153" s="1">
        <v>6</v>
      </c>
      <c r="E153" s="1">
        <v>5.5</v>
      </c>
      <c r="F153" s="1">
        <v>16</v>
      </c>
      <c r="G153" s="1">
        <v>105.2</v>
      </c>
      <c r="H153" s="1" t="s">
        <v>8</v>
      </c>
      <c r="I153" t="str">
        <f t="shared" si="2"/>
        <v>VANILLA INCENSE 40 CONES IN TIN [17090D]</v>
      </c>
    </row>
    <row r="154" spans="1:9" x14ac:dyDescent="0.3">
      <c r="A154" s="1" t="s">
        <v>6010</v>
      </c>
      <c r="B154" t="s">
        <v>6009</v>
      </c>
      <c r="C154" s="1">
        <v>0.61</v>
      </c>
      <c r="D154" s="1">
        <v>86</v>
      </c>
      <c r="E154" s="2">
        <v>121.941176470588</v>
      </c>
      <c r="F154" s="1">
        <v>17</v>
      </c>
      <c r="G154" s="1">
        <v>1268.25</v>
      </c>
      <c r="H154" s="1" t="s">
        <v>10</v>
      </c>
      <c r="I154" t="str">
        <f t="shared" si="2"/>
        <v>LAVENDER INCENSE IN TIN [17091A]</v>
      </c>
    </row>
    <row r="155" spans="1:9" x14ac:dyDescent="0.3">
      <c r="A155" s="1" t="s">
        <v>6008</v>
      </c>
      <c r="B155" t="s">
        <v>6007</v>
      </c>
      <c r="C155" s="1">
        <v>1.25</v>
      </c>
      <c r="D155" s="1">
        <v>20.5</v>
      </c>
      <c r="E155" s="1">
        <v>27.6</v>
      </c>
      <c r="F155" s="1">
        <v>10</v>
      </c>
      <c r="G155" s="1">
        <v>316.98</v>
      </c>
      <c r="H155" s="1" t="s">
        <v>9</v>
      </c>
      <c r="I155" t="str">
        <f t="shared" si="2"/>
        <v>JASMINE TEA INCENSE IN TIN [17091B]</v>
      </c>
    </row>
    <row r="156" spans="1:9" x14ac:dyDescent="0.3">
      <c r="A156" s="1" t="s">
        <v>6006</v>
      </c>
      <c r="B156" t="s">
        <v>6005</v>
      </c>
      <c r="C156" s="1">
        <v>1.4</v>
      </c>
      <c r="D156" s="1">
        <v>9.5</v>
      </c>
      <c r="E156" s="1">
        <v>9.5</v>
      </c>
      <c r="F156" s="1">
        <v>2</v>
      </c>
      <c r="G156" s="1">
        <v>27.71</v>
      </c>
      <c r="H156" s="1" t="s">
        <v>8</v>
      </c>
      <c r="I156" t="str">
        <f t="shared" si="2"/>
        <v>SANDALWOOD INCENSE IN TIN [17091F]</v>
      </c>
    </row>
    <row r="157" spans="1:9" x14ac:dyDescent="0.3">
      <c r="A157" s="1" t="s">
        <v>6004</v>
      </c>
      <c r="B157" t="s">
        <v>6003</v>
      </c>
      <c r="C157" s="2">
        <v>0.46499999999999903</v>
      </c>
      <c r="D157" s="1">
        <v>182.5</v>
      </c>
      <c r="E157" s="2">
        <v>179.18181818181799</v>
      </c>
      <c r="F157" s="1">
        <v>22</v>
      </c>
      <c r="G157" s="1">
        <v>2172.89</v>
      </c>
      <c r="H157" s="1" t="s">
        <v>10</v>
      </c>
      <c r="I157" t="str">
        <f t="shared" si="2"/>
        <v>VANILLA INCENSE IN TIN [17091J]</v>
      </c>
    </row>
    <row r="158" spans="1:9" x14ac:dyDescent="0.3">
      <c r="A158" s="1">
        <v>17096</v>
      </c>
      <c r="B158" t="s">
        <v>6002</v>
      </c>
      <c r="C158" s="1">
        <v>0.2</v>
      </c>
      <c r="D158" s="1">
        <v>120.5</v>
      </c>
      <c r="E158" s="1">
        <v>312</v>
      </c>
      <c r="F158" s="1">
        <v>20</v>
      </c>
      <c r="G158" s="1">
        <v>1117.0899999999999</v>
      </c>
      <c r="H158" s="1" t="s">
        <v>10</v>
      </c>
      <c r="I158" t="str">
        <f t="shared" si="2"/>
        <v>ASSORTED LAQUERED INCENSE HOLDERS [17096]</v>
      </c>
    </row>
    <row r="159" spans="1:9" x14ac:dyDescent="0.3">
      <c r="A159" s="1" t="s">
        <v>6001</v>
      </c>
      <c r="B159" t="s">
        <v>6000</v>
      </c>
      <c r="C159" s="1">
        <v>2.5499999999999998</v>
      </c>
      <c r="D159" s="1">
        <v>10</v>
      </c>
      <c r="E159" s="1">
        <v>12.6</v>
      </c>
      <c r="F159" s="1">
        <v>24</v>
      </c>
      <c r="G159" s="1">
        <v>803.25</v>
      </c>
      <c r="H159" s="1" t="s">
        <v>8</v>
      </c>
      <c r="I159" t="str">
        <f t="shared" si="2"/>
        <v>FLOWER FAIRY,5 SUMMER B'DRAW LINERS [17107D]</v>
      </c>
    </row>
    <row r="160" spans="1:9" x14ac:dyDescent="0.3">
      <c r="A160" s="1" t="s">
        <v>5999</v>
      </c>
      <c r="B160" t="s">
        <v>5998</v>
      </c>
      <c r="C160" s="1">
        <v>0.42</v>
      </c>
      <c r="D160" s="1">
        <v>93.5</v>
      </c>
      <c r="E160" s="1">
        <v>88.75</v>
      </c>
      <c r="F160" s="1">
        <v>4</v>
      </c>
      <c r="G160" s="1">
        <v>149.1</v>
      </c>
      <c r="H160" s="1" t="s">
        <v>10</v>
      </c>
      <c r="I160" t="str">
        <f t="shared" si="2"/>
        <v>FLOWER FAIRY SUMMER BOUQUET SACHET [17108D]</v>
      </c>
    </row>
    <row r="161" spans="1:9" x14ac:dyDescent="0.3">
      <c r="A161" s="1" t="s">
        <v>5997</v>
      </c>
      <c r="B161" t="s">
        <v>5996</v>
      </c>
      <c r="C161" s="1">
        <v>0.41</v>
      </c>
      <c r="D161" s="1">
        <v>144</v>
      </c>
      <c r="E161" s="2">
        <v>225.666666666666</v>
      </c>
      <c r="F161" s="1">
        <v>3</v>
      </c>
      <c r="G161" s="1">
        <v>279.52999999999997</v>
      </c>
      <c r="H161" s="1" t="s">
        <v>10</v>
      </c>
      <c r="I161" t="str">
        <f t="shared" si="2"/>
        <v>FLOWER FAIRY INCENSE LILY [17109A]</v>
      </c>
    </row>
    <row r="162" spans="1:9" x14ac:dyDescent="0.3">
      <c r="A162" s="1" t="s">
        <v>5995</v>
      </c>
      <c r="B162" t="s">
        <v>5994</v>
      </c>
      <c r="C162" s="1">
        <v>0.38</v>
      </c>
      <c r="D162" s="1">
        <v>374</v>
      </c>
      <c r="E162" s="2">
        <v>1503.6666666666599</v>
      </c>
      <c r="F162" s="1">
        <v>3</v>
      </c>
      <c r="G162" s="1">
        <v>843.95</v>
      </c>
      <c r="H162" s="1" t="s">
        <v>10</v>
      </c>
      <c r="I162" t="str">
        <f t="shared" si="2"/>
        <v>FLOWER FAIRY INCENSE LAVENDER [17109B]</v>
      </c>
    </row>
    <row r="163" spans="1:9" x14ac:dyDescent="0.3">
      <c r="A163" s="1" t="s">
        <v>5993</v>
      </c>
      <c r="B163" t="s">
        <v>5992</v>
      </c>
      <c r="C163" s="1">
        <v>0.4</v>
      </c>
      <c r="D163" s="1">
        <v>375</v>
      </c>
      <c r="E163" s="1">
        <v>1033</v>
      </c>
      <c r="F163" s="1">
        <v>3</v>
      </c>
      <c r="G163" s="1">
        <v>618.98</v>
      </c>
      <c r="H163" s="1" t="s">
        <v>10</v>
      </c>
      <c r="I163" t="str">
        <f t="shared" si="2"/>
        <v>FLOWER FAIRY INCENSE ROSE [17109C]</v>
      </c>
    </row>
    <row r="164" spans="1:9" x14ac:dyDescent="0.3">
      <c r="A164" s="1" t="s">
        <v>5991</v>
      </c>
      <c r="B164" t="s">
        <v>5990</v>
      </c>
      <c r="C164" s="1">
        <v>0.56999999999999995</v>
      </c>
      <c r="D164" s="1">
        <v>42</v>
      </c>
      <c r="E164" s="1">
        <v>96.307692307692307</v>
      </c>
      <c r="F164" s="1">
        <v>13</v>
      </c>
      <c r="G164" s="2">
        <v>583.17999999999995</v>
      </c>
      <c r="H164" s="1" t="s">
        <v>9</v>
      </c>
      <c r="I164" t="str">
        <f t="shared" si="2"/>
        <v>FLOWER FAIRY INCENSE BOUQUET [17109D]</v>
      </c>
    </row>
    <row r="165" spans="1:9" x14ac:dyDescent="0.3">
      <c r="A165" s="1" t="s">
        <v>5989</v>
      </c>
      <c r="B165" t="s">
        <v>5988</v>
      </c>
      <c r="C165" s="1">
        <v>0.85</v>
      </c>
      <c r="D165" s="1">
        <v>4</v>
      </c>
      <c r="E165" s="1">
        <v>17.2</v>
      </c>
      <c r="F165" s="1">
        <v>5</v>
      </c>
      <c r="G165" s="1">
        <v>57.98</v>
      </c>
      <c r="H165" s="1" t="s">
        <v>8</v>
      </c>
      <c r="I165" t="str">
        <f t="shared" si="2"/>
        <v>SKY BLUE COLOUR GLASS GEMS IN BAG [17129C]</v>
      </c>
    </row>
    <row r="166" spans="1:9" x14ac:dyDescent="0.3">
      <c r="A166" s="1" t="s">
        <v>5987</v>
      </c>
      <c r="B166" t="s">
        <v>5986</v>
      </c>
      <c r="C166" s="1">
        <v>1.095</v>
      </c>
      <c r="D166" s="1">
        <v>135.5</v>
      </c>
      <c r="E166" s="1">
        <v>281.25</v>
      </c>
      <c r="F166" s="1">
        <v>4</v>
      </c>
      <c r="G166" s="1">
        <v>1351.18</v>
      </c>
      <c r="H166" s="1" t="s">
        <v>10</v>
      </c>
      <c r="I166" t="str">
        <f t="shared" si="2"/>
        <v>CLEAR COLOUR GLASS GEMS IN BAG [17129D]</v>
      </c>
    </row>
    <row r="167" spans="1:9" x14ac:dyDescent="0.3">
      <c r="A167" s="1" t="s">
        <v>5985</v>
      </c>
      <c r="B167" t="s">
        <v>5984</v>
      </c>
      <c r="C167" s="1">
        <v>1.19</v>
      </c>
      <c r="D167" s="1">
        <v>52</v>
      </c>
      <c r="E167" s="2">
        <v>60.769230769230703</v>
      </c>
      <c r="F167" s="1">
        <v>25</v>
      </c>
      <c r="G167" s="1">
        <v>1684.58</v>
      </c>
      <c r="H167" s="1" t="s">
        <v>9</v>
      </c>
      <c r="I167" t="str">
        <f t="shared" si="2"/>
        <v>DEEP BLUE GLASS GEMS IN BAG [17129F]</v>
      </c>
    </row>
    <row r="168" spans="1:9" x14ac:dyDescent="0.3">
      <c r="A168" s="1" t="s">
        <v>5983</v>
      </c>
      <c r="B168" t="s">
        <v>5982</v>
      </c>
      <c r="C168" s="1">
        <v>0.08</v>
      </c>
      <c r="D168" s="1">
        <v>48</v>
      </c>
      <c r="E168" s="1">
        <v>45.625</v>
      </c>
      <c r="F168" s="1">
        <v>16</v>
      </c>
      <c r="G168" s="1">
        <v>59.05</v>
      </c>
      <c r="H168" s="1" t="s">
        <v>9</v>
      </c>
      <c r="I168" t="str">
        <f t="shared" si="2"/>
        <v>BLUE STONES ON WIRE FOR CANDLE [17136A]</v>
      </c>
    </row>
    <row r="169" spans="1:9" x14ac:dyDescent="0.3">
      <c r="A169" s="1" t="s">
        <v>5981</v>
      </c>
      <c r="B169" t="s">
        <v>5980</v>
      </c>
      <c r="C169" s="1">
        <v>0.42</v>
      </c>
      <c r="D169" s="1">
        <v>107</v>
      </c>
      <c r="E169" s="2">
        <v>115.714285714285</v>
      </c>
      <c r="F169" s="1">
        <v>14</v>
      </c>
      <c r="G169" s="1">
        <v>646.55999999999995</v>
      </c>
      <c r="H169" s="1" t="s">
        <v>10</v>
      </c>
      <c r="I169" t="str">
        <f t="shared" si="2"/>
        <v>ASS COL SMALL SAND GECKO P'WEIGHT [17164B]</v>
      </c>
    </row>
    <row r="170" spans="1:9" x14ac:dyDescent="0.3">
      <c r="A170" s="1" t="s">
        <v>5979</v>
      </c>
      <c r="B170" t="s">
        <v>5978</v>
      </c>
      <c r="C170" s="1">
        <v>0.38500000000000001</v>
      </c>
      <c r="D170" s="1">
        <v>283.5</v>
      </c>
      <c r="E170" s="1">
        <v>287.5</v>
      </c>
      <c r="F170" s="1">
        <v>4</v>
      </c>
      <c r="G170" s="1">
        <v>447</v>
      </c>
      <c r="H170" s="1" t="s">
        <v>10</v>
      </c>
      <c r="I170" t="str">
        <f t="shared" si="2"/>
        <v>ASS COL SMALL SAND FROG P'WEIGHT [17164D]</v>
      </c>
    </row>
    <row r="171" spans="1:9" x14ac:dyDescent="0.3">
      <c r="A171" s="1" t="s">
        <v>5977</v>
      </c>
      <c r="B171" t="s">
        <v>5976</v>
      </c>
      <c r="C171" s="1">
        <v>1.05</v>
      </c>
      <c r="D171" s="1">
        <v>50</v>
      </c>
      <c r="E171" s="2">
        <v>73.636363636363598</v>
      </c>
      <c r="F171" s="1">
        <v>11</v>
      </c>
      <c r="G171" s="2">
        <v>751.68</v>
      </c>
      <c r="H171" s="1" t="s">
        <v>9</v>
      </c>
      <c r="I171" t="str">
        <f t="shared" si="2"/>
        <v>ASS COL LARGE SAND GECKO P'WEIGHT [17165B]</v>
      </c>
    </row>
    <row r="172" spans="1:9" x14ac:dyDescent="0.3">
      <c r="A172" s="1" t="s">
        <v>5975</v>
      </c>
      <c r="B172" t="s">
        <v>5974</v>
      </c>
      <c r="C172" s="1">
        <v>1.05</v>
      </c>
      <c r="D172" s="1">
        <v>32</v>
      </c>
      <c r="E172" s="2">
        <v>51.142857142857103</v>
      </c>
      <c r="F172" s="1">
        <v>14</v>
      </c>
      <c r="G172" s="2">
        <v>682.31999999999903</v>
      </c>
      <c r="H172" s="1" t="s">
        <v>9</v>
      </c>
      <c r="I172" t="str">
        <f t="shared" si="2"/>
        <v>ASS COL LARGE SAND FROG P'WEIGHT [17165D]</v>
      </c>
    </row>
    <row r="173" spans="1:9" x14ac:dyDescent="0.3">
      <c r="A173" s="1">
        <v>17174</v>
      </c>
      <c r="B173" t="s">
        <v>5973</v>
      </c>
      <c r="C173" s="1">
        <v>0.42</v>
      </c>
      <c r="D173" s="1">
        <v>2</v>
      </c>
      <c r="E173" s="1">
        <v>7.2</v>
      </c>
      <c r="F173" s="1">
        <v>5</v>
      </c>
      <c r="G173" s="1">
        <v>15.12</v>
      </c>
      <c r="H173" s="1" t="s">
        <v>8</v>
      </c>
      <c r="I173" t="str">
        <f t="shared" si="2"/>
        <v>ASSTD RASTA KEY-CHAINS [17174]</v>
      </c>
    </row>
    <row r="174" spans="1:9" x14ac:dyDescent="0.3">
      <c r="A174" s="1">
        <v>17178</v>
      </c>
      <c r="B174" t="s">
        <v>5972</v>
      </c>
      <c r="C174" s="1">
        <v>1.25</v>
      </c>
      <c r="D174" s="1">
        <v>9.5</v>
      </c>
      <c r="E174" s="1">
        <v>13.3</v>
      </c>
      <c r="F174" s="1">
        <v>10</v>
      </c>
      <c r="G174" s="1">
        <v>156.65</v>
      </c>
      <c r="H174" s="1" t="s">
        <v>8</v>
      </c>
      <c r="I174" t="str">
        <f t="shared" si="2"/>
        <v>FLAT PALM T-LIGHT HOLDER [17178]</v>
      </c>
    </row>
    <row r="175" spans="1:9" x14ac:dyDescent="0.3">
      <c r="A175" s="1">
        <v>17181</v>
      </c>
      <c r="B175" t="s">
        <v>5971</v>
      </c>
      <c r="C175" s="1">
        <v>2.27</v>
      </c>
      <c r="D175" s="1">
        <v>45</v>
      </c>
      <c r="E175" s="2">
        <v>39.2222222222222</v>
      </c>
      <c r="F175" s="1">
        <v>9</v>
      </c>
      <c r="G175" s="1">
        <v>642.66</v>
      </c>
      <c r="H175" s="1" t="s">
        <v>9</v>
      </c>
      <c r="I175" t="str">
        <f t="shared" si="2"/>
        <v>CIRCLE OF FRIENDS CANDLE HOLDER [17181]</v>
      </c>
    </row>
    <row r="176" spans="1:9" x14ac:dyDescent="0.3">
      <c r="A176" s="1" t="s">
        <v>5970</v>
      </c>
      <c r="B176" t="s">
        <v>5969</v>
      </c>
      <c r="C176" s="1">
        <v>3.75</v>
      </c>
      <c r="D176" s="1">
        <v>3</v>
      </c>
      <c r="E176" s="2">
        <v>3.6666666666666599</v>
      </c>
      <c r="F176" s="1">
        <v>9</v>
      </c>
      <c r="G176" s="1">
        <v>123.75</v>
      </c>
      <c r="H176" s="1" t="s">
        <v>8</v>
      </c>
      <c r="I176" t="str">
        <f t="shared" si="2"/>
        <v>ROSE FLOWER CANDLE+INCENSE 16X16CM [17191A]</v>
      </c>
    </row>
    <row r="177" spans="1:9" x14ac:dyDescent="0.3">
      <c r="A177" s="1">
        <v>18007</v>
      </c>
      <c r="B177" t="s">
        <v>5968</v>
      </c>
      <c r="C177" s="1">
        <v>0.18</v>
      </c>
      <c r="D177" s="1">
        <v>40.5</v>
      </c>
      <c r="E177" s="2">
        <v>633.05555555555497</v>
      </c>
      <c r="F177" s="1">
        <v>18</v>
      </c>
      <c r="G177" s="1">
        <v>1042.79</v>
      </c>
      <c r="H177" s="1" t="s">
        <v>9</v>
      </c>
      <c r="I177" t="str">
        <f t="shared" si="2"/>
        <v>ESSENTIAL BALM 3.5g TIN IN ENVELOPE [18007]</v>
      </c>
    </row>
    <row r="178" spans="1:9" x14ac:dyDescent="0.3">
      <c r="A178" s="1">
        <v>18010</v>
      </c>
      <c r="B178" t="s">
        <v>5967</v>
      </c>
      <c r="C178" s="2">
        <v>0.44999999999999901</v>
      </c>
      <c r="D178" s="1">
        <v>32</v>
      </c>
      <c r="E178" s="1">
        <v>32</v>
      </c>
      <c r="F178" s="1">
        <v>2</v>
      </c>
      <c r="G178" s="1">
        <v>30.16</v>
      </c>
      <c r="H178" s="1" t="s">
        <v>9</v>
      </c>
      <c r="I178" t="str">
        <f t="shared" si="2"/>
        <v>ASSORTED FRAGRANCE BATH CONFETTI [18010]</v>
      </c>
    </row>
    <row r="179" spans="1:9" x14ac:dyDescent="0.3">
      <c r="A179" s="1" t="s">
        <v>5966</v>
      </c>
      <c r="B179" t="s">
        <v>5965</v>
      </c>
      <c r="C179" s="1">
        <v>1.39</v>
      </c>
      <c r="D179" s="1">
        <v>16.5</v>
      </c>
      <c r="E179" s="2">
        <v>18.0416666666666</v>
      </c>
      <c r="F179" s="1">
        <v>23</v>
      </c>
      <c r="G179" s="1">
        <v>600.66</v>
      </c>
      <c r="H179" s="1" t="s">
        <v>9</v>
      </c>
      <c r="I179" t="str">
        <f t="shared" si="2"/>
        <v>WHITE/BLUE RECT CERAMIC OIL BURNER [18094C]</v>
      </c>
    </row>
    <row r="180" spans="1:9" x14ac:dyDescent="0.3">
      <c r="A180" s="1" t="s">
        <v>5964</v>
      </c>
      <c r="B180" t="s">
        <v>5962</v>
      </c>
      <c r="C180" s="1">
        <v>2.5499999999999998</v>
      </c>
      <c r="D180" s="1">
        <v>36</v>
      </c>
      <c r="E180" s="1">
        <v>39</v>
      </c>
      <c r="F180" s="1">
        <v>3</v>
      </c>
      <c r="G180" s="1">
        <v>298.7</v>
      </c>
      <c r="H180" s="1" t="s">
        <v>9</v>
      </c>
      <c r="I180" t="str">
        <f t="shared" si="2"/>
        <v>WHITE ROUND PORCELAIN TLIGHT HOLDER [18096C]</v>
      </c>
    </row>
    <row r="181" spans="1:9" x14ac:dyDescent="0.3">
      <c r="A181" s="1" t="s">
        <v>5963</v>
      </c>
      <c r="B181" t="s">
        <v>5962</v>
      </c>
      <c r="C181" s="1">
        <v>5.1150000000000002</v>
      </c>
      <c r="D181" s="1">
        <v>4</v>
      </c>
      <c r="E181" s="1">
        <v>4</v>
      </c>
      <c r="F181" s="1">
        <v>2</v>
      </c>
      <c r="G181" s="1">
        <v>41.14</v>
      </c>
      <c r="H181" s="1" t="s">
        <v>8</v>
      </c>
      <c r="I181" t="str">
        <f t="shared" si="2"/>
        <v>WHITE ROUND PORCELAIN TLIGHT HOLDER [18096c]</v>
      </c>
    </row>
    <row r="182" spans="1:9" x14ac:dyDescent="0.3">
      <c r="A182" s="1" t="s">
        <v>5961</v>
      </c>
      <c r="B182" t="s">
        <v>5960</v>
      </c>
      <c r="C182" s="1">
        <v>2.5499999999999998</v>
      </c>
      <c r="D182" s="1">
        <v>2</v>
      </c>
      <c r="E182" s="2">
        <v>2.4285714285714199</v>
      </c>
      <c r="F182" s="1">
        <v>7</v>
      </c>
      <c r="G182" s="1">
        <v>43.35</v>
      </c>
      <c r="H182" s="1" t="s">
        <v>8</v>
      </c>
      <c r="I182" t="str">
        <f t="shared" si="2"/>
        <v>PINK TALL PORCELAIN T-LIGHT HOLDER [18097A]</v>
      </c>
    </row>
    <row r="183" spans="1:9" x14ac:dyDescent="0.3">
      <c r="A183" s="1" t="s">
        <v>5959</v>
      </c>
      <c r="B183" t="s">
        <v>5958</v>
      </c>
      <c r="C183" s="1">
        <v>2.5499999999999998</v>
      </c>
      <c r="D183" s="1">
        <v>3.5</v>
      </c>
      <c r="E183" s="1">
        <v>3.5</v>
      </c>
      <c r="F183" s="1">
        <v>2</v>
      </c>
      <c r="G183" s="1">
        <v>17.850000000000001</v>
      </c>
      <c r="H183" s="1" t="s">
        <v>8</v>
      </c>
      <c r="I183" t="str">
        <f t="shared" si="2"/>
        <v>BLUE TALL PORCELAIN T-LIGHT HOLDER [18097B]</v>
      </c>
    </row>
    <row r="184" spans="1:9" x14ac:dyDescent="0.3">
      <c r="A184" s="1" t="s">
        <v>5957</v>
      </c>
      <c r="B184" t="s">
        <v>5956</v>
      </c>
      <c r="C184" s="1">
        <v>2.5499999999999998</v>
      </c>
      <c r="D184" s="1">
        <v>49</v>
      </c>
      <c r="E184" s="1">
        <v>70.52</v>
      </c>
      <c r="F184" s="1">
        <v>25</v>
      </c>
      <c r="G184" s="1">
        <v>3924.92</v>
      </c>
      <c r="H184" s="1" t="s">
        <v>9</v>
      </c>
      <c r="I184" t="str">
        <f t="shared" si="2"/>
        <v>WHITE TALL PORCELAIN T-LIGHT HOLDER [18097C]</v>
      </c>
    </row>
    <row r="185" spans="1:9" x14ac:dyDescent="0.3">
      <c r="A185" s="1" t="s">
        <v>5955</v>
      </c>
      <c r="B185" t="s">
        <v>5954</v>
      </c>
      <c r="C185" s="1">
        <v>2.95</v>
      </c>
      <c r="D185" s="1">
        <v>2</v>
      </c>
      <c r="E185" s="1">
        <v>2</v>
      </c>
      <c r="F185" s="1">
        <v>1</v>
      </c>
      <c r="G185" s="1">
        <v>5.9</v>
      </c>
      <c r="H185" s="1" t="s">
        <v>8</v>
      </c>
      <c r="I185" t="str">
        <f t="shared" si="2"/>
        <v>PINK PORCELAIN B'FLY OIL BURNER [18098A]</v>
      </c>
    </row>
    <row r="186" spans="1:9" x14ac:dyDescent="0.3">
      <c r="A186" s="1" t="s">
        <v>5953</v>
      </c>
      <c r="B186" t="s">
        <v>5952</v>
      </c>
      <c r="C186" s="1">
        <v>2.95</v>
      </c>
      <c r="D186" s="1">
        <v>1.5</v>
      </c>
      <c r="E186" s="1">
        <v>1.5</v>
      </c>
      <c r="F186" s="1">
        <v>2</v>
      </c>
      <c r="G186" s="2">
        <v>8.85</v>
      </c>
      <c r="H186" s="1" t="s">
        <v>8</v>
      </c>
      <c r="I186" t="str">
        <f t="shared" si="2"/>
        <v>BLUE PORCELAIN B'FLY OIL BURNER [18098B]</v>
      </c>
    </row>
    <row r="187" spans="1:9" x14ac:dyDescent="0.3">
      <c r="A187" s="1" t="s">
        <v>5951</v>
      </c>
      <c r="B187" t="s">
        <v>5949</v>
      </c>
      <c r="C187" s="1">
        <v>2.95</v>
      </c>
      <c r="D187" s="1">
        <v>55.5</v>
      </c>
      <c r="E187" s="1">
        <v>61.15</v>
      </c>
      <c r="F187" s="1">
        <v>20</v>
      </c>
      <c r="G187" s="1">
        <v>3231.13</v>
      </c>
      <c r="H187" s="1" t="s">
        <v>9</v>
      </c>
      <c r="I187" t="str">
        <f t="shared" si="2"/>
        <v>PORCELAIN BUTTERFLY OIL BURNER [18098C]</v>
      </c>
    </row>
    <row r="188" spans="1:9" x14ac:dyDescent="0.3">
      <c r="A188" s="1" t="s">
        <v>5950</v>
      </c>
      <c r="B188" t="s">
        <v>5949</v>
      </c>
      <c r="C188" s="1">
        <v>5.0599999999999996</v>
      </c>
      <c r="D188" s="1">
        <v>21</v>
      </c>
      <c r="E188" s="2">
        <v>22.4615384615384</v>
      </c>
      <c r="F188" s="1">
        <v>13</v>
      </c>
      <c r="G188" s="2">
        <v>1479.61</v>
      </c>
      <c r="H188" s="1" t="s">
        <v>9</v>
      </c>
      <c r="I188" t="str">
        <f t="shared" si="2"/>
        <v>PORCELAIN BUTTERFLY OIL BURNER [18098c]</v>
      </c>
    </row>
    <row r="189" spans="1:9" x14ac:dyDescent="0.3">
      <c r="A189" s="1">
        <v>20615</v>
      </c>
      <c r="B189" t="s">
        <v>5948</v>
      </c>
      <c r="C189" s="1">
        <v>2.44</v>
      </c>
      <c r="D189" s="1">
        <v>16</v>
      </c>
      <c r="E189" s="1">
        <v>25.48</v>
      </c>
      <c r="F189" s="1">
        <v>25</v>
      </c>
      <c r="G189" s="1">
        <v>1077.81</v>
      </c>
      <c r="H189" s="1" t="s">
        <v>9</v>
      </c>
      <c r="I189" t="str">
        <f t="shared" si="2"/>
        <v>BLUE SPOTTY PASSPORT COVER [20615]</v>
      </c>
    </row>
    <row r="190" spans="1:9" x14ac:dyDescent="0.3">
      <c r="A190" s="1">
        <v>20616</v>
      </c>
      <c r="B190" t="s">
        <v>5947</v>
      </c>
      <c r="C190" s="1">
        <v>1.96</v>
      </c>
      <c r="D190" s="1">
        <v>7</v>
      </c>
      <c r="E190" s="1">
        <v>11.32</v>
      </c>
      <c r="F190" s="1">
        <v>25</v>
      </c>
      <c r="G190" s="1">
        <v>449.26</v>
      </c>
      <c r="H190" s="1" t="s">
        <v>8</v>
      </c>
      <c r="I190" t="str">
        <f t="shared" si="2"/>
        <v>CHERRY BLOSSOM PASSPORT COVER [20616]</v>
      </c>
    </row>
    <row r="191" spans="1:9" x14ac:dyDescent="0.3">
      <c r="A191" s="1">
        <v>20617</v>
      </c>
      <c r="B191" t="s">
        <v>5946</v>
      </c>
      <c r="C191" s="1">
        <v>2.1</v>
      </c>
      <c r="D191" s="1">
        <v>12</v>
      </c>
      <c r="E191" s="2">
        <v>21.652173913043399</v>
      </c>
      <c r="F191" s="1">
        <v>23</v>
      </c>
      <c r="G191" s="1">
        <v>992.99</v>
      </c>
      <c r="H191" s="1" t="s">
        <v>9</v>
      </c>
      <c r="I191" t="str">
        <f t="shared" si="2"/>
        <v>FIRST CLASS PASSPORT COVER [20617]</v>
      </c>
    </row>
    <row r="192" spans="1:9" x14ac:dyDescent="0.3">
      <c r="A192" s="1">
        <v>20618</v>
      </c>
      <c r="B192" t="s">
        <v>5945</v>
      </c>
      <c r="C192" s="1">
        <v>2.1</v>
      </c>
      <c r="D192" s="1">
        <v>9.5</v>
      </c>
      <c r="E192" s="1">
        <v>12.375</v>
      </c>
      <c r="F192" s="1">
        <v>24</v>
      </c>
      <c r="G192" s="1">
        <v>648.54</v>
      </c>
      <c r="H192" s="1" t="s">
        <v>8</v>
      </c>
      <c r="I192" t="str">
        <f t="shared" si="2"/>
        <v>QUEEN OF THE SKIES PASSPORT COVER [20618]</v>
      </c>
    </row>
    <row r="193" spans="1:9" x14ac:dyDescent="0.3">
      <c r="A193" s="1">
        <v>20619</v>
      </c>
      <c r="B193" t="s">
        <v>5944</v>
      </c>
      <c r="C193" s="1">
        <v>2.2000000000000002</v>
      </c>
      <c r="D193" s="1">
        <v>20</v>
      </c>
      <c r="E193" s="1">
        <v>23.12</v>
      </c>
      <c r="F193" s="1">
        <v>25</v>
      </c>
      <c r="G193" s="2">
        <v>1014.42</v>
      </c>
      <c r="H193" s="1" t="s">
        <v>9</v>
      </c>
      <c r="I193" t="str">
        <f t="shared" si="2"/>
        <v>TROPICAL PASSPORT COVER [20619]</v>
      </c>
    </row>
    <row r="194" spans="1:9" x14ac:dyDescent="0.3">
      <c r="A194" s="1">
        <v>20620</v>
      </c>
      <c r="B194" t="s">
        <v>5943</v>
      </c>
      <c r="C194" s="1">
        <v>4.21</v>
      </c>
      <c r="D194" s="1">
        <v>5</v>
      </c>
      <c r="E194" s="1">
        <v>5</v>
      </c>
      <c r="F194" s="1">
        <v>3</v>
      </c>
      <c r="G194" s="1">
        <v>61.76</v>
      </c>
      <c r="H194" s="1" t="s">
        <v>8</v>
      </c>
      <c r="I194" t="str">
        <f t="shared" si="2"/>
        <v>RED SPOTTY PASSPORT COVER [20620]</v>
      </c>
    </row>
    <row r="195" spans="1:9" x14ac:dyDescent="0.3">
      <c r="A195" s="1">
        <v>20621</v>
      </c>
      <c r="B195" t="s">
        <v>5942</v>
      </c>
      <c r="C195" s="1">
        <v>2.1</v>
      </c>
      <c r="D195" s="1">
        <v>6.5</v>
      </c>
      <c r="E195" s="1">
        <v>20.7</v>
      </c>
      <c r="F195" s="1">
        <v>10</v>
      </c>
      <c r="G195" s="1">
        <v>451.67</v>
      </c>
      <c r="H195" s="1" t="s">
        <v>8</v>
      </c>
      <c r="I195" t="str">
        <f t="shared" ref="I195:I258" si="3">B195&amp;" ["&amp;A195&amp;"]"</f>
        <v>ECONOMY PASSPORT COVER [20621]</v>
      </c>
    </row>
    <row r="196" spans="1:9" x14ac:dyDescent="0.3">
      <c r="A196" s="1">
        <v>20622</v>
      </c>
      <c r="B196" t="s">
        <v>5941</v>
      </c>
      <c r="C196" s="1">
        <v>2.1</v>
      </c>
      <c r="D196" s="1">
        <v>8</v>
      </c>
      <c r="E196" s="2">
        <v>22.384615384615302</v>
      </c>
      <c r="F196" s="1">
        <v>25</v>
      </c>
      <c r="G196" s="1">
        <v>1127.5899999999999</v>
      </c>
      <c r="H196" s="1" t="s">
        <v>8</v>
      </c>
      <c r="I196" t="str">
        <f t="shared" si="3"/>
        <v>VIPPASSPORT COVER [20622]</v>
      </c>
    </row>
    <row r="197" spans="1:9" x14ac:dyDescent="0.3">
      <c r="A197" s="1">
        <v>20652</v>
      </c>
      <c r="B197" t="s">
        <v>5940</v>
      </c>
      <c r="C197" s="1">
        <v>1.3</v>
      </c>
      <c r="D197" s="1">
        <v>19</v>
      </c>
      <c r="E197" s="1">
        <v>36.08</v>
      </c>
      <c r="F197" s="1">
        <v>24</v>
      </c>
      <c r="G197" s="1">
        <v>919.79</v>
      </c>
      <c r="H197" s="1" t="s">
        <v>9</v>
      </c>
      <c r="I197" t="str">
        <f t="shared" si="3"/>
        <v>BLUE SPOTTY LUGGAGE TAG [20652]</v>
      </c>
    </row>
    <row r="198" spans="1:9" x14ac:dyDescent="0.3">
      <c r="A198" s="1">
        <v>20653</v>
      </c>
      <c r="B198" t="s">
        <v>5939</v>
      </c>
      <c r="C198" s="1">
        <v>1.42</v>
      </c>
      <c r="D198" s="1">
        <v>6</v>
      </c>
      <c r="E198" s="2">
        <v>9.6190476190476097</v>
      </c>
      <c r="F198" s="1">
        <v>21</v>
      </c>
      <c r="G198" s="1">
        <v>253.75</v>
      </c>
      <c r="H198" s="1" t="s">
        <v>8</v>
      </c>
      <c r="I198" t="str">
        <f t="shared" si="3"/>
        <v>CHERRY BLOSSOM LUGGAGE TAG [20653]</v>
      </c>
    </row>
    <row r="199" spans="1:9" x14ac:dyDescent="0.3">
      <c r="A199" s="1">
        <v>20654</v>
      </c>
      <c r="B199" t="s">
        <v>5938</v>
      </c>
      <c r="C199" s="1">
        <v>1.25</v>
      </c>
      <c r="D199" s="1">
        <v>13</v>
      </c>
      <c r="E199" s="1">
        <v>15.92</v>
      </c>
      <c r="F199" s="1">
        <v>25</v>
      </c>
      <c r="G199" s="2">
        <v>505.409999999999</v>
      </c>
      <c r="H199" s="1" t="s">
        <v>9</v>
      </c>
      <c r="I199" t="str">
        <f t="shared" si="3"/>
        <v>FIRST CLASS LUGGAGE TAG [20654]</v>
      </c>
    </row>
    <row r="200" spans="1:9" x14ac:dyDescent="0.3">
      <c r="A200" s="1">
        <v>20655</v>
      </c>
      <c r="B200" t="s">
        <v>5937</v>
      </c>
      <c r="C200" s="1">
        <v>1.51</v>
      </c>
      <c r="D200" s="1">
        <v>15</v>
      </c>
      <c r="E200" s="1">
        <v>17.25</v>
      </c>
      <c r="F200" s="1">
        <v>24</v>
      </c>
      <c r="G200" s="1">
        <v>608.48</v>
      </c>
      <c r="H200" s="1" t="s">
        <v>9</v>
      </c>
      <c r="I200" t="str">
        <f t="shared" si="3"/>
        <v>QUEEN OF SKIES LUGGAGE TAG [20655]</v>
      </c>
    </row>
    <row r="201" spans="1:9" x14ac:dyDescent="0.3">
      <c r="A201" s="1">
        <v>20657</v>
      </c>
      <c r="B201" t="s">
        <v>5936</v>
      </c>
      <c r="C201" s="1">
        <v>1.25</v>
      </c>
      <c r="D201" s="1">
        <v>8</v>
      </c>
      <c r="E201" s="2">
        <v>28.695652173913</v>
      </c>
      <c r="F201" s="1">
        <v>23</v>
      </c>
      <c r="G201" s="1">
        <v>525.22</v>
      </c>
      <c r="H201" s="1" t="s">
        <v>8</v>
      </c>
      <c r="I201" t="str">
        <f t="shared" si="3"/>
        <v>TROPICAL LUGGAGE TAG [20657]</v>
      </c>
    </row>
    <row r="202" spans="1:9" x14ac:dyDescent="0.3">
      <c r="A202" s="1">
        <v>20658</v>
      </c>
      <c r="B202" t="s">
        <v>5935</v>
      </c>
      <c r="C202" s="1">
        <v>1.41</v>
      </c>
      <c r="D202" s="1">
        <v>62</v>
      </c>
      <c r="E202" s="1">
        <v>68.869565217391298</v>
      </c>
      <c r="F202" s="1">
        <v>22</v>
      </c>
      <c r="G202" s="1">
        <v>2251.36</v>
      </c>
      <c r="H202" s="1" t="s">
        <v>10</v>
      </c>
      <c r="I202" t="str">
        <f t="shared" si="3"/>
        <v>RED SPOTTY LUGGAGE TAG [20658]</v>
      </c>
    </row>
    <row r="203" spans="1:9" x14ac:dyDescent="0.3">
      <c r="A203" s="1">
        <v>20659</v>
      </c>
      <c r="B203" t="s">
        <v>5934</v>
      </c>
      <c r="C203" s="2">
        <v>1.365</v>
      </c>
      <c r="D203" s="1">
        <v>14</v>
      </c>
      <c r="E203" s="1">
        <v>15.375</v>
      </c>
      <c r="F203" s="1">
        <v>24</v>
      </c>
      <c r="G203" s="1">
        <v>533.51</v>
      </c>
      <c r="H203" s="1" t="s">
        <v>9</v>
      </c>
      <c r="I203" t="str">
        <f t="shared" si="3"/>
        <v>ECONOMY LUGGAGE TAG [20659]</v>
      </c>
    </row>
    <row r="204" spans="1:9" x14ac:dyDescent="0.3">
      <c r="A204" s="1">
        <v>20660</v>
      </c>
      <c r="B204" t="s">
        <v>5933</v>
      </c>
      <c r="C204" s="1">
        <v>1.25</v>
      </c>
      <c r="D204" s="1">
        <v>5</v>
      </c>
      <c r="E204" s="2">
        <v>10.1428571428571</v>
      </c>
      <c r="F204" s="1">
        <v>7</v>
      </c>
      <c r="G204" s="1">
        <v>88.75</v>
      </c>
      <c r="H204" s="1" t="s">
        <v>8</v>
      </c>
      <c r="I204" t="str">
        <f t="shared" si="3"/>
        <v>VIP LUGGAGE TAG [20660]</v>
      </c>
    </row>
    <row r="205" spans="1:9" x14ac:dyDescent="0.3">
      <c r="A205" s="1">
        <v>20661</v>
      </c>
      <c r="B205" t="s">
        <v>5932</v>
      </c>
      <c r="C205" s="1">
        <v>2.95</v>
      </c>
      <c r="D205" s="1">
        <v>12</v>
      </c>
      <c r="E205" s="2">
        <v>15.105263157894701</v>
      </c>
      <c r="F205" s="1">
        <v>19</v>
      </c>
      <c r="G205" s="2">
        <v>849.56999999999903</v>
      </c>
      <c r="H205" s="1" t="s">
        <v>9</v>
      </c>
      <c r="I205" t="str">
        <f t="shared" si="3"/>
        <v>BLUE SPOTTY PURSE [20661]</v>
      </c>
    </row>
    <row r="206" spans="1:9" x14ac:dyDescent="0.3">
      <c r="A206" s="1">
        <v>20662</v>
      </c>
      <c r="B206" t="s">
        <v>5931</v>
      </c>
      <c r="C206" s="1">
        <v>2.77</v>
      </c>
      <c r="D206" s="1">
        <v>5</v>
      </c>
      <c r="E206" s="1">
        <v>8</v>
      </c>
      <c r="F206" s="1">
        <v>15</v>
      </c>
      <c r="G206" s="1">
        <v>348.37</v>
      </c>
      <c r="H206" s="1" t="s">
        <v>8</v>
      </c>
      <c r="I206" t="str">
        <f t="shared" si="3"/>
        <v>FIRST CLASS HOLIDAY PURSE [20662]</v>
      </c>
    </row>
    <row r="207" spans="1:9" x14ac:dyDescent="0.3">
      <c r="A207" s="1">
        <v>20663</v>
      </c>
      <c r="B207" t="s">
        <v>5930</v>
      </c>
      <c r="C207" s="1">
        <v>2.5099999999999998</v>
      </c>
      <c r="D207" s="1">
        <v>2.5</v>
      </c>
      <c r="E207" s="1">
        <v>4.375</v>
      </c>
      <c r="F207" s="1">
        <v>16</v>
      </c>
      <c r="G207" s="1">
        <v>185.65</v>
      </c>
      <c r="H207" s="1" t="s">
        <v>8</v>
      </c>
      <c r="I207" t="str">
        <f t="shared" si="3"/>
        <v>QUEEN OF THE SKIES HOLIDAY PURSE [20663]</v>
      </c>
    </row>
    <row r="208" spans="1:9" x14ac:dyDescent="0.3">
      <c r="A208" s="1">
        <v>20664</v>
      </c>
      <c r="B208" t="s">
        <v>5929</v>
      </c>
      <c r="C208" s="1">
        <v>2.95</v>
      </c>
      <c r="D208" s="1">
        <v>3.5</v>
      </c>
      <c r="E208" s="1">
        <v>4.75</v>
      </c>
      <c r="F208" s="1">
        <v>12</v>
      </c>
      <c r="G208" s="1">
        <v>155.41</v>
      </c>
      <c r="H208" s="1" t="s">
        <v>8</v>
      </c>
      <c r="I208" t="str">
        <f t="shared" si="3"/>
        <v>TROPICAL HOLIDAY PURSE [20664]</v>
      </c>
    </row>
    <row r="209" spans="1:9" x14ac:dyDescent="0.3">
      <c r="A209" s="1">
        <v>20665</v>
      </c>
      <c r="B209" t="s">
        <v>5928</v>
      </c>
      <c r="C209" s="1">
        <v>3.16</v>
      </c>
      <c r="D209" s="1">
        <v>43.5</v>
      </c>
      <c r="E209" s="2">
        <v>47.678571428571402</v>
      </c>
      <c r="F209" s="1">
        <v>25</v>
      </c>
      <c r="G209" s="1">
        <v>4256.34</v>
      </c>
      <c r="H209" s="1" t="s">
        <v>9</v>
      </c>
      <c r="I209" t="str">
        <f t="shared" si="3"/>
        <v>RED SPOTTY PURSE [20665]</v>
      </c>
    </row>
    <row r="210" spans="1:9" x14ac:dyDescent="0.3">
      <c r="A210" s="1">
        <v>20666</v>
      </c>
      <c r="B210" t="s">
        <v>5927</v>
      </c>
      <c r="C210" s="1">
        <v>2.88</v>
      </c>
      <c r="D210" s="1">
        <v>6</v>
      </c>
      <c r="E210" s="2">
        <v>8.3076923076922995</v>
      </c>
      <c r="F210" s="1">
        <v>13</v>
      </c>
      <c r="G210" s="1">
        <v>267.60000000000002</v>
      </c>
      <c r="H210" s="1" t="s">
        <v>8</v>
      </c>
      <c r="I210" t="str">
        <f t="shared" si="3"/>
        <v>ECONOMY HOLIDAY PURSE [20666]</v>
      </c>
    </row>
    <row r="211" spans="1:9" x14ac:dyDescent="0.3">
      <c r="A211" s="1">
        <v>20667</v>
      </c>
      <c r="B211" t="s">
        <v>5926</v>
      </c>
      <c r="C211" s="1">
        <v>2.95</v>
      </c>
      <c r="D211" s="1">
        <v>3.5</v>
      </c>
      <c r="E211" s="1">
        <v>4</v>
      </c>
      <c r="F211" s="1">
        <v>10</v>
      </c>
      <c r="G211" s="1">
        <v>108.69</v>
      </c>
      <c r="H211" s="1" t="s">
        <v>8</v>
      </c>
      <c r="I211" t="str">
        <f t="shared" si="3"/>
        <v>CHERRY BLOSSOM PURSE [20667]</v>
      </c>
    </row>
    <row r="212" spans="1:9" x14ac:dyDescent="0.3">
      <c r="A212" s="1">
        <v>20668</v>
      </c>
      <c r="B212" t="s">
        <v>5925</v>
      </c>
      <c r="C212" s="1">
        <v>0.12</v>
      </c>
      <c r="D212" s="1">
        <v>235</v>
      </c>
      <c r="E212" s="1">
        <v>838.04</v>
      </c>
      <c r="F212" s="1">
        <v>25</v>
      </c>
      <c r="G212" s="1">
        <v>2454.88</v>
      </c>
      <c r="H212" s="1" t="s">
        <v>10</v>
      </c>
      <c r="I212" t="str">
        <f t="shared" si="3"/>
        <v>DISCO BALL CHRISTMAS DECORATION [20668]</v>
      </c>
    </row>
    <row r="213" spans="1:9" x14ac:dyDescent="0.3">
      <c r="A213" s="1">
        <v>20669</v>
      </c>
      <c r="B213" t="s">
        <v>5924</v>
      </c>
      <c r="C213" s="1">
        <v>1.39</v>
      </c>
      <c r="D213" s="1">
        <v>33</v>
      </c>
      <c r="E213" s="2">
        <v>34.652173913043399</v>
      </c>
      <c r="F213" s="1">
        <v>23</v>
      </c>
      <c r="G213" s="1">
        <v>1111.8900000000001</v>
      </c>
      <c r="H213" s="1" t="s">
        <v>9</v>
      </c>
      <c r="I213" t="str">
        <f t="shared" si="3"/>
        <v>RED HEART LUGGAGE TAG [20669]</v>
      </c>
    </row>
    <row r="214" spans="1:9" x14ac:dyDescent="0.3">
      <c r="A214" s="1">
        <v>20670</v>
      </c>
      <c r="B214" t="s">
        <v>5923</v>
      </c>
      <c r="C214" s="1">
        <v>2.95</v>
      </c>
      <c r="D214" s="1">
        <v>3</v>
      </c>
      <c r="E214" s="2">
        <v>5.1176470588235201</v>
      </c>
      <c r="F214" s="1">
        <v>17</v>
      </c>
      <c r="G214" s="1">
        <v>257.95999999999998</v>
      </c>
      <c r="H214" s="1" t="s">
        <v>8</v>
      </c>
      <c r="I214" t="str">
        <f t="shared" si="3"/>
        <v>VIP HOLIDAY PURSE [20670]</v>
      </c>
    </row>
    <row r="215" spans="1:9" x14ac:dyDescent="0.3">
      <c r="A215" s="1">
        <v>20671</v>
      </c>
      <c r="B215" t="s">
        <v>5922</v>
      </c>
      <c r="C215" s="1">
        <v>1.31</v>
      </c>
      <c r="D215" s="1">
        <v>62</v>
      </c>
      <c r="E215" s="2">
        <v>60.461538461538403</v>
      </c>
      <c r="F215" s="1">
        <v>13</v>
      </c>
      <c r="G215" s="1">
        <v>1038.72</v>
      </c>
      <c r="H215" s="1" t="s">
        <v>10</v>
      </c>
      <c r="I215" t="str">
        <f t="shared" si="3"/>
        <v>BLUE TEATIME PRINT BOWL [20671]</v>
      </c>
    </row>
    <row r="216" spans="1:9" x14ac:dyDescent="0.3">
      <c r="A216" s="1">
        <v>20672</v>
      </c>
      <c r="B216" t="s">
        <v>5921</v>
      </c>
      <c r="C216" s="1">
        <v>1.56</v>
      </c>
      <c r="D216" s="1">
        <v>35</v>
      </c>
      <c r="E216" s="1">
        <v>34.5</v>
      </c>
      <c r="F216" s="1">
        <v>4</v>
      </c>
      <c r="G216" s="1">
        <v>201</v>
      </c>
      <c r="H216" s="1" t="s">
        <v>9</v>
      </c>
      <c r="I216" t="str">
        <f t="shared" si="3"/>
        <v>PINK TEATIME PRINT BOWL [20672]</v>
      </c>
    </row>
    <row r="217" spans="1:9" x14ac:dyDescent="0.3">
      <c r="A217" s="1">
        <v>20673</v>
      </c>
      <c r="B217" t="s">
        <v>5920</v>
      </c>
      <c r="C217" s="1">
        <v>1.25</v>
      </c>
      <c r="D217" s="1">
        <v>5</v>
      </c>
      <c r="E217" s="1">
        <v>5</v>
      </c>
      <c r="F217" s="1">
        <v>1</v>
      </c>
      <c r="G217" s="1">
        <v>6.25</v>
      </c>
      <c r="H217" s="1" t="s">
        <v>8</v>
      </c>
      <c r="I217" t="str">
        <f t="shared" si="3"/>
        <v>STRAWBERRIES PRINT BOWL [20673]</v>
      </c>
    </row>
    <row r="218" spans="1:9" x14ac:dyDescent="0.3">
      <c r="A218" s="1">
        <v>20674</v>
      </c>
      <c r="B218" t="s">
        <v>5919</v>
      </c>
      <c r="C218" s="1">
        <v>1.29</v>
      </c>
      <c r="D218" s="1">
        <v>124</v>
      </c>
      <c r="E218" s="2">
        <v>126.37037037037</v>
      </c>
      <c r="F218" s="1">
        <v>25</v>
      </c>
      <c r="G218" s="1">
        <v>4348.5200000000004</v>
      </c>
      <c r="H218" s="1" t="s">
        <v>10</v>
      </c>
      <c r="I218" t="str">
        <f t="shared" si="3"/>
        <v>GREEN SPOTTY BOWL [20674]</v>
      </c>
    </row>
    <row r="219" spans="1:9" x14ac:dyDescent="0.3">
      <c r="A219" s="1">
        <v>20675</v>
      </c>
      <c r="B219" t="s">
        <v>5918</v>
      </c>
      <c r="C219" s="1">
        <v>1.26</v>
      </c>
      <c r="D219" s="1">
        <v>217</v>
      </c>
      <c r="E219" s="2">
        <v>239.444444444444</v>
      </c>
      <c r="F219" s="1">
        <v>25</v>
      </c>
      <c r="G219" s="1">
        <v>8067.83</v>
      </c>
      <c r="H219" s="1" t="s">
        <v>10</v>
      </c>
      <c r="I219" t="str">
        <f t="shared" si="3"/>
        <v>BLUE SPOTTY BOWL [20675]</v>
      </c>
    </row>
    <row r="220" spans="1:9" x14ac:dyDescent="0.3">
      <c r="A220" s="1">
        <v>20676</v>
      </c>
      <c r="B220" t="s">
        <v>5917</v>
      </c>
      <c r="C220" s="1">
        <v>1.25</v>
      </c>
      <c r="D220" s="1">
        <v>368</v>
      </c>
      <c r="E220" s="1">
        <v>387.96296296296299</v>
      </c>
      <c r="F220" s="1">
        <v>25</v>
      </c>
      <c r="G220" s="1">
        <v>13105.7</v>
      </c>
      <c r="H220" s="1" t="s">
        <v>10</v>
      </c>
      <c r="I220" t="str">
        <f t="shared" si="3"/>
        <v>RED SPOTTY BOWL [20676]</v>
      </c>
    </row>
    <row r="221" spans="1:9" x14ac:dyDescent="0.3">
      <c r="A221" s="1">
        <v>20677</v>
      </c>
      <c r="B221" t="s">
        <v>5916</v>
      </c>
      <c r="C221" s="1">
        <v>1.27</v>
      </c>
      <c r="D221" s="1">
        <v>266</v>
      </c>
      <c r="E221" s="2">
        <v>287.92592592592501</v>
      </c>
      <c r="F221" s="1">
        <v>25</v>
      </c>
      <c r="G221" s="1">
        <v>9798.06</v>
      </c>
      <c r="H221" s="1" t="s">
        <v>10</v>
      </c>
      <c r="I221" t="str">
        <f t="shared" si="3"/>
        <v>PINK SPOTTY BOWL [20677]</v>
      </c>
    </row>
    <row r="222" spans="1:9" x14ac:dyDescent="0.3">
      <c r="A222" s="1">
        <v>20678</v>
      </c>
      <c r="B222" t="s">
        <v>5915</v>
      </c>
      <c r="C222" s="1">
        <v>1.65</v>
      </c>
      <c r="D222" s="1">
        <v>4</v>
      </c>
      <c r="E222" s="1">
        <v>4</v>
      </c>
      <c r="F222" s="1">
        <v>1</v>
      </c>
      <c r="G222" s="1">
        <v>6.6</v>
      </c>
      <c r="H222" s="1" t="s">
        <v>8</v>
      </c>
      <c r="I222" t="str">
        <f t="shared" si="3"/>
        <v>LARGE BLACK DIAMANTE HAIRSLIDE [20678]</v>
      </c>
    </row>
    <row r="223" spans="1:9" x14ac:dyDescent="0.3">
      <c r="A223" s="1">
        <v>20679</v>
      </c>
      <c r="B223" t="s">
        <v>5914</v>
      </c>
      <c r="C223" s="1">
        <v>5.73</v>
      </c>
      <c r="D223" s="1">
        <v>148</v>
      </c>
      <c r="E223" s="1">
        <v>245.96</v>
      </c>
      <c r="F223" s="1">
        <v>25</v>
      </c>
      <c r="G223" s="1">
        <v>30020.97</v>
      </c>
      <c r="H223" s="1" t="s">
        <v>10</v>
      </c>
      <c r="I223" t="str">
        <f t="shared" si="3"/>
        <v>EDWARDIAN PARASOL RED [20679]</v>
      </c>
    </row>
    <row r="224" spans="1:9" x14ac:dyDescent="0.3">
      <c r="A224" s="1">
        <v>20680</v>
      </c>
      <c r="B224" t="s">
        <v>5913</v>
      </c>
      <c r="C224" s="1">
        <v>3.25</v>
      </c>
      <c r="D224" s="1">
        <v>3</v>
      </c>
      <c r="E224" s="1">
        <v>3</v>
      </c>
      <c r="F224" s="1">
        <v>2</v>
      </c>
      <c r="G224" s="1">
        <v>19.5</v>
      </c>
      <c r="H224" s="1" t="s">
        <v>8</v>
      </c>
      <c r="I224" t="str">
        <f t="shared" si="3"/>
        <v>PINK FLOWERS CHILDS UMBRELLA [20680]</v>
      </c>
    </row>
    <row r="225" spans="1:9" x14ac:dyDescent="0.3">
      <c r="A225" s="1">
        <v>20681</v>
      </c>
      <c r="B225" t="s">
        <v>5912</v>
      </c>
      <c r="C225" s="1">
        <v>3.375</v>
      </c>
      <c r="D225" s="1">
        <v>60.5</v>
      </c>
      <c r="E225" s="2">
        <v>78.0555555555555</v>
      </c>
      <c r="F225" s="1">
        <v>16</v>
      </c>
      <c r="G225" s="1">
        <v>4757.1499999999996</v>
      </c>
      <c r="H225" s="1" t="s">
        <v>9</v>
      </c>
      <c r="I225" t="str">
        <f t="shared" si="3"/>
        <v>PINK SPOTTY CHILDS UMBRELLA [20681]</v>
      </c>
    </row>
    <row r="226" spans="1:9" x14ac:dyDescent="0.3">
      <c r="A226" s="1">
        <v>20682</v>
      </c>
      <c r="B226" t="s">
        <v>5911</v>
      </c>
      <c r="C226" s="1">
        <v>3.32</v>
      </c>
      <c r="D226" s="1">
        <v>116</v>
      </c>
      <c r="E226" s="2">
        <v>113.62962962962899</v>
      </c>
      <c r="F226" s="1">
        <v>25</v>
      </c>
      <c r="G226" s="1">
        <v>10171.31</v>
      </c>
      <c r="H226" s="1" t="s">
        <v>10</v>
      </c>
      <c r="I226" t="str">
        <f t="shared" si="3"/>
        <v>RED SPOTTY CHILDS UMBRELLA [20682]</v>
      </c>
    </row>
    <row r="227" spans="1:9" x14ac:dyDescent="0.3">
      <c r="A227" s="1">
        <v>20683</v>
      </c>
      <c r="B227" t="s">
        <v>5910</v>
      </c>
      <c r="C227" s="1">
        <v>3.25</v>
      </c>
      <c r="D227" s="1">
        <v>1</v>
      </c>
      <c r="E227" s="1">
        <v>1</v>
      </c>
      <c r="F227" s="1">
        <v>1</v>
      </c>
      <c r="G227" s="1">
        <v>3.25</v>
      </c>
      <c r="H227" s="1" t="s">
        <v>8</v>
      </c>
      <c r="I227" t="str">
        <f t="shared" si="3"/>
        <v>RAIN GIRL CHILDS UMBRELLA [20683]</v>
      </c>
    </row>
    <row r="228" spans="1:9" x14ac:dyDescent="0.3">
      <c r="A228" s="1">
        <v>20684</v>
      </c>
      <c r="B228" t="s">
        <v>5909</v>
      </c>
      <c r="C228" s="1">
        <v>3.25</v>
      </c>
      <c r="D228" s="1">
        <v>21</v>
      </c>
      <c r="E228" s="1">
        <v>29</v>
      </c>
      <c r="F228" s="1">
        <v>20</v>
      </c>
      <c r="G228" s="1">
        <v>1910.06</v>
      </c>
      <c r="H228" s="1" t="s">
        <v>9</v>
      </c>
      <c r="I228" t="str">
        <f t="shared" si="3"/>
        <v>STRAWBERRY DREAM CHILDS UMBRELLA [20684]</v>
      </c>
    </row>
    <row r="229" spans="1:9" x14ac:dyDescent="0.3">
      <c r="A229" s="1">
        <v>20685</v>
      </c>
      <c r="B229" t="s">
        <v>5908</v>
      </c>
      <c r="C229" s="1">
        <v>7.32</v>
      </c>
      <c r="D229" s="1">
        <v>307</v>
      </c>
      <c r="E229" s="2">
        <v>296.45454545454498</v>
      </c>
      <c r="F229" s="1">
        <v>25</v>
      </c>
      <c r="G229" s="1">
        <v>66417.47</v>
      </c>
      <c r="H229" s="1" t="s">
        <v>10</v>
      </c>
      <c r="I229" t="str">
        <f t="shared" si="3"/>
        <v>RED SPOTTY COIR DOORMAT [20685]</v>
      </c>
    </row>
    <row r="230" spans="1:9" x14ac:dyDescent="0.3">
      <c r="A230" s="1">
        <v>20686</v>
      </c>
      <c r="B230" t="s">
        <v>5907</v>
      </c>
      <c r="C230" s="1">
        <v>3.27</v>
      </c>
      <c r="D230" s="1">
        <v>22</v>
      </c>
      <c r="E230" s="1">
        <v>23.6</v>
      </c>
      <c r="F230" s="1">
        <v>25</v>
      </c>
      <c r="G230" s="1">
        <v>2002.84</v>
      </c>
      <c r="H230" s="1" t="s">
        <v>9</v>
      </c>
      <c r="I230" t="str">
        <f t="shared" si="3"/>
        <v>DOLLY MIXTURE CHILDREN'S UMBRELLA [20686]</v>
      </c>
    </row>
    <row r="231" spans="1:9" x14ac:dyDescent="0.3">
      <c r="A231" s="1">
        <v>20688</v>
      </c>
      <c r="B231" t="s">
        <v>5906</v>
      </c>
      <c r="C231" s="1">
        <v>2.2799999999999998</v>
      </c>
      <c r="D231" s="1">
        <v>36</v>
      </c>
      <c r="E231" s="1">
        <v>36</v>
      </c>
      <c r="F231" s="1">
        <v>1</v>
      </c>
      <c r="G231" s="1">
        <v>82.2</v>
      </c>
      <c r="H231" s="1" t="s">
        <v>9</v>
      </c>
      <c r="I231" t="str">
        <f t="shared" si="3"/>
        <v>BEAUTY SPEED EXPRESSO CUPS [20688]</v>
      </c>
    </row>
    <row r="232" spans="1:9" x14ac:dyDescent="0.3">
      <c r="A232" s="1">
        <v>20689</v>
      </c>
      <c r="B232" t="s">
        <v>5905</v>
      </c>
      <c r="C232" s="1">
        <v>5.95</v>
      </c>
      <c r="D232" s="1">
        <v>8</v>
      </c>
      <c r="E232" s="2">
        <v>9.1428571428571406</v>
      </c>
      <c r="F232" s="1">
        <v>7</v>
      </c>
      <c r="G232" s="1">
        <v>386.35</v>
      </c>
      <c r="H232" s="1" t="s">
        <v>8</v>
      </c>
      <c r="I232" t="str">
        <f t="shared" si="3"/>
        <v>RETRO SISTERS EXPRESSO CUPS [20689]</v>
      </c>
    </row>
    <row r="233" spans="1:9" x14ac:dyDescent="0.3">
      <c r="A233" s="1">
        <v>20692</v>
      </c>
      <c r="B233" t="s">
        <v>5904</v>
      </c>
      <c r="C233" s="1">
        <v>4.24</v>
      </c>
      <c r="D233" s="1">
        <v>102</v>
      </c>
      <c r="E233" s="2">
        <v>100.888888888888</v>
      </c>
      <c r="F233" s="1">
        <v>9</v>
      </c>
      <c r="G233" s="2">
        <v>3682.7599999999902</v>
      </c>
      <c r="H233" s="1" t="s">
        <v>10</v>
      </c>
      <c r="I233" t="str">
        <f t="shared" si="3"/>
        <v>FLORAL ELEPHANT SOFT TOY [20692]</v>
      </c>
    </row>
    <row r="234" spans="1:9" x14ac:dyDescent="0.3">
      <c r="A234" s="1">
        <v>20693</v>
      </c>
      <c r="B234" t="s">
        <v>5903</v>
      </c>
      <c r="C234" s="1">
        <v>4.8550000000000004</v>
      </c>
      <c r="D234" s="1">
        <v>8.5</v>
      </c>
      <c r="E234" s="1">
        <v>8.25</v>
      </c>
      <c r="F234" s="1">
        <v>4</v>
      </c>
      <c r="G234" s="1">
        <v>161.88999999999999</v>
      </c>
      <c r="H234" s="1" t="s">
        <v>8</v>
      </c>
      <c r="I234" t="str">
        <f t="shared" si="3"/>
        <v>FLORAL DINOSAUR GREEN [20693]</v>
      </c>
    </row>
    <row r="235" spans="1:9" x14ac:dyDescent="0.3">
      <c r="A235" s="1">
        <v>20694</v>
      </c>
      <c r="B235" t="s">
        <v>5902</v>
      </c>
      <c r="C235" s="1">
        <v>3.79</v>
      </c>
      <c r="D235" s="1">
        <v>5</v>
      </c>
      <c r="E235" s="1">
        <v>8.3000000000000007</v>
      </c>
      <c r="F235" s="1">
        <v>20</v>
      </c>
      <c r="G235" s="1">
        <v>622.33000000000004</v>
      </c>
      <c r="H235" s="1" t="s">
        <v>8</v>
      </c>
      <c r="I235" t="str">
        <f t="shared" si="3"/>
        <v>FLORAL PINK MONSTER [20694]</v>
      </c>
    </row>
    <row r="236" spans="1:9" x14ac:dyDescent="0.3">
      <c r="A236" s="1">
        <v>20695</v>
      </c>
      <c r="B236" t="s">
        <v>5901</v>
      </c>
      <c r="C236" s="1">
        <v>4.25</v>
      </c>
      <c r="D236" s="1">
        <v>3.5</v>
      </c>
      <c r="E236" s="1">
        <v>8.875</v>
      </c>
      <c r="F236" s="1">
        <v>16</v>
      </c>
      <c r="G236" s="1">
        <v>604.58000000000004</v>
      </c>
      <c r="H236" s="1" t="s">
        <v>8</v>
      </c>
      <c r="I236" t="str">
        <f t="shared" si="3"/>
        <v>FLORAL BLUE MONSTER [20695]</v>
      </c>
    </row>
    <row r="237" spans="1:9" x14ac:dyDescent="0.3">
      <c r="A237" s="1">
        <v>20696</v>
      </c>
      <c r="B237" t="s">
        <v>5900</v>
      </c>
      <c r="C237" s="1">
        <v>3.75</v>
      </c>
      <c r="D237" s="1">
        <v>6</v>
      </c>
      <c r="E237" s="2">
        <v>7.1904761904761898</v>
      </c>
      <c r="F237" s="1">
        <v>21</v>
      </c>
      <c r="G237" s="1">
        <v>617.94000000000005</v>
      </c>
      <c r="H237" s="1" t="s">
        <v>8</v>
      </c>
      <c r="I237" t="str">
        <f t="shared" si="3"/>
        <v>FLORAL SOFT CAR TOY [20696]</v>
      </c>
    </row>
    <row r="238" spans="1:9" x14ac:dyDescent="0.3">
      <c r="A238" s="1">
        <v>20697</v>
      </c>
      <c r="B238" t="s">
        <v>5899</v>
      </c>
      <c r="C238" s="1">
        <v>2.5499999999999998</v>
      </c>
      <c r="D238" s="1">
        <v>2</v>
      </c>
      <c r="E238" s="2">
        <v>3.07692307692307</v>
      </c>
      <c r="F238" s="1">
        <v>13</v>
      </c>
      <c r="G238" s="1">
        <v>96.6</v>
      </c>
      <c r="H238" s="1" t="s">
        <v>8</v>
      </c>
      <c r="I238" t="str">
        <f t="shared" si="3"/>
        <v>LITTLE GREEN MONSTER SOFT TOY [20697]</v>
      </c>
    </row>
    <row r="239" spans="1:9" x14ac:dyDescent="0.3">
      <c r="A239" s="1">
        <v>20698</v>
      </c>
      <c r="B239" t="s">
        <v>5898</v>
      </c>
      <c r="C239" s="1">
        <v>2.5499999999999998</v>
      </c>
      <c r="D239" s="1">
        <v>3</v>
      </c>
      <c r="E239" s="2">
        <v>3.9166666666666599</v>
      </c>
      <c r="F239" s="1">
        <v>12</v>
      </c>
      <c r="G239" s="1">
        <v>114.45</v>
      </c>
      <c r="H239" s="1" t="s">
        <v>8</v>
      </c>
      <c r="I239" t="str">
        <f t="shared" si="3"/>
        <v>LITTLE PINK MONSTER SOFT TOY [20698]</v>
      </c>
    </row>
    <row r="240" spans="1:9" x14ac:dyDescent="0.3">
      <c r="A240" s="1">
        <v>20699</v>
      </c>
      <c r="B240" t="s">
        <v>5897</v>
      </c>
      <c r="C240" s="1">
        <v>2.5499999999999998</v>
      </c>
      <c r="D240" s="1">
        <v>8.5</v>
      </c>
      <c r="E240" s="1">
        <v>14.7</v>
      </c>
      <c r="F240" s="1">
        <v>20</v>
      </c>
      <c r="G240" s="1">
        <v>797.96</v>
      </c>
      <c r="H240" s="1" t="s">
        <v>8</v>
      </c>
      <c r="I240" t="str">
        <f t="shared" si="3"/>
        <v>MOUSEY LONG LEGS SOFT TOY [20699]</v>
      </c>
    </row>
    <row r="241" spans="1:9" x14ac:dyDescent="0.3">
      <c r="A241" s="1">
        <v>20700</v>
      </c>
      <c r="B241" t="s">
        <v>5896</v>
      </c>
      <c r="C241" s="1">
        <v>8.3000000000000007</v>
      </c>
      <c r="D241" s="1">
        <v>3</v>
      </c>
      <c r="E241" s="2">
        <v>5.7222222222222197</v>
      </c>
      <c r="F241" s="1">
        <v>18</v>
      </c>
      <c r="G241" s="1">
        <v>573.23</v>
      </c>
      <c r="H241" s="1" t="s">
        <v>8</v>
      </c>
      <c r="I241" t="str">
        <f t="shared" si="3"/>
        <v>GREEN CAT FLORAL CUSHION COVER [20700]</v>
      </c>
    </row>
    <row r="242" spans="1:9" x14ac:dyDescent="0.3">
      <c r="A242" s="1">
        <v>20701</v>
      </c>
      <c r="B242" t="s">
        <v>5895</v>
      </c>
      <c r="C242" s="1">
        <v>3.75</v>
      </c>
      <c r="D242" s="1">
        <v>5</v>
      </c>
      <c r="E242" s="2">
        <v>39.2222222222222</v>
      </c>
      <c r="F242" s="1">
        <v>9</v>
      </c>
      <c r="G242" s="1">
        <v>721.49</v>
      </c>
      <c r="H242" s="1" t="s">
        <v>8</v>
      </c>
      <c r="I242" t="str">
        <f t="shared" si="3"/>
        <v>PINK CAT FLORAL CUSHION COVER [20701]</v>
      </c>
    </row>
    <row r="243" spans="1:9" x14ac:dyDescent="0.3">
      <c r="A243" s="1">
        <v>20702</v>
      </c>
      <c r="B243" t="s">
        <v>5894</v>
      </c>
      <c r="C243" s="1">
        <v>4.25</v>
      </c>
      <c r="D243" s="1">
        <v>27</v>
      </c>
      <c r="E243" s="2">
        <v>35.545454545454497</v>
      </c>
      <c r="F243" s="1">
        <v>22</v>
      </c>
      <c r="G243" s="1">
        <v>3296.7</v>
      </c>
      <c r="H243" s="1" t="s">
        <v>9</v>
      </c>
      <c r="I243" t="str">
        <f t="shared" si="3"/>
        <v>PINK PADDED MOBILE [20702]</v>
      </c>
    </row>
    <row r="244" spans="1:9" x14ac:dyDescent="0.3">
      <c r="A244" s="1">
        <v>20703</v>
      </c>
      <c r="B244" t="s">
        <v>5893</v>
      </c>
      <c r="C244" s="1">
        <v>4.25</v>
      </c>
      <c r="D244" s="1">
        <v>36</v>
      </c>
      <c r="E244" s="2">
        <v>36.230769230769198</v>
      </c>
      <c r="F244" s="1">
        <v>13</v>
      </c>
      <c r="G244" s="1">
        <v>1993.47</v>
      </c>
      <c r="H244" s="1" t="s">
        <v>9</v>
      </c>
      <c r="I244" t="str">
        <f t="shared" si="3"/>
        <v>BLUE PADDED SOFT MOBILE [20703]</v>
      </c>
    </row>
    <row r="245" spans="1:9" x14ac:dyDescent="0.3">
      <c r="A245" s="1">
        <v>20704</v>
      </c>
      <c r="B245" t="s">
        <v>5892</v>
      </c>
      <c r="C245" s="1">
        <v>6.95</v>
      </c>
      <c r="D245" s="1">
        <v>6</v>
      </c>
      <c r="E245" s="2">
        <v>15.695652173913</v>
      </c>
      <c r="F245" s="1">
        <v>23</v>
      </c>
      <c r="G245" s="1">
        <v>1371.42</v>
      </c>
      <c r="H245" s="1" t="s">
        <v>8</v>
      </c>
      <c r="I245" t="str">
        <f t="shared" si="3"/>
        <v>MR ROBOT SOFT TOY [20704]</v>
      </c>
    </row>
    <row r="246" spans="1:9" x14ac:dyDescent="0.3">
      <c r="A246" s="1">
        <v>20705</v>
      </c>
      <c r="B246" t="s">
        <v>5891</v>
      </c>
      <c r="C246" s="1">
        <v>6.95</v>
      </c>
      <c r="D246" s="1">
        <v>2</v>
      </c>
      <c r="E246" s="2">
        <v>8.0476190476190403</v>
      </c>
      <c r="F246" s="1">
        <v>21</v>
      </c>
      <c r="G246" s="1">
        <v>793.39</v>
      </c>
      <c r="H246" s="1" t="s">
        <v>8</v>
      </c>
      <c r="I246" t="str">
        <f t="shared" si="3"/>
        <v>MRS ROBOT SOFT TOY [20705]</v>
      </c>
    </row>
    <row r="247" spans="1:9" x14ac:dyDescent="0.3">
      <c r="A247" s="1">
        <v>20707</v>
      </c>
      <c r="B247" t="s">
        <v>5890</v>
      </c>
      <c r="C247" s="1">
        <v>1.3</v>
      </c>
      <c r="D247" s="1">
        <v>21</v>
      </c>
      <c r="E247" s="1">
        <v>64.52</v>
      </c>
      <c r="F247" s="1">
        <v>25</v>
      </c>
      <c r="G247" s="1">
        <v>1243.68</v>
      </c>
      <c r="H247" s="1" t="s">
        <v>9</v>
      </c>
      <c r="I247" t="str">
        <f t="shared" si="3"/>
        <v>CRAZY DAISY HEART DECORATION [20707]</v>
      </c>
    </row>
    <row r="248" spans="1:9" x14ac:dyDescent="0.3">
      <c r="A248" s="1">
        <v>20711</v>
      </c>
      <c r="B248" t="s">
        <v>5889</v>
      </c>
      <c r="C248" s="1">
        <v>2.1</v>
      </c>
      <c r="D248" s="1">
        <v>496</v>
      </c>
      <c r="E248" s="1">
        <v>505.72</v>
      </c>
      <c r="F248" s="1">
        <v>25</v>
      </c>
      <c r="G248" s="1">
        <v>25719.13</v>
      </c>
      <c r="H248" s="1" t="s">
        <v>10</v>
      </c>
      <c r="I248" t="str">
        <f t="shared" si="3"/>
        <v>JUMBO BAG TOYS [20711]</v>
      </c>
    </row>
    <row r="249" spans="1:9" x14ac:dyDescent="0.3">
      <c r="A249" s="1">
        <v>20712</v>
      </c>
      <c r="B249" t="s">
        <v>5888</v>
      </c>
      <c r="C249" s="1">
        <v>2.19</v>
      </c>
      <c r="D249" s="1">
        <v>667.5</v>
      </c>
      <c r="E249" s="1">
        <v>733.75</v>
      </c>
      <c r="F249" s="1">
        <v>24</v>
      </c>
      <c r="G249" s="1">
        <v>36993.370000000003</v>
      </c>
      <c r="H249" s="1" t="s">
        <v>10</v>
      </c>
      <c r="I249" t="str">
        <f t="shared" si="3"/>
        <v>JUMBO BAG WOODLAND ANIMALS [20712]</v>
      </c>
    </row>
    <row r="250" spans="1:9" x14ac:dyDescent="0.3">
      <c r="A250" s="1">
        <v>20713</v>
      </c>
      <c r="B250" t="s">
        <v>5887</v>
      </c>
      <c r="C250" s="2">
        <v>1.90499999999999</v>
      </c>
      <c r="D250" s="1">
        <v>798</v>
      </c>
      <c r="E250" s="2">
        <v>940.18181818181802</v>
      </c>
      <c r="F250" s="1">
        <v>22</v>
      </c>
      <c r="G250" s="1">
        <v>40102.550000000003</v>
      </c>
      <c r="H250" s="1" t="s">
        <v>10</v>
      </c>
      <c r="I250" t="str">
        <f t="shared" si="3"/>
        <v>JUMBO BAG OWLS [20713]</v>
      </c>
    </row>
    <row r="251" spans="1:9" x14ac:dyDescent="0.3">
      <c r="A251" s="1">
        <v>20714</v>
      </c>
      <c r="B251" t="s">
        <v>5886</v>
      </c>
      <c r="C251" s="1">
        <v>0.48</v>
      </c>
      <c r="D251" s="1">
        <v>790</v>
      </c>
      <c r="E251" s="1">
        <v>790</v>
      </c>
      <c r="F251" s="1">
        <v>2</v>
      </c>
      <c r="G251" s="1">
        <v>649.82000000000005</v>
      </c>
      <c r="H251" s="1" t="s">
        <v>10</v>
      </c>
      <c r="I251" t="str">
        <f t="shared" si="3"/>
        <v>POSY SHOPPER BAG [20714]</v>
      </c>
    </row>
    <row r="252" spans="1:9" x14ac:dyDescent="0.3">
      <c r="A252" s="1">
        <v>20715</v>
      </c>
      <c r="B252" t="s">
        <v>5885</v>
      </c>
      <c r="C252" s="1">
        <v>1.06</v>
      </c>
      <c r="D252" s="1">
        <v>400</v>
      </c>
      <c r="E252" s="1">
        <v>400</v>
      </c>
      <c r="F252" s="1">
        <v>1</v>
      </c>
      <c r="G252" s="1">
        <v>424</v>
      </c>
      <c r="H252" s="1" t="s">
        <v>10</v>
      </c>
      <c r="I252" t="str">
        <f t="shared" si="3"/>
        <v>LITTLE FLOWER SHOPPER BAG [20715]</v>
      </c>
    </row>
    <row r="253" spans="1:9" x14ac:dyDescent="0.3">
      <c r="A253" s="1">
        <v>20716</v>
      </c>
      <c r="B253" t="s">
        <v>5884</v>
      </c>
      <c r="C253" s="1">
        <v>1.29</v>
      </c>
      <c r="D253" s="1">
        <v>86</v>
      </c>
      <c r="E253" s="1">
        <v>80.684210526315795</v>
      </c>
      <c r="F253" s="1">
        <v>19</v>
      </c>
      <c r="G253" s="1">
        <v>1925.04</v>
      </c>
      <c r="H253" s="1" t="s">
        <v>10</v>
      </c>
      <c r="I253" t="str">
        <f t="shared" si="3"/>
        <v>PARTY FOOD SHOPPER BAG [20716]</v>
      </c>
    </row>
    <row r="254" spans="1:9" x14ac:dyDescent="0.3">
      <c r="A254" s="1">
        <v>20717</v>
      </c>
      <c r="B254" t="s">
        <v>5883</v>
      </c>
      <c r="C254" s="1">
        <v>1.3</v>
      </c>
      <c r="D254" s="1">
        <v>251</v>
      </c>
      <c r="E254" s="1">
        <v>251.84</v>
      </c>
      <c r="F254" s="1">
        <v>25</v>
      </c>
      <c r="G254" s="1">
        <v>7767.48</v>
      </c>
      <c r="H254" s="1" t="s">
        <v>10</v>
      </c>
      <c r="I254" t="str">
        <f t="shared" si="3"/>
        <v>STRAWBERRY SHOPPER BAG [20717]</v>
      </c>
    </row>
    <row r="255" spans="1:9" x14ac:dyDescent="0.3">
      <c r="A255" s="1">
        <v>20718</v>
      </c>
      <c r="B255" t="s">
        <v>5882</v>
      </c>
      <c r="C255" s="1">
        <v>1.31</v>
      </c>
      <c r="D255" s="1">
        <v>441</v>
      </c>
      <c r="E255" s="2">
        <v>494.55555555555497</v>
      </c>
      <c r="F255" s="1">
        <v>25</v>
      </c>
      <c r="G255" s="1">
        <v>17457.349999999999</v>
      </c>
      <c r="H255" s="1" t="s">
        <v>10</v>
      </c>
      <c r="I255" t="str">
        <f t="shared" si="3"/>
        <v>RED SPOTTY SHOPPER BAG [20718]</v>
      </c>
    </row>
    <row r="256" spans="1:9" x14ac:dyDescent="0.3">
      <c r="A256" s="1">
        <v>20719</v>
      </c>
      <c r="B256" t="s">
        <v>5881</v>
      </c>
      <c r="C256" s="1">
        <v>1.1299999999999999</v>
      </c>
      <c r="D256" s="1">
        <v>897</v>
      </c>
      <c r="E256" s="1">
        <v>979.16</v>
      </c>
      <c r="F256" s="1">
        <v>25</v>
      </c>
      <c r="G256" s="1">
        <v>27598.42</v>
      </c>
      <c r="H256" s="1" t="s">
        <v>10</v>
      </c>
      <c r="I256" t="str">
        <f t="shared" si="3"/>
        <v>WOODLAND CHARLOTTE BAG [20719]</v>
      </c>
    </row>
    <row r="257" spans="1:9" x14ac:dyDescent="0.3">
      <c r="A257" s="1">
        <v>20721</v>
      </c>
      <c r="B257" t="s">
        <v>5880</v>
      </c>
      <c r="C257" s="1">
        <v>0.85</v>
      </c>
      <c r="D257" s="1">
        <v>1</v>
      </c>
      <c r="E257" s="1">
        <v>1</v>
      </c>
      <c r="F257" s="1">
        <v>1</v>
      </c>
      <c r="G257" s="1">
        <v>0.85</v>
      </c>
      <c r="H257" s="1" t="s">
        <v>8</v>
      </c>
      <c r="I257" t="str">
        <f t="shared" si="3"/>
        <v>OWLS CHARLOTTE BAG [20721]</v>
      </c>
    </row>
    <row r="258" spans="1:9" x14ac:dyDescent="0.3">
      <c r="A258" s="1">
        <v>20723</v>
      </c>
      <c r="B258" t="s">
        <v>5879</v>
      </c>
      <c r="C258" s="1">
        <v>1.07</v>
      </c>
      <c r="D258" s="1">
        <v>747</v>
      </c>
      <c r="E258" s="1">
        <v>731.84</v>
      </c>
      <c r="F258" s="1">
        <v>25</v>
      </c>
      <c r="G258" s="1">
        <v>20401.05</v>
      </c>
      <c r="H258" s="1" t="s">
        <v>10</v>
      </c>
      <c r="I258" t="str">
        <f t="shared" si="3"/>
        <v>STRAWBERRY CHARLOTTE BAG [20723]</v>
      </c>
    </row>
    <row r="259" spans="1:9" x14ac:dyDescent="0.3">
      <c r="A259" s="1">
        <v>20724</v>
      </c>
      <c r="B259" t="s">
        <v>5878</v>
      </c>
      <c r="C259" s="1">
        <v>1.0449999999999999</v>
      </c>
      <c r="D259" s="1">
        <v>1170.5</v>
      </c>
      <c r="E259" s="2">
        <v>1149.8928571428501</v>
      </c>
      <c r="F259" s="1">
        <v>25</v>
      </c>
      <c r="G259" s="1">
        <v>35190.21</v>
      </c>
      <c r="H259" s="1" t="s">
        <v>10</v>
      </c>
      <c r="I259" t="str">
        <f t="shared" ref="I259:I322" si="4">B259&amp;" ["&amp;A259&amp;"]"</f>
        <v>RED SPOTTY CHARLOTTE BAG [20724]</v>
      </c>
    </row>
    <row r="260" spans="1:9" x14ac:dyDescent="0.3">
      <c r="A260" s="1">
        <v>20725</v>
      </c>
      <c r="B260" t="s">
        <v>5877</v>
      </c>
      <c r="C260" s="1">
        <v>1.71</v>
      </c>
      <c r="D260" s="1">
        <v>1489</v>
      </c>
      <c r="E260" s="2">
        <v>1390.2413793103401</v>
      </c>
      <c r="F260" s="1">
        <v>25</v>
      </c>
      <c r="G260" s="1">
        <v>71106.289999999994</v>
      </c>
      <c r="H260" s="1" t="s">
        <v>10</v>
      </c>
      <c r="I260" t="str">
        <f t="shared" si="4"/>
        <v>LUNCH BAG RED SPOTTY [20725]</v>
      </c>
    </row>
    <row r="261" spans="1:9" x14ac:dyDescent="0.3">
      <c r="A261" s="1">
        <v>20726</v>
      </c>
      <c r="B261" t="s">
        <v>5876</v>
      </c>
      <c r="C261" s="1">
        <v>1.81</v>
      </c>
      <c r="D261" s="1">
        <v>828</v>
      </c>
      <c r="E261" s="1">
        <v>884.72</v>
      </c>
      <c r="F261" s="1">
        <v>25</v>
      </c>
      <c r="G261" s="1">
        <v>38506.74</v>
      </c>
      <c r="H261" s="1" t="s">
        <v>10</v>
      </c>
      <c r="I261" t="str">
        <f t="shared" si="4"/>
        <v>LUNCH BAG WOODLAND [20726]</v>
      </c>
    </row>
    <row r="262" spans="1:9" x14ac:dyDescent="0.3">
      <c r="A262" s="1">
        <v>20727</v>
      </c>
      <c r="B262" t="s">
        <v>5875</v>
      </c>
      <c r="C262" s="1">
        <v>1.75</v>
      </c>
      <c r="D262" s="1">
        <v>1017</v>
      </c>
      <c r="E262" s="1">
        <v>1067.1199999999999</v>
      </c>
      <c r="F262" s="1">
        <v>25</v>
      </c>
      <c r="G262" s="1">
        <v>45655.27</v>
      </c>
      <c r="H262" s="1" t="s">
        <v>10</v>
      </c>
      <c r="I262" t="str">
        <f t="shared" si="4"/>
        <v>LUNCH BAG  BLACK SKULL. [20727]</v>
      </c>
    </row>
    <row r="263" spans="1:9" x14ac:dyDescent="0.3">
      <c r="A263" s="1">
        <v>20728</v>
      </c>
      <c r="B263" t="s">
        <v>5874</v>
      </c>
      <c r="C263" s="1">
        <v>1.76</v>
      </c>
      <c r="D263" s="1">
        <v>930</v>
      </c>
      <c r="E263" s="1">
        <v>983.84</v>
      </c>
      <c r="F263" s="1">
        <v>25</v>
      </c>
      <c r="G263" s="1">
        <v>42270.3</v>
      </c>
      <c r="H263" s="1" t="s">
        <v>10</v>
      </c>
      <c r="I263" t="str">
        <f t="shared" si="4"/>
        <v>LUNCH BAG CARS BLUE [20728]</v>
      </c>
    </row>
    <row r="264" spans="1:9" x14ac:dyDescent="0.3">
      <c r="A264" s="1">
        <v>20729</v>
      </c>
      <c r="B264" t="s">
        <v>5873</v>
      </c>
      <c r="C264" s="1">
        <v>1.25</v>
      </c>
      <c r="D264" s="1">
        <v>72</v>
      </c>
      <c r="E264" s="1">
        <v>156.5</v>
      </c>
      <c r="F264" s="1">
        <v>6</v>
      </c>
      <c r="G264" s="1">
        <v>993.15</v>
      </c>
      <c r="H264" s="1" t="s">
        <v>10</v>
      </c>
      <c r="I264" t="str">
        <f t="shared" si="4"/>
        <v>RED SPOTTY CANDY BAG [20729]</v>
      </c>
    </row>
    <row r="265" spans="1:9" x14ac:dyDescent="0.3">
      <c r="A265" s="1">
        <v>20730</v>
      </c>
      <c r="B265" t="s">
        <v>5872</v>
      </c>
      <c r="C265" s="1">
        <v>1.25</v>
      </c>
      <c r="D265" s="1">
        <v>9</v>
      </c>
      <c r="E265" s="1">
        <v>88.375</v>
      </c>
      <c r="F265" s="1">
        <v>8</v>
      </c>
      <c r="G265" s="1">
        <v>691.65</v>
      </c>
      <c r="H265" s="1" t="s">
        <v>8</v>
      </c>
      <c r="I265" t="str">
        <f t="shared" si="4"/>
        <v>STRAWBERRY CANDY BAG [20730]</v>
      </c>
    </row>
    <row r="266" spans="1:9" x14ac:dyDescent="0.3">
      <c r="A266" s="1">
        <v>20731</v>
      </c>
      <c r="B266" t="s">
        <v>5871</v>
      </c>
      <c r="C266" s="1">
        <v>1.25</v>
      </c>
      <c r="D266" s="1">
        <v>13</v>
      </c>
      <c r="E266" s="1">
        <v>84.352941176470594</v>
      </c>
      <c r="F266" s="1">
        <v>17</v>
      </c>
      <c r="G266" s="1">
        <v>837.92</v>
      </c>
      <c r="H266" s="1" t="s">
        <v>9</v>
      </c>
      <c r="I266" t="str">
        <f t="shared" si="4"/>
        <v>POSY CANDY BAG [20731]</v>
      </c>
    </row>
    <row r="267" spans="1:9" x14ac:dyDescent="0.3">
      <c r="A267" s="1">
        <v>20733</v>
      </c>
      <c r="B267" t="s">
        <v>5870</v>
      </c>
      <c r="C267" s="1">
        <v>0.84</v>
      </c>
      <c r="D267" s="1">
        <v>48</v>
      </c>
      <c r="E267" s="2">
        <v>80.2916666666666</v>
      </c>
      <c r="F267" s="1">
        <v>24</v>
      </c>
      <c r="G267" s="1">
        <v>1452.2</v>
      </c>
      <c r="H267" s="1" t="s">
        <v>9</v>
      </c>
      <c r="I267" t="str">
        <f t="shared" si="4"/>
        <v>GOLD MINI TAPE MEASURE [20733]</v>
      </c>
    </row>
    <row r="268" spans="1:9" x14ac:dyDescent="0.3">
      <c r="A268" s="1">
        <v>20734</v>
      </c>
      <c r="B268" t="s">
        <v>5869</v>
      </c>
      <c r="C268" s="1">
        <v>0.91500000000000004</v>
      </c>
      <c r="D268" s="1">
        <v>53</v>
      </c>
      <c r="E268" s="1">
        <v>98.125</v>
      </c>
      <c r="F268" s="1">
        <v>16</v>
      </c>
      <c r="G268" s="1">
        <v>1421.35</v>
      </c>
      <c r="H268" s="1" t="s">
        <v>9</v>
      </c>
      <c r="I268" t="str">
        <f t="shared" si="4"/>
        <v>SILVER MINI TAPE MEASURE [20734]</v>
      </c>
    </row>
    <row r="269" spans="1:9" x14ac:dyDescent="0.3">
      <c r="A269" s="1">
        <v>20735</v>
      </c>
      <c r="B269" t="s">
        <v>5868</v>
      </c>
      <c r="C269" s="1">
        <v>1.01</v>
      </c>
      <c r="D269" s="1">
        <v>34</v>
      </c>
      <c r="E269" s="2">
        <v>64.565217391304301</v>
      </c>
      <c r="F269" s="1">
        <v>23</v>
      </c>
      <c r="G269" s="1">
        <v>1464.99</v>
      </c>
      <c r="H269" s="1" t="s">
        <v>9</v>
      </c>
      <c r="I269" t="str">
        <f t="shared" si="4"/>
        <v>BLACK MINI TAPE MEASURE [20735]</v>
      </c>
    </row>
    <row r="270" spans="1:9" x14ac:dyDescent="0.3">
      <c r="A270" s="1">
        <v>20736</v>
      </c>
      <c r="B270" t="s">
        <v>5867</v>
      </c>
      <c r="C270" s="1">
        <v>0.85</v>
      </c>
      <c r="D270" s="1">
        <v>70.5</v>
      </c>
      <c r="E270" s="1">
        <v>72.5</v>
      </c>
      <c r="F270" s="1">
        <v>4</v>
      </c>
      <c r="G270" s="1">
        <v>233.5</v>
      </c>
      <c r="H270" s="1" t="s">
        <v>10</v>
      </c>
      <c r="I270" t="str">
        <f t="shared" si="4"/>
        <v>PINK MINI TAPE MEASURE [20736]</v>
      </c>
    </row>
    <row r="271" spans="1:9" x14ac:dyDescent="0.3">
      <c r="A271" s="1">
        <v>20737</v>
      </c>
      <c r="B271" t="s">
        <v>5866</v>
      </c>
      <c r="C271" s="1">
        <v>1.7</v>
      </c>
      <c r="D271" s="1">
        <v>1</v>
      </c>
      <c r="E271" s="1">
        <v>1</v>
      </c>
      <c r="F271" s="1">
        <v>1</v>
      </c>
      <c r="G271" s="1">
        <v>1.7</v>
      </c>
      <c r="H271" s="1" t="s">
        <v>8</v>
      </c>
      <c r="I271" t="str">
        <f t="shared" si="4"/>
        <v>RED MINI TAPE MEASURE [20737]</v>
      </c>
    </row>
    <row r="272" spans="1:9" x14ac:dyDescent="0.3">
      <c r="A272" s="1">
        <v>20738</v>
      </c>
      <c r="B272" t="s">
        <v>5865</v>
      </c>
      <c r="C272" s="1">
        <v>0.85</v>
      </c>
      <c r="D272" s="1">
        <v>92.5</v>
      </c>
      <c r="E272" s="2">
        <v>134.166666666666</v>
      </c>
      <c r="F272" s="1">
        <v>12</v>
      </c>
      <c r="G272" s="1">
        <v>1301.72</v>
      </c>
      <c r="H272" s="1" t="s">
        <v>10</v>
      </c>
      <c r="I272" t="str">
        <f t="shared" si="4"/>
        <v>GREEN MINI TAPE MEASURE [20738]</v>
      </c>
    </row>
    <row r="273" spans="1:9" x14ac:dyDescent="0.3">
      <c r="A273" s="1">
        <v>20739</v>
      </c>
      <c r="B273" t="s">
        <v>5864</v>
      </c>
      <c r="C273" s="1">
        <v>8.65</v>
      </c>
      <c r="D273" s="1">
        <v>1</v>
      </c>
      <c r="E273" s="1">
        <v>1</v>
      </c>
      <c r="F273" s="1">
        <v>1</v>
      </c>
      <c r="G273" s="1">
        <v>8.65</v>
      </c>
      <c r="H273" s="1" t="s">
        <v>8</v>
      </c>
      <c r="I273" t="str">
        <f t="shared" si="4"/>
        <v>*USB Office Glitter Lamp [20739]</v>
      </c>
    </row>
    <row r="274" spans="1:9" x14ac:dyDescent="0.3">
      <c r="A274" s="1">
        <v>20747</v>
      </c>
      <c r="B274" t="s">
        <v>5863</v>
      </c>
      <c r="C274" s="1">
        <v>13.33</v>
      </c>
      <c r="D274" s="1">
        <v>102</v>
      </c>
      <c r="E274" s="2">
        <v>113.833333333333</v>
      </c>
      <c r="F274" s="1">
        <v>6</v>
      </c>
      <c r="G274" s="1">
        <v>9224.92</v>
      </c>
      <c r="H274" s="1" t="s">
        <v>10</v>
      </c>
      <c r="I274" t="str">
        <f t="shared" si="4"/>
        <v>PICCADILLY TEA SET [20747]</v>
      </c>
    </row>
    <row r="275" spans="1:9" x14ac:dyDescent="0.3">
      <c r="A275" s="1">
        <v>20748</v>
      </c>
      <c r="B275" t="s">
        <v>5862</v>
      </c>
      <c r="C275" s="1">
        <v>12.75</v>
      </c>
      <c r="D275" s="1">
        <v>8</v>
      </c>
      <c r="E275" s="2">
        <v>69.565217391304301</v>
      </c>
      <c r="F275" s="1">
        <v>23</v>
      </c>
      <c r="G275" s="1">
        <v>14266.98</v>
      </c>
      <c r="H275" s="1" t="s">
        <v>8</v>
      </c>
      <c r="I275" t="str">
        <f t="shared" si="4"/>
        <v>KENSINGTON COFFEE SET [20748]</v>
      </c>
    </row>
    <row r="276" spans="1:9" x14ac:dyDescent="0.3">
      <c r="A276" s="1">
        <v>20749</v>
      </c>
      <c r="B276" t="s">
        <v>5861</v>
      </c>
      <c r="C276" s="1">
        <v>7.28</v>
      </c>
      <c r="D276" s="1">
        <v>119</v>
      </c>
      <c r="E276" s="1">
        <v>122.48</v>
      </c>
      <c r="F276" s="1">
        <v>25</v>
      </c>
      <c r="G276" s="1">
        <v>22097.61</v>
      </c>
      <c r="H276" s="1" t="s">
        <v>10</v>
      </c>
      <c r="I276" t="str">
        <f t="shared" si="4"/>
        <v>ASSORTED COLOUR MINI CASES [20749]</v>
      </c>
    </row>
    <row r="277" spans="1:9" x14ac:dyDescent="0.3">
      <c r="A277" s="1">
        <v>20750</v>
      </c>
      <c r="B277" t="s">
        <v>5860</v>
      </c>
      <c r="C277" s="1">
        <v>7.415</v>
      </c>
      <c r="D277" s="1">
        <v>135</v>
      </c>
      <c r="E277" s="2">
        <v>122.933333333333</v>
      </c>
      <c r="F277" s="1">
        <v>25</v>
      </c>
      <c r="G277" s="1">
        <v>26866.63</v>
      </c>
      <c r="H277" s="1" t="s">
        <v>10</v>
      </c>
      <c r="I277" t="str">
        <f t="shared" si="4"/>
        <v>RED/WHITE DOT MINI CASES [20750]</v>
      </c>
    </row>
    <row r="278" spans="1:9" x14ac:dyDescent="0.3">
      <c r="A278" s="1">
        <v>20751</v>
      </c>
      <c r="B278" t="s">
        <v>5859</v>
      </c>
      <c r="C278" s="1">
        <v>2.13</v>
      </c>
      <c r="D278" s="1">
        <v>112</v>
      </c>
      <c r="E278" s="1">
        <v>113.56</v>
      </c>
      <c r="F278" s="1">
        <v>25</v>
      </c>
      <c r="G278" s="1">
        <v>6023.26</v>
      </c>
      <c r="H278" s="1" t="s">
        <v>10</v>
      </c>
      <c r="I278" t="str">
        <f t="shared" si="4"/>
        <v>FUNKY WASHING UP GLOVES ASSORTED [20751]</v>
      </c>
    </row>
    <row r="279" spans="1:9" x14ac:dyDescent="0.3">
      <c r="A279" s="1">
        <v>20752</v>
      </c>
      <c r="B279" t="s">
        <v>5858</v>
      </c>
      <c r="C279" s="1">
        <v>2.17</v>
      </c>
      <c r="D279" s="1">
        <v>35</v>
      </c>
      <c r="E279" s="1">
        <v>60</v>
      </c>
      <c r="F279" s="1">
        <v>24</v>
      </c>
      <c r="G279" s="1">
        <v>2868.2</v>
      </c>
      <c r="H279" s="1" t="s">
        <v>9</v>
      </c>
      <c r="I279" t="str">
        <f t="shared" si="4"/>
        <v>RETRO BLUE SPOTTY WASHING UP GLOVES [20752]</v>
      </c>
    </row>
    <row r="280" spans="1:9" x14ac:dyDescent="0.3">
      <c r="A280" s="1">
        <v>20753</v>
      </c>
      <c r="B280" t="s">
        <v>5857</v>
      </c>
      <c r="C280" s="1">
        <v>1.96</v>
      </c>
      <c r="D280" s="1">
        <v>109</v>
      </c>
      <c r="E280" s="1">
        <v>109</v>
      </c>
      <c r="F280" s="1">
        <v>2</v>
      </c>
      <c r="G280" s="1">
        <v>509</v>
      </c>
      <c r="H280" s="1" t="s">
        <v>10</v>
      </c>
      <c r="I280" t="str">
        <f t="shared" si="4"/>
        <v>RETRO PINK SPOT WASHING UP GLOVES [20753]</v>
      </c>
    </row>
    <row r="281" spans="1:9" x14ac:dyDescent="0.3">
      <c r="A281" s="1">
        <v>20754</v>
      </c>
      <c r="B281" t="s">
        <v>5856</v>
      </c>
      <c r="C281" s="1">
        <v>2.1</v>
      </c>
      <c r="D281" s="1">
        <v>181</v>
      </c>
      <c r="E281" s="2">
        <v>188.666666666666</v>
      </c>
      <c r="F281" s="1">
        <v>24</v>
      </c>
      <c r="G281" s="1">
        <v>10444.82</v>
      </c>
      <c r="H281" s="1" t="s">
        <v>10</v>
      </c>
      <c r="I281" t="str">
        <f t="shared" si="4"/>
        <v>RETRO RED SPOTTY WASHING UP GLOVES [20754]</v>
      </c>
    </row>
    <row r="282" spans="1:9" x14ac:dyDescent="0.3">
      <c r="A282" s="1">
        <v>20755</v>
      </c>
      <c r="B282" t="s">
        <v>5855</v>
      </c>
      <c r="C282" s="1">
        <v>0.85</v>
      </c>
      <c r="D282" s="1">
        <v>21.5</v>
      </c>
      <c r="E282" s="1">
        <v>38.65</v>
      </c>
      <c r="F282" s="1">
        <v>20</v>
      </c>
      <c r="G282" s="2">
        <v>620.18999999999903</v>
      </c>
      <c r="H282" s="1" t="s">
        <v>9</v>
      </c>
      <c r="I282" t="str">
        <f t="shared" si="4"/>
        <v>BLUE PAISLEY POCKET BOOK [20755]</v>
      </c>
    </row>
    <row r="283" spans="1:9" x14ac:dyDescent="0.3">
      <c r="A283" s="1">
        <v>20756</v>
      </c>
      <c r="B283" t="s">
        <v>5854</v>
      </c>
      <c r="C283" s="1">
        <v>0.85</v>
      </c>
      <c r="D283" s="1">
        <v>12</v>
      </c>
      <c r="E283" s="2">
        <v>27.133333333333301</v>
      </c>
      <c r="F283" s="1">
        <v>15</v>
      </c>
      <c r="G283" s="1">
        <v>297.20999999999998</v>
      </c>
      <c r="H283" s="1" t="s">
        <v>9</v>
      </c>
      <c r="I283" t="str">
        <f t="shared" si="4"/>
        <v>GREEN FERN POCKET BOOK [20756]</v>
      </c>
    </row>
    <row r="284" spans="1:9" x14ac:dyDescent="0.3">
      <c r="A284" s="1">
        <v>20757</v>
      </c>
      <c r="B284" t="s">
        <v>5853</v>
      </c>
      <c r="C284" s="1">
        <v>0.85</v>
      </c>
      <c r="D284" s="1">
        <v>5</v>
      </c>
      <c r="E284" s="2">
        <v>23.6666666666666</v>
      </c>
      <c r="F284" s="1">
        <v>21</v>
      </c>
      <c r="G284" s="2">
        <v>376.04999999999899</v>
      </c>
      <c r="H284" s="1" t="s">
        <v>8</v>
      </c>
      <c r="I284" t="str">
        <f t="shared" si="4"/>
        <v>RED DAISY POCKET BOOK [20757]</v>
      </c>
    </row>
    <row r="285" spans="1:9" x14ac:dyDescent="0.3">
      <c r="A285" s="1">
        <v>20758</v>
      </c>
      <c r="B285" t="s">
        <v>5852</v>
      </c>
      <c r="C285" s="1">
        <v>0.85</v>
      </c>
      <c r="D285" s="1">
        <v>12</v>
      </c>
      <c r="E285" s="2">
        <v>24.6086956521739</v>
      </c>
      <c r="F285" s="1">
        <v>23</v>
      </c>
      <c r="G285" s="1">
        <v>432.36</v>
      </c>
      <c r="H285" s="1" t="s">
        <v>9</v>
      </c>
      <c r="I285" t="str">
        <f t="shared" si="4"/>
        <v>ABSTRACT CIRCLES POCKET BOOK [20758]</v>
      </c>
    </row>
    <row r="286" spans="1:9" x14ac:dyDescent="0.3">
      <c r="A286" s="1">
        <v>20759</v>
      </c>
      <c r="B286" t="s">
        <v>5851</v>
      </c>
      <c r="C286" s="1">
        <v>0.85</v>
      </c>
      <c r="D286" s="1">
        <v>4</v>
      </c>
      <c r="E286" s="2">
        <v>20.090909090909001</v>
      </c>
      <c r="F286" s="1">
        <v>22</v>
      </c>
      <c r="G286" s="1">
        <v>325.3</v>
      </c>
      <c r="H286" s="1" t="s">
        <v>8</v>
      </c>
      <c r="I286" t="str">
        <f t="shared" si="4"/>
        <v>CHRYSANTHEMUM POCKET BOOK [20759]</v>
      </c>
    </row>
    <row r="287" spans="1:9" x14ac:dyDescent="0.3">
      <c r="A287" s="1">
        <v>20760</v>
      </c>
      <c r="B287" t="s">
        <v>5850</v>
      </c>
      <c r="C287" s="1">
        <v>0.85</v>
      </c>
      <c r="D287" s="1">
        <v>13</v>
      </c>
      <c r="E287" s="2">
        <v>64.736842105263094</v>
      </c>
      <c r="F287" s="1">
        <v>19</v>
      </c>
      <c r="G287" s="1">
        <v>881.66</v>
      </c>
      <c r="H287" s="1" t="s">
        <v>9</v>
      </c>
      <c r="I287" t="str">
        <f t="shared" si="4"/>
        <v>GARDEN PATH POCKET BOOK [20760]</v>
      </c>
    </row>
    <row r="288" spans="1:9" x14ac:dyDescent="0.3">
      <c r="A288" s="1">
        <v>20761</v>
      </c>
      <c r="B288" t="s">
        <v>5849</v>
      </c>
      <c r="C288" s="1">
        <v>3.75</v>
      </c>
      <c r="D288" s="1">
        <v>12</v>
      </c>
      <c r="E288" s="1">
        <v>18.32</v>
      </c>
      <c r="F288" s="1">
        <v>25</v>
      </c>
      <c r="G288" s="1">
        <v>1422.46</v>
      </c>
      <c r="H288" s="1" t="s">
        <v>9</v>
      </c>
      <c r="I288" t="str">
        <f t="shared" si="4"/>
        <v>BLUE PAISLEY SKETCHBOOK [20761]</v>
      </c>
    </row>
    <row r="289" spans="1:9" x14ac:dyDescent="0.3">
      <c r="A289" s="1">
        <v>20762</v>
      </c>
      <c r="B289" t="s">
        <v>5848</v>
      </c>
      <c r="C289" s="1">
        <v>3.75</v>
      </c>
      <c r="D289" s="1">
        <v>9</v>
      </c>
      <c r="E289" s="2">
        <v>19.0833333333333</v>
      </c>
      <c r="F289" s="1">
        <v>24</v>
      </c>
      <c r="G289" s="1">
        <v>1343.79</v>
      </c>
      <c r="H289" s="1" t="s">
        <v>8</v>
      </c>
      <c r="I289" t="str">
        <f t="shared" si="4"/>
        <v>GREEN FERN SKETCHBOOK [20762]</v>
      </c>
    </row>
    <row r="290" spans="1:9" x14ac:dyDescent="0.3">
      <c r="A290" s="1">
        <v>20763</v>
      </c>
      <c r="B290" t="s">
        <v>5847</v>
      </c>
      <c r="C290" s="1">
        <v>3.75</v>
      </c>
      <c r="D290" s="1">
        <v>6</v>
      </c>
      <c r="E290" s="2">
        <v>11.6086956521739</v>
      </c>
      <c r="F290" s="1">
        <v>23</v>
      </c>
      <c r="G290" s="1">
        <v>702.86</v>
      </c>
      <c r="H290" s="1" t="s">
        <v>8</v>
      </c>
      <c r="I290" t="str">
        <f t="shared" si="4"/>
        <v>DAISY SKETCHBOOK [20763]</v>
      </c>
    </row>
    <row r="291" spans="1:9" x14ac:dyDescent="0.3">
      <c r="A291" s="1">
        <v>20764</v>
      </c>
      <c r="B291" t="s">
        <v>5846</v>
      </c>
      <c r="C291" s="1">
        <v>3.75</v>
      </c>
      <c r="D291" s="1">
        <v>12</v>
      </c>
      <c r="E291" s="1">
        <v>27.4</v>
      </c>
      <c r="F291" s="1">
        <v>25</v>
      </c>
      <c r="G291" s="1">
        <v>2134.7600000000002</v>
      </c>
      <c r="H291" s="1" t="s">
        <v>9</v>
      </c>
      <c r="I291" t="str">
        <f t="shared" si="4"/>
        <v>ABSTRACT CIRCLES SKETCHBOOK [20764]</v>
      </c>
    </row>
    <row r="292" spans="1:9" x14ac:dyDescent="0.3">
      <c r="A292" s="1">
        <v>20765</v>
      </c>
      <c r="B292" t="s">
        <v>5845</v>
      </c>
      <c r="C292" s="1">
        <v>3.75</v>
      </c>
      <c r="D292" s="1">
        <v>10</v>
      </c>
      <c r="E292" s="1">
        <v>17.68</v>
      </c>
      <c r="F292" s="1">
        <v>25</v>
      </c>
      <c r="G292" s="1">
        <v>1265.06</v>
      </c>
      <c r="H292" s="1" t="s">
        <v>8</v>
      </c>
      <c r="I292" t="str">
        <f t="shared" si="4"/>
        <v>CHRYSANTHEMUM SKETCHBOOK [20765]</v>
      </c>
    </row>
    <row r="293" spans="1:9" x14ac:dyDescent="0.3">
      <c r="A293" s="1">
        <v>20766</v>
      </c>
      <c r="B293" t="s">
        <v>5844</v>
      </c>
      <c r="C293" s="1">
        <v>3.75</v>
      </c>
      <c r="D293" s="1">
        <v>13</v>
      </c>
      <c r="E293" s="1">
        <v>20.72</v>
      </c>
      <c r="F293" s="1">
        <v>25</v>
      </c>
      <c r="G293" s="1">
        <v>1548.47</v>
      </c>
      <c r="H293" s="1" t="s">
        <v>9</v>
      </c>
      <c r="I293" t="str">
        <f t="shared" si="4"/>
        <v>GARDEN PATH SKETCHBOOK [20766]</v>
      </c>
    </row>
    <row r="294" spans="1:9" x14ac:dyDescent="0.3">
      <c r="A294" s="1">
        <v>20767</v>
      </c>
      <c r="B294" t="s">
        <v>5843</v>
      </c>
      <c r="C294" s="1">
        <v>2.5499999999999998</v>
      </c>
      <c r="D294" s="1">
        <v>18</v>
      </c>
      <c r="E294" s="1">
        <v>32.479999999999997</v>
      </c>
      <c r="F294" s="1">
        <v>25</v>
      </c>
      <c r="G294" s="1">
        <v>1741.61</v>
      </c>
      <c r="H294" s="1" t="s">
        <v>9</v>
      </c>
      <c r="I294" t="str">
        <f t="shared" si="4"/>
        <v>BLUE PAISLEY JOURNAL [20767]</v>
      </c>
    </row>
    <row r="295" spans="1:9" x14ac:dyDescent="0.3">
      <c r="A295" s="1">
        <v>20768</v>
      </c>
      <c r="B295" t="s">
        <v>5842</v>
      </c>
      <c r="C295" s="1">
        <v>2.5499999999999998</v>
      </c>
      <c r="D295" s="1">
        <v>14</v>
      </c>
      <c r="E295" s="1">
        <v>30.68</v>
      </c>
      <c r="F295" s="1">
        <v>25</v>
      </c>
      <c r="G295" s="1">
        <v>1534.19</v>
      </c>
      <c r="H295" s="1" t="s">
        <v>9</v>
      </c>
      <c r="I295" t="str">
        <f t="shared" si="4"/>
        <v>GREEN FERN JOURNAL [20768]</v>
      </c>
    </row>
    <row r="296" spans="1:9" x14ac:dyDescent="0.3">
      <c r="A296" s="1">
        <v>20769</v>
      </c>
      <c r="B296" t="s">
        <v>5841</v>
      </c>
      <c r="C296" s="1">
        <v>2.5499999999999998</v>
      </c>
      <c r="D296" s="1">
        <v>9</v>
      </c>
      <c r="E296" s="2">
        <v>20.857142857142801</v>
      </c>
      <c r="F296" s="1">
        <v>21</v>
      </c>
      <c r="G296" s="2">
        <v>808.81</v>
      </c>
      <c r="H296" s="1" t="s">
        <v>8</v>
      </c>
      <c r="I296" t="str">
        <f t="shared" si="4"/>
        <v>DAISY JOURNAL [20769]</v>
      </c>
    </row>
    <row r="297" spans="1:9" x14ac:dyDescent="0.3">
      <c r="A297" s="1">
        <v>20770</v>
      </c>
      <c r="B297" t="s">
        <v>5840</v>
      </c>
      <c r="C297" s="1">
        <v>2.52</v>
      </c>
      <c r="D297" s="1">
        <v>26</v>
      </c>
      <c r="E297" s="2">
        <v>43.5416666666666</v>
      </c>
      <c r="F297" s="1">
        <v>24</v>
      </c>
      <c r="G297" s="1">
        <v>2190.59</v>
      </c>
      <c r="H297" s="1" t="s">
        <v>9</v>
      </c>
      <c r="I297" t="str">
        <f t="shared" si="4"/>
        <v>ABSTRACT CIRCLE JOURNAL [20770]</v>
      </c>
    </row>
    <row r="298" spans="1:9" x14ac:dyDescent="0.3">
      <c r="A298" s="1">
        <v>20771</v>
      </c>
      <c r="B298" t="s">
        <v>5839</v>
      </c>
      <c r="C298" s="1">
        <v>2.5499999999999998</v>
      </c>
      <c r="D298" s="1">
        <v>13</v>
      </c>
      <c r="E298" s="2">
        <v>26.347826086956498</v>
      </c>
      <c r="F298" s="1">
        <v>23</v>
      </c>
      <c r="G298" s="1">
        <v>1201.68</v>
      </c>
      <c r="H298" s="1" t="s">
        <v>9</v>
      </c>
      <c r="I298" t="str">
        <f t="shared" si="4"/>
        <v>CHRYSANTHEMUM  JOURNAL [20771]</v>
      </c>
    </row>
    <row r="299" spans="1:9" x14ac:dyDescent="0.3">
      <c r="A299" s="1">
        <v>20772</v>
      </c>
      <c r="B299" t="s">
        <v>5838</v>
      </c>
      <c r="C299" s="1">
        <v>2.5499999999999998</v>
      </c>
      <c r="D299" s="1">
        <v>17</v>
      </c>
      <c r="E299" s="2">
        <v>40.4166666666666</v>
      </c>
      <c r="F299" s="1">
        <v>24</v>
      </c>
      <c r="G299" s="1">
        <v>1848.73</v>
      </c>
      <c r="H299" s="1" t="s">
        <v>9</v>
      </c>
      <c r="I299" t="str">
        <f t="shared" si="4"/>
        <v>GARDEN PATH JOURNAL [20772]</v>
      </c>
    </row>
    <row r="300" spans="1:9" x14ac:dyDescent="0.3">
      <c r="A300" s="1">
        <v>20773</v>
      </c>
      <c r="B300" t="s">
        <v>5837</v>
      </c>
      <c r="C300" s="1">
        <v>1.65</v>
      </c>
      <c r="D300" s="1">
        <v>11</v>
      </c>
      <c r="E300" s="2">
        <v>13.047619047618999</v>
      </c>
      <c r="F300" s="1">
        <v>21</v>
      </c>
      <c r="G300" s="1">
        <v>466.73</v>
      </c>
      <c r="H300" s="1" t="s">
        <v>9</v>
      </c>
      <c r="I300" t="str">
        <f t="shared" si="4"/>
        <v>BLUE PAISLEY NOTEBOOK [20773]</v>
      </c>
    </row>
    <row r="301" spans="1:9" x14ac:dyDescent="0.3">
      <c r="A301" s="1">
        <v>20774</v>
      </c>
      <c r="B301" t="s">
        <v>5836</v>
      </c>
      <c r="C301" s="1">
        <v>1.65</v>
      </c>
      <c r="D301" s="1">
        <v>7.5</v>
      </c>
      <c r="E301" s="2">
        <v>11.409090909090899</v>
      </c>
      <c r="F301" s="1">
        <v>22</v>
      </c>
      <c r="G301" s="1">
        <v>428.03</v>
      </c>
      <c r="H301" s="1" t="s">
        <v>8</v>
      </c>
      <c r="I301" t="str">
        <f t="shared" si="4"/>
        <v>GREEN FERN NOTEBOOK [20774]</v>
      </c>
    </row>
    <row r="302" spans="1:9" x14ac:dyDescent="0.3">
      <c r="A302" s="1">
        <v>20775</v>
      </c>
      <c r="B302" t="s">
        <v>5835</v>
      </c>
      <c r="C302" s="1">
        <v>1.65</v>
      </c>
      <c r="D302" s="1">
        <v>6</v>
      </c>
      <c r="E302" s="2">
        <v>11.3333333333333</v>
      </c>
      <c r="F302" s="1">
        <v>21</v>
      </c>
      <c r="G302" s="1">
        <v>412.64</v>
      </c>
      <c r="H302" s="1" t="s">
        <v>8</v>
      </c>
      <c r="I302" t="str">
        <f t="shared" si="4"/>
        <v>DAISY NOTEBOOK [20775]</v>
      </c>
    </row>
    <row r="303" spans="1:9" x14ac:dyDescent="0.3">
      <c r="A303" s="1">
        <v>20776</v>
      </c>
      <c r="B303" t="s">
        <v>5834</v>
      </c>
      <c r="C303" s="1">
        <v>1.65</v>
      </c>
      <c r="D303" s="1">
        <v>17</v>
      </c>
      <c r="E303" s="2">
        <v>22.8888888888888</v>
      </c>
      <c r="F303" s="1">
        <v>9</v>
      </c>
      <c r="G303" s="1">
        <v>353.44</v>
      </c>
      <c r="H303" s="1" t="s">
        <v>9</v>
      </c>
      <c r="I303" t="str">
        <f t="shared" si="4"/>
        <v>ABSTRACT CIRCLES NOTEBOOK [20776]</v>
      </c>
    </row>
    <row r="304" spans="1:9" x14ac:dyDescent="0.3">
      <c r="A304" s="1">
        <v>20777</v>
      </c>
      <c r="B304" t="s">
        <v>5833</v>
      </c>
      <c r="C304" s="1">
        <v>1.65</v>
      </c>
      <c r="D304" s="1">
        <v>10</v>
      </c>
      <c r="E304" s="2">
        <v>19.478260869565201</v>
      </c>
      <c r="F304" s="1">
        <v>23</v>
      </c>
      <c r="G304" s="1">
        <v>762.9</v>
      </c>
      <c r="H304" s="1" t="s">
        <v>8</v>
      </c>
      <c r="I304" t="str">
        <f t="shared" si="4"/>
        <v>CHRYSANTHEMUM NOTEBOOK [20777]</v>
      </c>
    </row>
    <row r="305" spans="1:9" x14ac:dyDescent="0.3">
      <c r="A305" s="1">
        <v>20778</v>
      </c>
      <c r="B305" t="s">
        <v>5832</v>
      </c>
      <c r="C305" s="1">
        <v>1.65</v>
      </c>
      <c r="D305" s="1">
        <v>13</v>
      </c>
      <c r="E305" s="2">
        <v>15.6666666666666</v>
      </c>
      <c r="F305" s="1">
        <v>15</v>
      </c>
      <c r="G305" s="1">
        <v>413.96</v>
      </c>
      <c r="H305" s="1" t="s">
        <v>9</v>
      </c>
      <c r="I305" t="str">
        <f t="shared" si="4"/>
        <v>GARDEN PATH NOTEBOOK [20778]</v>
      </c>
    </row>
    <row r="306" spans="1:9" x14ac:dyDescent="0.3">
      <c r="A306" s="1">
        <v>20780</v>
      </c>
      <c r="B306" t="s">
        <v>5831</v>
      </c>
      <c r="C306" s="1">
        <v>5.89</v>
      </c>
      <c r="D306" s="1">
        <v>2</v>
      </c>
      <c r="E306" s="2">
        <v>12.157894736842101</v>
      </c>
      <c r="F306" s="1">
        <v>19</v>
      </c>
      <c r="G306" s="1">
        <v>1333.96</v>
      </c>
      <c r="H306" s="1" t="s">
        <v>8</v>
      </c>
      <c r="I306" t="str">
        <f t="shared" si="4"/>
        <v>BLACK EAR MUFF HEADPHONES [20780]</v>
      </c>
    </row>
    <row r="307" spans="1:9" x14ac:dyDescent="0.3">
      <c r="A307" s="1">
        <v>20781</v>
      </c>
      <c r="B307" t="s">
        <v>5830</v>
      </c>
      <c r="C307" s="1">
        <v>5.49</v>
      </c>
      <c r="D307" s="1">
        <v>3</v>
      </c>
      <c r="E307" s="2">
        <v>4.6818181818181799</v>
      </c>
      <c r="F307" s="1">
        <v>22</v>
      </c>
      <c r="G307" s="1">
        <v>579.92999999999995</v>
      </c>
      <c r="H307" s="1" t="s">
        <v>8</v>
      </c>
      <c r="I307" t="str">
        <f t="shared" si="4"/>
        <v>GOLD EAR MUFF HEADPHONES [20781]</v>
      </c>
    </row>
    <row r="308" spans="1:9" x14ac:dyDescent="0.3">
      <c r="A308" s="1">
        <v>20782</v>
      </c>
      <c r="B308" t="s">
        <v>5829</v>
      </c>
      <c r="C308" s="1">
        <v>6.41</v>
      </c>
      <c r="D308" s="1">
        <v>5</v>
      </c>
      <c r="E308" s="2">
        <v>8.1578947368421009</v>
      </c>
      <c r="F308" s="1">
        <v>19</v>
      </c>
      <c r="G308" s="1">
        <v>995.48</v>
      </c>
      <c r="H308" s="1" t="s">
        <v>8</v>
      </c>
      <c r="I308" t="str">
        <f t="shared" si="4"/>
        <v>CAMOUFLAGE EAR MUFF HEADPHONES [20782]</v>
      </c>
    </row>
    <row r="309" spans="1:9" x14ac:dyDescent="0.3">
      <c r="A309" s="1">
        <v>20783</v>
      </c>
      <c r="B309" t="s">
        <v>5828</v>
      </c>
      <c r="C309" s="1">
        <v>5.49</v>
      </c>
      <c r="D309" s="1">
        <v>5</v>
      </c>
      <c r="E309" s="1">
        <v>20.625</v>
      </c>
      <c r="F309" s="1">
        <v>8</v>
      </c>
      <c r="G309" s="1">
        <v>1051.4000000000001</v>
      </c>
      <c r="H309" s="1" t="s">
        <v>8</v>
      </c>
      <c r="I309" t="str">
        <f t="shared" si="4"/>
        <v>HEART EAR MUFF HEADPHONES [20783]</v>
      </c>
    </row>
    <row r="310" spans="1:9" x14ac:dyDescent="0.3">
      <c r="A310" s="1">
        <v>20784</v>
      </c>
      <c r="B310" t="s">
        <v>5827</v>
      </c>
      <c r="C310" s="1">
        <v>35.89</v>
      </c>
      <c r="D310" s="1">
        <v>9</v>
      </c>
      <c r="E310" s="1">
        <v>12.625</v>
      </c>
      <c r="F310" s="1">
        <v>8</v>
      </c>
      <c r="G310" s="1">
        <v>3570.87</v>
      </c>
      <c r="H310" s="1" t="s">
        <v>8</v>
      </c>
      <c r="I310" t="str">
        <f t="shared" si="4"/>
        <v>RED RETRO BAR STOOL [20784]</v>
      </c>
    </row>
    <row r="311" spans="1:9" x14ac:dyDescent="0.3">
      <c r="A311" s="1">
        <v>20785</v>
      </c>
      <c r="B311" t="s">
        <v>5826</v>
      </c>
      <c r="C311" s="1">
        <v>39.950000000000003</v>
      </c>
      <c r="D311" s="1">
        <v>2</v>
      </c>
      <c r="E311" s="2">
        <v>7.2857142857142803</v>
      </c>
      <c r="F311" s="1">
        <v>14</v>
      </c>
      <c r="G311" s="1">
        <v>3672.35</v>
      </c>
      <c r="H311" s="1" t="s">
        <v>8</v>
      </c>
      <c r="I311" t="str">
        <f t="shared" si="4"/>
        <v>FUSCHIA RETRO BAR STOOL [20785]</v>
      </c>
    </row>
    <row r="312" spans="1:9" x14ac:dyDescent="0.3">
      <c r="A312" s="1">
        <v>20786</v>
      </c>
      <c r="B312" t="s">
        <v>5825</v>
      </c>
      <c r="C312" s="1">
        <v>35.950000000000003</v>
      </c>
      <c r="D312" s="1">
        <v>6</v>
      </c>
      <c r="E312" s="1">
        <v>11</v>
      </c>
      <c r="F312" s="1">
        <v>9</v>
      </c>
      <c r="G312" s="1">
        <v>3533.9</v>
      </c>
      <c r="H312" s="1" t="s">
        <v>8</v>
      </c>
      <c r="I312" t="str">
        <f t="shared" si="4"/>
        <v>BLACK RETRO BAR STOOL [20786]</v>
      </c>
    </row>
    <row r="313" spans="1:9" x14ac:dyDescent="0.3">
      <c r="A313" s="1">
        <v>20787</v>
      </c>
      <c r="B313" t="s">
        <v>5824</v>
      </c>
      <c r="C313" s="1">
        <v>38.96</v>
      </c>
      <c r="D313" s="1">
        <v>3</v>
      </c>
      <c r="E313" s="1">
        <v>8.625</v>
      </c>
      <c r="F313" s="1">
        <v>8</v>
      </c>
      <c r="G313" s="1">
        <v>2535.1</v>
      </c>
      <c r="H313" s="1" t="s">
        <v>8</v>
      </c>
      <c r="I313" t="str">
        <f t="shared" si="4"/>
        <v>BLUE RETRO BAR STOOL [20787]</v>
      </c>
    </row>
    <row r="314" spans="1:9" x14ac:dyDescent="0.3">
      <c r="A314" s="1">
        <v>20791</v>
      </c>
      <c r="B314" t="s">
        <v>5823</v>
      </c>
      <c r="C314" s="1">
        <v>12.75</v>
      </c>
      <c r="D314" s="1">
        <v>5</v>
      </c>
      <c r="E314" s="1">
        <v>5</v>
      </c>
      <c r="F314" s="1">
        <v>1</v>
      </c>
      <c r="G314" s="1">
        <v>63.75</v>
      </c>
      <c r="H314" s="1" t="s">
        <v>8</v>
      </c>
      <c r="I314" t="str">
        <f t="shared" si="4"/>
        <v>BLUE TILED SET OF 3 DRAWERS [20791]</v>
      </c>
    </row>
    <row r="315" spans="1:9" x14ac:dyDescent="0.3">
      <c r="A315" s="1">
        <v>20793</v>
      </c>
      <c r="B315" t="s">
        <v>5822</v>
      </c>
      <c r="C315" s="1">
        <v>6.75</v>
      </c>
      <c r="D315" s="1">
        <v>2</v>
      </c>
      <c r="E315" s="2">
        <v>2.5384615384615299</v>
      </c>
      <c r="F315" s="1">
        <v>13</v>
      </c>
      <c r="G315" s="1">
        <v>284.5</v>
      </c>
      <c r="H315" s="1" t="s">
        <v>8</v>
      </c>
      <c r="I315" t="str">
        <f t="shared" si="4"/>
        <v>BLUE TILED TRAY [20793]</v>
      </c>
    </row>
    <row r="316" spans="1:9" x14ac:dyDescent="0.3">
      <c r="A316" s="1">
        <v>20794</v>
      </c>
      <c r="B316" t="s">
        <v>5821</v>
      </c>
      <c r="C316" s="1">
        <v>2.8</v>
      </c>
      <c r="D316" s="1">
        <v>8</v>
      </c>
      <c r="E316" s="2">
        <v>9.6363636363636296</v>
      </c>
      <c r="F316" s="1">
        <v>22</v>
      </c>
      <c r="G316" s="1">
        <v>591.02</v>
      </c>
      <c r="H316" s="1" t="s">
        <v>8</v>
      </c>
      <c r="I316" t="str">
        <f t="shared" si="4"/>
        <v>BLUE  TILE HOOK [20794]</v>
      </c>
    </row>
    <row r="317" spans="1:9" x14ac:dyDescent="0.3">
      <c r="A317" s="1">
        <v>20795</v>
      </c>
      <c r="B317" t="s">
        <v>5820</v>
      </c>
      <c r="C317" s="1">
        <v>2.39</v>
      </c>
      <c r="D317" s="1">
        <v>7</v>
      </c>
      <c r="E317" s="1">
        <v>9</v>
      </c>
      <c r="F317" s="1">
        <v>15</v>
      </c>
      <c r="G317" s="1">
        <v>308.7</v>
      </c>
      <c r="H317" s="1" t="s">
        <v>8</v>
      </c>
      <c r="I317" t="str">
        <f t="shared" si="4"/>
        <v>LARGE BLUE PROVENCAL CERAMIC BALL [20795]</v>
      </c>
    </row>
    <row r="318" spans="1:9" x14ac:dyDescent="0.3">
      <c r="A318" s="1">
        <v>20796</v>
      </c>
      <c r="B318" t="s">
        <v>5819</v>
      </c>
      <c r="C318" s="1">
        <v>1.65</v>
      </c>
      <c r="D318" s="1">
        <v>4</v>
      </c>
      <c r="E318" s="1">
        <v>6.6</v>
      </c>
      <c r="F318" s="1">
        <v>15</v>
      </c>
      <c r="G318" s="1">
        <v>182.16</v>
      </c>
      <c r="H318" s="1" t="s">
        <v>8</v>
      </c>
      <c r="I318" t="str">
        <f t="shared" si="4"/>
        <v>SMALL BLUE PROVENCAL CERAMIC BALL [20796]</v>
      </c>
    </row>
    <row r="319" spans="1:9" x14ac:dyDescent="0.3">
      <c r="A319" s="1">
        <v>20798</v>
      </c>
      <c r="B319" t="s">
        <v>5818</v>
      </c>
      <c r="C319" s="2">
        <v>2.4049999999999998</v>
      </c>
      <c r="D319" s="1">
        <v>29.5</v>
      </c>
      <c r="E319" s="2">
        <v>39.357142857142797</v>
      </c>
      <c r="F319" s="1">
        <v>14</v>
      </c>
      <c r="G319" s="1">
        <v>1308.1500000000001</v>
      </c>
      <c r="H319" s="1" t="s">
        <v>9</v>
      </c>
      <c r="I319" t="str">
        <f t="shared" si="4"/>
        <v>CLEAR MILKSHAKE GLASS [20798]</v>
      </c>
    </row>
    <row r="320" spans="1:9" x14ac:dyDescent="0.3">
      <c r="A320" s="1">
        <v>20799</v>
      </c>
      <c r="B320" t="s">
        <v>5817</v>
      </c>
      <c r="C320" s="1">
        <v>2.29</v>
      </c>
      <c r="D320" s="1">
        <v>11</v>
      </c>
      <c r="E320" s="2">
        <v>33.3333333333333</v>
      </c>
      <c r="F320" s="1">
        <v>6</v>
      </c>
      <c r="G320" s="1">
        <v>355.33</v>
      </c>
      <c r="H320" s="1" t="s">
        <v>9</v>
      </c>
      <c r="I320" t="str">
        <f t="shared" si="4"/>
        <v>PINK MILKSHAKE GLASS [20799]</v>
      </c>
    </row>
    <row r="321" spans="1:9" x14ac:dyDescent="0.3">
      <c r="A321" s="1">
        <v>20800</v>
      </c>
      <c r="B321" t="s">
        <v>5816</v>
      </c>
      <c r="C321" s="1">
        <v>4.24</v>
      </c>
      <c r="D321" s="1">
        <v>3.5</v>
      </c>
      <c r="E321" s="1">
        <v>3.5</v>
      </c>
      <c r="F321" s="1">
        <v>2</v>
      </c>
      <c r="G321" s="2">
        <v>25.599999999999898</v>
      </c>
      <c r="H321" s="1" t="s">
        <v>8</v>
      </c>
      <c r="I321" t="str">
        <f t="shared" si="4"/>
        <v>LARGE GLASS SUNDAE DISH CLEAR [20800]</v>
      </c>
    </row>
    <row r="322" spans="1:9" x14ac:dyDescent="0.3">
      <c r="A322" s="1">
        <v>20801</v>
      </c>
      <c r="B322" t="s">
        <v>5815</v>
      </c>
      <c r="C322" s="1">
        <v>3.13</v>
      </c>
      <c r="D322" s="1">
        <v>6</v>
      </c>
      <c r="E322" s="2">
        <v>38.933333333333302</v>
      </c>
      <c r="F322" s="1">
        <v>15</v>
      </c>
      <c r="G322" s="1">
        <v>1016.51</v>
      </c>
      <c r="H322" s="1" t="s">
        <v>8</v>
      </c>
      <c r="I322" t="str">
        <f t="shared" si="4"/>
        <v>LARGE PINK GLASS SUNDAE DISH [20801]</v>
      </c>
    </row>
    <row r="323" spans="1:9" x14ac:dyDescent="0.3">
      <c r="A323" s="1">
        <v>20802</v>
      </c>
      <c r="B323" t="s">
        <v>5814</v>
      </c>
      <c r="C323" s="1">
        <v>1.84</v>
      </c>
      <c r="D323" s="1">
        <v>35</v>
      </c>
      <c r="E323" s="2">
        <v>43.7916666666666</v>
      </c>
      <c r="F323" s="1">
        <v>24</v>
      </c>
      <c r="G323" s="1">
        <v>1596.81</v>
      </c>
      <c r="H323" s="1" t="s">
        <v>9</v>
      </c>
      <c r="I323" t="str">
        <f t="shared" ref="I323:I386" si="5">B323&amp;" ["&amp;A323&amp;"]"</f>
        <v>SMALL GLASS SUNDAE DISH CLEAR [20802]</v>
      </c>
    </row>
    <row r="324" spans="1:9" x14ac:dyDescent="0.3">
      <c r="A324" s="1">
        <v>20803</v>
      </c>
      <c r="B324" t="s">
        <v>5813</v>
      </c>
      <c r="C324" s="1">
        <v>1.89</v>
      </c>
      <c r="D324" s="1">
        <v>16</v>
      </c>
      <c r="E324" s="2">
        <v>23.466666666666601</v>
      </c>
      <c r="F324" s="1">
        <v>15</v>
      </c>
      <c r="G324" s="1">
        <v>534.33000000000004</v>
      </c>
      <c r="H324" s="1" t="s">
        <v>9</v>
      </c>
      <c r="I324" t="str">
        <f t="shared" si="5"/>
        <v>SMALL PINK GLASS SUNDAE DISH [20803]</v>
      </c>
    </row>
    <row r="325" spans="1:9" x14ac:dyDescent="0.3">
      <c r="A325" s="1">
        <v>20804</v>
      </c>
      <c r="B325" t="s">
        <v>5812</v>
      </c>
      <c r="C325" s="1">
        <v>1.7450000000000001</v>
      </c>
      <c r="D325" s="1">
        <v>21</v>
      </c>
      <c r="E325" s="2">
        <v>54.1666666666666</v>
      </c>
      <c r="F325" s="1">
        <v>6</v>
      </c>
      <c r="G325" s="2">
        <v>579.30999999999995</v>
      </c>
      <c r="H325" s="1" t="s">
        <v>9</v>
      </c>
      <c r="I325" t="str">
        <f t="shared" si="5"/>
        <v>GLASS CHICKEN BUTTER DISH [20804]</v>
      </c>
    </row>
    <row r="326" spans="1:9" x14ac:dyDescent="0.3">
      <c r="A326" s="1">
        <v>20812</v>
      </c>
      <c r="B326" t="s">
        <v>5811</v>
      </c>
      <c r="C326" s="1">
        <v>2.5499999999999998</v>
      </c>
      <c r="D326" s="1">
        <v>2.5</v>
      </c>
      <c r="E326" s="1">
        <v>2.5</v>
      </c>
      <c r="F326" s="1">
        <v>2</v>
      </c>
      <c r="G326" s="1">
        <v>12.75</v>
      </c>
      <c r="H326" s="1" t="s">
        <v>8</v>
      </c>
      <c r="I326" t="str">
        <f t="shared" si="5"/>
        <v>EMBOSSED FLOWER TRELLIS PHOTO FRAME [20812]</v>
      </c>
    </row>
    <row r="327" spans="1:9" x14ac:dyDescent="0.3">
      <c r="A327" s="1">
        <v>20814</v>
      </c>
      <c r="B327" t="s">
        <v>5810</v>
      </c>
      <c r="C327" s="1">
        <v>1.1100000000000001</v>
      </c>
      <c r="D327" s="1">
        <v>45</v>
      </c>
      <c r="E327" s="1">
        <v>63</v>
      </c>
      <c r="F327" s="1">
        <v>3</v>
      </c>
      <c r="G327" s="2">
        <v>208.89</v>
      </c>
      <c r="H327" s="1" t="s">
        <v>9</v>
      </c>
      <c r="I327" t="str">
        <f t="shared" si="5"/>
        <v>SILVER FINCH DECORATION [20814]</v>
      </c>
    </row>
    <row r="328" spans="1:9" x14ac:dyDescent="0.3">
      <c r="A328" s="1">
        <v>20816</v>
      </c>
      <c r="B328" t="s">
        <v>5809</v>
      </c>
      <c r="C328" s="1">
        <v>6.75</v>
      </c>
      <c r="D328" s="1">
        <v>3.5</v>
      </c>
      <c r="E328" s="1">
        <v>4</v>
      </c>
      <c r="F328" s="1">
        <v>6</v>
      </c>
      <c r="G328" s="1">
        <v>123.6</v>
      </c>
      <c r="H328" s="1" t="s">
        <v>8</v>
      </c>
      <c r="I328" t="str">
        <f t="shared" si="5"/>
        <v>GOLD FLOWER CUSHION COVER [20816]</v>
      </c>
    </row>
    <row r="329" spans="1:9" x14ac:dyDescent="0.3">
      <c r="A329" s="1">
        <v>20818</v>
      </c>
      <c r="B329" t="s">
        <v>5808</v>
      </c>
      <c r="C329" s="1">
        <v>3.75</v>
      </c>
      <c r="D329" s="1">
        <v>2</v>
      </c>
      <c r="E329" s="2">
        <v>6.6923076923076898</v>
      </c>
      <c r="F329" s="1">
        <v>13</v>
      </c>
      <c r="G329" s="1">
        <v>268.5</v>
      </c>
      <c r="H329" s="1" t="s">
        <v>8</v>
      </c>
      <c r="I329" t="str">
        <f t="shared" si="5"/>
        <v>GOLD TEDDY BEAR [20818]</v>
      </c>
    </row>
    <row r="330" spans="1:9" x14ac:dyDescent="0.3">
      <c r="A330" s="1">
        <v>20819</v>
      </c>
      <c r="B330" t="s">
        <v>5807</v>
      </c>
      <c r="C330" s="1">
        <v>3.75</v>
      </c>
      <c r="D330" s="1">
        <v>5</v>
      </c>
      <c r="E330" s="2">
        <v>10.857142857142801</v>
      </c>
      <c r="F330" s="1">
        <v>21</v>
      </c>
      <c r="G330" s="1">
        <v>631.49</v>
      </c>
      <c r="H330" s="1" t="s">
        <v>8</v>
      </c>
      <c r="I330" t="str">
        <f t="shared" si="5"/>
        <v>SILVER TEDDY BEAR [20819]</v>
      </c>
    </row>
    <row r="331" spans="1:9" x14ac:dyDescent="0.3">
      <c r="A331" s="1">
        <v>20820</v>
      </c>
      <c r="B331" t="s">
        <v>5806</v>
      </c>
      <c r="C331" s="1">
        <v>4.95</v>
      </c>
      <c r="D331" s="1">
        <v>1</v>
      </c>
      <c r="E331" s="1">
        <v>1.375</v>
      </c>
      <c r="F331" s="1">
        <v>8</v>
      </c>
      <c r="G331" s="1">
        <v>54.45</v>
      </c>
      <c r="H331" s="1" t="s">
        <v>8</v>
      </c>
      <c r="I331" t="str">
        <f t="shared" si="5"/>
        <v>SILVER LOOKING MIRROR [20820]</v>
      </c>
    </row>
    <row r="332" spans="1:9" x14ac:dyDescent="0.3">
      <c r="A332" s="1">
        <v>20821</v>
      </c>
      <c r="B332" t="s">
        <v>5805</v>
      </c>
      <c r="C332" s="1">
        <v>4.95</v>
      </c>
      <c r="D332" s="1">
        <v>2</v>
      </c>
      <c r="E332" s="1">
        <v>2.8</v>
      </c>
      <c r="F332" s="1">
        <v>15</v>
      </c>
      <c r="G332" s="1">
        <v>286.42</v>
      </c>
      <c r="H332" s="1" t="s">
        <v>8</v>
      </c>
      <c r="I332" t="str">
        <f t="shared" si="5"/>
        <v>GOLDIE LOOKING MIRROR [20821]</v>
      </c>
    </row>
    <row r="333" spans="1:9" x14ac:dyDescent="0.3">
      <c r="A333" s="1">
        <v>20822</v>
      </c>
      <c r="B333" t="s">
        <v>5804</v>
      </c>
      <c r="C333" s="1">
        <v>4.6500000000000004</v>
      </c>
      <c r="D333" s="1">
        <v>2</v>
      </c>
      <c r="E333" s="1">
        <v>2</v>
      </c>
      <c r="F333" s="1">
        <v>1</v>
      </c>
      <c r="G333" s="1">
        <v>9.3000000000000007</v>
      </c>
      <c r="H333" s="1" t="s">
        <v>8</v>
      </c>
      <c r="I333" t="str">
        <f t="shared" si="5"/>
        <v>SILVER WINE GOBLET [20822]</v>
      </c>
    </row>
    <row r="334" spans="1:9" x14ac:dyDescent="0.3">
      <c r="A334" s="1">
        <v>20823</v>
      </c>
      <c r="B334" t="s">
        <v>5803</v>
      </c>
      <c r="C334" s="1">
        <v>4.6500000000000004</v>
      </c>
      <c r="D334" s="1">
        <v>4</v>
      </c>
      <c r="E334" s="1">
        <v>17.8</v>
      </c>
      <c r="F334" s="1">
        <v>5</v>
      </c>
      <c r="G334" s="1">
        <v>404.15</v>
      </c>
      <c r="H334" s="1" t="s">
        <v>8</v>
      </c>
      <c r="I334" t="str">
        <f t="shared" si="5"/>
        <v>GOLD WINE GOBLET [20823]</v>
      </c>
    </row>
    <row r="335" spans="1:9" x14ac:dyDescent="0.3">
      <c r="A335" s="1">
        <v>20825</v>
      </c>
      <c r="B335" t="s">
        <v>5802</v>
      </c>
      <c r="C335" s="1">
        <v>3.75</v>
      </c>
      <c r="D335" s="1">
        <v>12</v>
      </c>
      <c r="E335" s="1">
        <v>72.2</v>
      </c>
      <c r="F335" s="1">
        <v>5</v>
      </c>
      <c r="G335" s="1">
        <v>1255.08</v>
      </c>
      <c r="H335" s="1" t="s">
        <v>9</v>
      </c>
      <c r="I335" t="str">
        <f t="shared" si="5"/>
        <v>GOLD WINE GLASS [20825]</v>
      </c>
    </row>
    <row r="336" spans="1:9" x14ac:dyDescent="0.3">
      <c r="A336" s="1">
        <v>20826</v>
      </c>
      <c r="B336" t="s">
        <v>5801</v>
      </c>
      <c r="C336" s="1">
        <v>2.12</v>
      </c>
      <c r="D336" s="1">
        <v>9</v>
      </c>
      <c r="E336" s="2">
        <v>15.1666666666666</v>
      </c>
      <c r="F336" s="1">
        <v>6</v>
      </c>
      <c r="G336" s="2">
        <v>187.76</v>
      </c>
      <c r="H336" s="1" t="s">
        <v>8</v>
      </c>
      <c r="I336" t="str">
        <f t="shared" si="5"/>
        <v>SILVER APERITIF GLASS [20826]</v>
      </c>
    </row>
    <row r="337" spans="1:9" x14ac:dyDescent="0.3">
      <c r="A337" s="1">
        <v>20827</v>
      </c>
      <c r="B337" t="s">
        <v>5800</v>
      </c>
      <c r="C337" s="1">
        <v>2.12</v>
      </c>
      <c r="D337" s="1">
        <v>18</v>
      </c>
      <c r="E337" s="1">
        <v>21.25</v>
      </c>
      <c r="F337" s="1">
        <v>4</v>
      </c>
      <c r="G337" s="1">
        <v>175.04</v>
      </c>
      <c r="H337" s="1" t="s">
        <v>9</v>
      </c>
      <c r="I337" t="str">
        <f t="shared" si="5"/>
        <v>GOLD APERITIF GLASS [20827]</v>
      </c>
    </row>
    <row r="338" spans="1:9" x14ac:dyDescent="0.3">
      <c r="A338" s="1">
        <v>20828</v>
      </c>
      <c r="B338" t="s">
        <v>5799</v>
      </c>
      <c r="C338" s="1">
        <v>2.64</v>
      </c>
      <c r="D338" s="1">
        <v>140</v>
      </c>
      <c r="E338" s="1">
        <v>176.92</v>
      </c>
      <c r="F338" s="1">
        <v>25</v>
      </c>
      <c r="G338" s="1">
        <v>10940.48</v>
      </c>
      <c r="H338" s="1" t="s">
        <v>10</v>
      </c>
      <c r="I338" t="str">
        <f t="shared" si="5"/>
        <v>GLITTER BUTTERFLY CLIPS [20828]</v>
      </c>
    </row>
    <row r="339" spans="1:9" x14ac:dyDescent="0.3">
      <c r="A339" s="1">
        <v>20829</v>
      </c>
      <c r="B339" t="s">
        <v>5798</v>
      </c>
      <c r="C339" s="1">
        <v>2.15</v>
      </c>
      <c r="D339" s="1">
        <v>111</v>
      </c>
      <c r="E339" s="1">
        <v>192.8</v>
      </c>
      <c r="F339" s="1">
        <v>25</v>
      </c>
      <c r="G339" s="1">
        <v>9825.02</v>
      </c>
      <c r="H339" s="1" t="s">
        <v>10</v>
      </c>
      <c r="I339" t="str">
        <f t="shared" si="5"/>
        <v>GLITTER HANGING BUTTERFLY STRING [20829]</v>
      </c>
    </row>
    <row r="340" spans="1:9" x14ac:dyDescent="0.3">
      <c r="A340" s="1">
        <v>20830</v>
      </c>
      <c r="B340" t="s">
        <v>5797</v>
      </c>
      <c r="C340" s="1">
        <v>2.7149999999999999</v>
      </c>
      <c r="D340" s="1">
        <v>15</v>
      </c>
      <c r="E340" s="1">
        <v>20.350000000000001</v>
      </c>
      <c r="F340" s="1">
        <v>20</v>
      </c>
      <c r="G340" s="1">
        <v>964.61</v>
      </c>
      <c r="H340" s="1" t="s">
        <v>9</v>
      </c>
      <c r="I340" t="str">
        <f t="shared" si="5"/>
        <v>SILVER PHOTO FRAME [20830]</v>
      </c>
    </row>
    <row r="341" spans="1:9" x14ac:dyDescent="0.3">
      <c r="A341" s="1">
        <v>20831</v>
      </c>
      <c r="B341" t="s">
        <v>5796</v>
      </c>
      <c r="C341" s="1">
        <v>2.355</v>
      </c>
      <c r="D341" s="1">
        <v>11.5</v>
      </c>
      <c r="E341" s="1">
        <v>19.75</v>
      </c>
      <c r="F341" s="1">
        <v>24</v>
      </c>
      <c r="G341" s="1">
        <v>927.96</v>
      </c>
      <c r="H341" s="1" t="s">
        <v>9</v>
      </c>
      <c r="I341" t="str">
        <f t="shared" si="5"/>
        <v>GOLD PHOTO FRAME [20831]</v>
      </c>
    </row>
    <row r="342" spans="1:9" x14ac:dyDescent="0.3">
      <c r="A342" s="1">
        <v>20832</v>
      </c>
      <c r="B342" t="s">
        <v>5795</v>
      </c>
      <c r="C342" s="1">
        <v>0.85</v>
      </c>
      <c r="D342" s="1">
        <v>42</v>
      </c>
      <c r="E342" s="2">
        <v>73.086956521739097</v>
      </c>
      <c r="F342" s="1">
        <v>23</v>
      </c>
      <c r="G342" s="1">
        <v>1122.6500000000001</v>
      </c>
      <c r="H342" s="1" t="s">
        <v>9</v>
      </c>
      <c r="I342" t="str">
        <f t="shared" si="5"/>
        <v>RED FLOCK LOVE HEART PHOTO FRAME [20832]</v>
      </c>
    </row>
    <row r="343" spans="1:9" x14ac:dyDescent="0.3">
      <c r="A343" s="1">
        <v>20833</v>
      </c>
      <c r="B343" t="s">
        <v>5794</v>
      </c>
      <c r="C343" s="1">
        <v>12.75</v>
      </c>
      <c r="D343" s="1">
        <v>24</v>
      </c>
      <c r="E343" s="1">
        <v>24</v>
      </c>
      <c r="F343" s="1">
        <v>2</v>
      </c>
      <c r="G343" s="1">
        <v>612</v>
      </c>
      <c r="H343" s="1" t="s">
        <v>9</v>
      </c>
      <c r="I343" t="str">
        <f t="shared" si="5"/>
        <v>SHAKER THROW  QUILTED [20833]</v>
      </c>
    </row>
    <row r="344" spans="1:9" x14ac:dyDescent="0.3">
      <c r="A344" s="1">
        <v>20835</v>
      </c>
      <c r="B344" t="s">
        <v>5793</v>
      </c>
      <c r="C344" s="1">
        <v>0.83</v>
      </c>
      <c r="D344" s="1">
        <v>13</v>
      </c>
      <c r="E344" s="1">
        <v>15.8</v>
      </c>
      <c r="F344" s="1">
        <v>5</v>
      </c>
      <c r="G344" s="1">
        <v>76</v>
      </c>
      <c r="H344" s="1" t="s">
        <v>9</v>
      </c>
      <c r="I344" t="str">
        <f t="shared" si="5"/>
        <v>FRENCH LATTICE CUSHION COVER [20835]</v>
      </c>
    </row>
    <row r="345" spans="1:9" x14ac:dyDescent="0.3">
      <c r="A345" s="1">
        <v>20836</v>
      </c>
      <c r="B345" t="s">
        <v>5792</v>
      </c>
      <c r="C345" s="1">
        <v>0.83</v>
      </c>
      <c r="D345" s="1">
        <v>30</v>
      </c>
      <c r="E345" s="2">
        <v>27.714285714285701</v>
      </c>
      <c r="F345" s="1">
        <v>7</v>
      </c>
      <c r="G345" s="1">
        <v>161.5</v>
      </c>
      <c r="H345" s="1" t="s">
        <v>9</v>
      </c>
      <c r="I345" t="str">
        <f t="shared" si="5"/>
        <v>FRENCH PAISLEY CUSHION COVER [20836]</v>
      </c>
    </row>
    <row r="346" spans="1:9" x14ac:dyDescent="0.3">
      <c r="A346" s="1">
        <v>20837</v>
      </c>
      <c r="B346" t="s">
        <v>5791</v>
      </c>
      <c r="C346" s="1">
        <v>0.83</v>
      </c>
      <c r="D346" s="1">
        <v>15</v>
      </c>
      <c r="E346" s="1">
        <v>23.5</v>
      </c>
      <c r="F346" s="1">
        <v>6</v>
      </c>
      <c r="G346" s="1">
        <v>117.27</v>
      </c>
      <c r="H346" s="1" t="s">
        <v>9</v>
      </c>
      <c r="I346" t="str">
        <f t="shared" si="5"/>
        <v>FRENCH FLORAL CUSHION COVER [20837]</v>
      </c>
    </row>
    <row r="347" spans="1:9" x14ac:dyDescent="0.3">
      <c r="A347" s="1">
        <v>20838</v>
      </c>
      <c r="B347" t="s">
        <v>5793</v>
      </c>
      <c r="C347" s="1">
        <v>1.2749999999999999</v>
      </c>
      <c r="D347" s="1">
        <v>35</v>
      </c>
      <c r="E347" s="2">
        <v>36.0833333333333</v>
      </c>
      <c r="F347" s="1">
        <v>12</v>
      </c>
      <c r="G347" s="1">
        <v>523.03</v>
      </c>
      <c r="H347" s="1" t="s">
        <v>9</v>
      </c>
      <c r="I347" t="str">
        <f t="shared" si="5"/>
        <v>FRENCH LATTICE CUSHION COVER [20838]</v>
      </c>
    </row>
    <row r="348" spans="1:9" x14ac:dyDescent="0.3">
      <c r="A348" s="1">
        <v>20839</v>
      </c>
      <c r="B348" t="s">
        <v>5792</v>
      </c>
      <c r="C348" s="1">
        <v>2.95</v>
      </c>
      <c r="D348" s="1">
        <v>12</v>
      </c>
      <c r="E348" s="2">
        <v>33.210526315789402</v>
      </c>
      <c r="F348" s="1">
        <v>19</v>
      </c>
      <c r="G348" s="1">
        <v>999.46</v>
      </c>
      <c r="H348" s="1" t="s">
        <v>9</v>
      </c>
      <c r="I348" t="str">
        <f t="shared" si="5"/>
        <v>FRENCH PAISLEY CUSHION COVER [20839]</v>
      </c>
    </row>
    <row r="349" spans="1:9" x14ac:dyDescent="0.3">
      <c r="A349" s="1">
        <v>20840</v>
      </c>
      <c r="B349" t="s">
        <v>5791</v>
      </c>
      <c r="C349" s="1">
        <v>1.52</v>
      </c>
      <c r="D349" s="1">
        <v>30</v>
      </c>
      <c r="E349" s="2">
        <v>51.941176470588204</v>
      </c>
      <c r="F349" s="1">
        <v>17</v>
      </c>
      <c r="G349" s="1">
        <v>1400.45</v>
      </c>
      <c r="H349" s="1" t="s">
        <v>9</v>
      </c>
      <c r="I349" t="str">
        <f t="shared" si="5"/>
        <v>FRENCH FLORAL CUSHION COVER [20840]</v>
      </c>
    </row>
    <row r="350" spans="1:9" x14ac:dyDescent="0.3">
      <c r="A350" s="1">
        <v>20845</v>
      </c>
      <c r="B350" t="s">
        <v>5790</v>
      </c>
      <c r="C350" s="1">
        <v>6.35</v>
      </c>
      <c r="D350" s="1">
        <v>4</v>
      </c>
      <c r="E350" s="2">
        <v>6.9090909090909003</v>
      </c>
      <c r="F350" s="1">
        <v>11</v>
      </c>
      <c r="G350" s="1">
        <v>502.27</v>
      </c>
      <c r="H350" s="1" t="s">
        <v>8</v>
      </c>
      <c r="I350" t="str">
        <f t="shared" si="5"/>
        <v>ZINC HEART LATTICE 2 WALL PLANTER [20845]</v>
      </c>
    </row>
    <row r="351" spans="1:9" x14ac:dyDescent="0.3">
      <c r="A351" s="1">
        <v>20846</v>
      </c>
      <c r="B351" t="s">
        <v>5789</v>
      </c>
      <c r="C351" s="1">
        <v>1.36</v>
      </c>
      <c r="D351" s="1">
        <v>44</v>
      </c>
      <c r="E351" s="1">
        <v>58.12</v>
      </c>
      <c r="F351" s="1">
        <v>25</v>
      </c>
      <c r="G351" s="1">
        <v>1956.81</v>
      </c>
      <c r="H351" s="1" t="s">
        <v>9</v>
      </c>
      <c r="I351" t="str">
        <f t="shared" si="5"/>
        <v>ZINC HEART LATTICE T-LIGHT HOLDER [20846]</v>
      </c>
    </row>
    <row r="352" spans="1:9" x14ac:dyDescent="0.3">
      <c r="A352" s="1">
        <v>20847</v>
      </c>
      <c r="B352" t="s">
        <v>5788</v>
      </c>
      <c r="C352" s="1">
        <v>3.75</v>
      </c>
      <c r="D352" s="1">
        <v>4</v>
      </c>
      <c r="E352" s="2">
        <v>4.7058823529411704</v>
      </c>
      <c r="F352" s="1">
        <v>17</v>
      </c>
      <c r="G352" s="1">
        <v>334.35</v>
      </c>
      <c r="H352" s="1" t="s">
        <v>8</v>
      </c>
      <c r="I352" t="str">
        <f t="shared" si="5"/>
        <v>ZINC HEART LATTICE CHARGER LARGE [20847]</v>
      </c>
    </row>
    <row r="353" spans="1:9" x14ac:dyDescent="0.3">
      <c r="A353" s="1">
        <v>20848</v>
      </c>
      <c r="B353" t="s">
        <v>5787</v>
      </c>
      <c r="C353" s="1">
        <v>2.95</v>
      </c>
      <c r="D353" s="1">
        <v>3</v>
      </c>
      <c r="E353" s="2">
        <v>3.5454545454545401</v>
      </c>
      <c r="F353" s="1">
        <v>11</v>
      </c>
      <c r="G353" s="1">
        <v>115.05</v>
      </c>
      <c r="H353" s="1" t="s">
        <v>8</v>
      </c>
      <c r="I353" t="str">
        <f t="shared" si="5"/>
        <v>ZINC HEART LATTICE CHARGER SMALL [20848]</v>
      </c>
    </row>
    <row r="354" spans="1:9" x14ac:dyDescent="0.3">
      <c r="A354" s="1">
        <v>20849</v>
      </c>
      <c r="B354" t="s">
        <v>5786</v>
      </c>
      <c r="C354" s="1">
        <v>3.75</v>
      </c>
      <c r="D354" s="1">
        <v>4</v>
      </c>
      <c r="E354" s="2">
        <v>9.7777777777777697</v>
      </c>
      <c r="F354" s="1">
        <v>9</v>
      </c>
      <c r="G354" s="1">
        <v>267.52999999999997</v>
      </c>
      <c r="H354" s="1" t="s">
        <v>8</v>
      </c>
      <c r="I354" t="str">
        <f t="shared" si="5"/>
        <v>ZINC HEART LATTICE DOUBLE PLANTER [20849]</v>
      </c>
    </row>
    <row r="355" spans="1:9" x14ac:dyDescent="0.3">
      <c r="A355" s="1">
        <v>20850</v>
      </c>
      <c r="B355" t="s">
        <v>5785</v>
      </c>
      <c r="C355" s="1">
        <v>2.95</v>
      </c>
      <c r="D355" s="1">
        <v>8</v>
      </c>
      <c r="E355" s="2">
        <v>10.285714285714199</v>
      </c>
      <c r="F355" s="1">
        <v>7</v>
      </c>
      <c r="G355" s="2">
        <v>212.39999999999901</v>
      </c>
      <c r="H355" s="1" t="s">
        <v>8</v>
      </c>
      <c r="I355" t="str">
        <f t="shared" si="5"/>
        <v>ZINC HEART LATTICE PLANTER BOWL [20850]</v>
      </c>
    </row>
    <row r="356" spans="1:9" x14ac:dyDescent="0.3">
      <c r="A356" s="1">
        <v>20851</v>
      </c>
      <c r="B356" t="s">
        <v>5784</v>
      </c>
      <c r="C356" s="1">
        <v>5.95</v>
      </c>
      <c r="D356" s="1">
        <v>3</v>
      </c>
      <c r="E356" s="2">
        <v>3.21428571428571</v>
      </c>
      <c r="F356" s="1">
        <v>14</v>
      </c>
      <c r="G356" s="1">
        <v>273.67</v>
      </c>
      <c r="H356" s="1" t="s">
        <v>8</v>
      </c>
      <c r="I356" t="str">
        <f t="shared" si="5"/>
        <v>ZINC HEART LATTICE TRAY OVAL [20851]</v>
      </c>
    </row>
    <row r="357" spans="1:9" x14ac:dyDescent="0.3">
      <c r="A357" s="1">
        <v>20854</v>
      </c>
      <c r="B357" t="s">
        <v>5783</v>
      </c>
      <c r="C357" s="1">
        <v>1.65</v>
      </c>
      <c r="D357" s="1">
        <v>16</v>
      </c>
      <c r="E357" s="1">
        <v>29.4</v>
      </c>
      <c r="F357" s="1">
        <v>15</v>
      </c>
      <c r="G357" s="1">
        <v>711.37</v>
      </c>
      <c r="H357" s="1" t="s">
        <v>9</v>
      </c>
      <c r="I357" t="str">
        <f t="shared" si="5"/>
        <v>BLUE PATCH PURSE PINK HEART [20854]</v>
      </c>
    </row>
    <row r="358" spans="1:9" x14ac:dyDescent="0.3">
      <c r="A358" s="1">
        <v>20855</v>
      </c>
      <c r="B358" t="s">
        <v>5782</v>
      </c>
      <c r="C358" s="1">
        <v>1.65</v>
      </c>
      <c r="D358" s="1">
        <v>11</v>
      </c>
      <c r="E358" s="2">
        <v>15.7777777777777</v>
      </c>
      <c r="F358" s="1">
        <v>9</v>
      </c>
      <c r="G358" s="1">
        <v>234.3</v>
      </c>
      <c r="H358" s="1" t="s">
        <v>9</v>
      </c>
      <c r="I358" t="str">
        <f t="shared" si="5"/>
        <v>PINK PATCH PURSE BLUE HEART [20855]</v>
      </c>
    </row>
    <row r="359" spans="1:9" x14ac:dyDescent="0.3">
      <c r="A359" s="1">
        <v>20856</v>
      </c>
      <c r="B359" t="s">
        <v>5781</v>
      </c>
      <c r="C359" s="1">
        <v>1.65</v>
      </c>
      <c r="D359" s="1">
        <v>14</v>
      </c>
      <c r="E359" s="2">
        <v>19.428571428571399</v>
      </c>
      <c r="F359" s="1">
        <v>21</v>
      </c>
      <c r="G359" s="1">
        <v>674.09</v>
      </c>
      <c r="H359" s="1" t="s">
        <v>9</v>
      </c>
      <c r="I359" t="str">
        <f t="shared" si="5"/>
        <v>DENIM PATCH PURSE PINK BUTTERFLY [20856]</v>
      </c>
    </row>
    <row r="360" spans="1:9" x14ac:dyDescent="0.3">
      <c r="A360" s="1">
        <v>20857</v>
      </c>
      <c r="B360" t="s">
        <v>5780</v>
      </c>
      <c r="C360" s="1">
        <v>1.65</v>
      </c>
      <c r="D360" s="1">
        <v>15</v>
      </c>
      <c r="E360" s="1">
        <v>16.600000000000001</v>
      </c>
      <c r="F360" s="1">
        <v>15</v>
      </c>
      <c r="G360" s="1">
        <v>410.85</v>
      </c>
      <c r="H360" s="1" t="s">
        <v>9</v>
      </c>
      <c r="I360" t="str">
        <f t="shared" si="5"/>
        <v>BLUE ROSE PATCH PURSE PINK BUTTERFL [20857]</v>
      </c>
    </row>
    <row r="361" spans="1:9" x14ac:dyDescent="0.3">
      <c r="A361" s="1">
        <v>20858</v>
      </c>
      <c r="B361" t="s">
        <v>5779</v>
      </c>
      <c r="C361" s="1">
        <v>1.65</v>
      </c>
      <c r="D361" s="1">
        <v>4</v>
      </c>
      <c r="E361" s="1">
        <v>4</v>
      </c>
      <c r="F361" s="1">
        <v>1</v>
      </c>
      <c r="G361" s="1">
        <v>6.6</v>
      </c>
      <c r="H361" s="1" t="s">
        <v>8</v>
      </c>
      <c r="I361" t="str">
        <f t="shared" si="5"/>
        <v>SILVER PURSE GOLD PINK BUTTERFLY [20858]</v>
      </c>
    </row>
    <row r="362" spans="1:9" x14ac:dyDescent="0.3">
      <c r="A362" s="1">
        <v>20860</v>
      </c>
      <c r="B362" t="s">
        <v>5778</v>
      </c>
      <c r="C362" s="1">
        <v>2.1</v>
      </c>
      <c r="D362" s="1">
        <v>2</v>
      </c>
      <c r="E362" s="2">
        <v>2.8571428571428501</v>
      </c>
      <c r="F362" s="1">
        <v>7</v>
      </c>
      <c r="G362" s="1">
        <v>42</v>
      </c>
      <c r="H362" s="1" t="s">
        <v>8</v>
      </c>
      <c r="I362" t="str">
        <f t="shared" si="5"/>
        <v>GOLD COSMETICS BAG WITH BUTTERFLY [20860]</v>
      </c>
    </row>
    <row r="363" spans="1:9" x14ac:dyDescent="0.3">
      <c r="A363" s="1">
        <v>20861</v>
      </c>
      <c r="B363" t="s">
        <v>5777</v>
      </c>
      <c r="C363" s="1">
        <v>2.1</v>
      </c>
      <c r="D363" s="1">
        <v>4</v>
      </c>
      <c r="E363" s="1">
        <v>5.75</v>
      </c>
      <c r="F363" s="1">
        <v>8</v>
      </c>
      <c r="G363" s="1">
        <v>96.6</v>
      </c>
      <c r="H363" s="1" t="s">
        <v>8</v>
      </c>
      <c r="I363" t="str">
        <f t="shared" si="5"/>
        <v>GOLD COSMETIC BAG PINK STAR [20861]</v>
      </c>
    </row>
    <row r="364" spans="1:9" x14ac:dyDescent="0.3">
      <c r="A364" s="1">
        <v>20862</v>
      </c>
      <c r="B364" t="s">
        <v>5776</v>
      </c>
      <c r="C364" s="1">
        <v>2.1</v>
      </c>
      <c r="D364" s="1">
        <v>40.5</v>
      </c>
      <c r="E364" s="2">
        <v>54.1666666666666</v>
      </c>
      <c r="F364" s="1">
        <v>6</v>
      </c>
      <c r="G364" s="1">
        <v>691.14</v>
      </c>
      <c r="H364" s="1" t="s">
        <v>9</v>
      </c>
      <c r="I364" t="str">
        <f t="shared" si="5"/>
        <v>PINK PATCH PENCIL CASE BLUE HEART [20862]</v>
      </c>
    </row>
    <row r="365" spans="1:9" x14ac:dyDescent="0.3">
      <c r="A365" s="1">
        <v>20863</v>
      </c>
      <c r="B365" t="s">
        <v>5775</v>
      </c>
      <c r="C365" s="1">
        <v>2.1</v>
      </c>
      <c r="D365" s="1">
        <v>20</v>
      </c>
      <c r="E365" s="2">
        <v>32.5555555555555</v>
      </c>
      <c r="F365" s="1">
        <v>9</v>
      </c>
      <c r="G365" s="1">
        <v>601.53</v>
      </c>
      <c r="H365" s="1" t="s">
        <v>9</v>
      </c>
      <c r="I365" t="str">
        <f t="shared" si="5"/>
        <v>BLUE PATCH PENCIL CASE PINK HEART [20863]</v>
      </c>
    </row>
    <row r="366" spans="1:9" x14ac:dyDescent="0.3">
      <c r="A366" s="1">
        <v>20864</v>
      </c>
      <c r="B366" t="s">
        <v>5774</v>
      </c>
      <c r="C366" s="1">
        <v>2.1</v>
      </c>
      <c r="D366" s="1">
        <v>15</v>
      </c>
      <c r="E366" s="1">
        <v>28</v>
      </c>
      <c r="F366" s="1">
        <v>9</v>
      </c>
      <c r="G366" s="1">
        <v>498.14</v>
      </c>
      <c r="H366" s="1" t="s">
        <v>9</v>
      </c>
      <c r="I366" t="str">
        <f t="shared" si="5"/>
        <v>DENIM PATCH PENCIL CASE BUTTERFLY [20864]</v>
      </c>
    </row>
    <row r="367" spans="1:9" x14ac:dyDescent="0.3">
      <c r="A367" s="1">
        <v>20865</v>
      </c>
      <c r="B367" t="s">
        <v>5773</v>
      </c>
      <c r="C367" s="1">
        <v>2.1</v>
      </c>
      <c r="D367" s="1">
        <v>25</v>
      </c>
      <c r="E367" s="2">
        <v>35.857142857142797</v>
      </c>
      <c r="F367" s="1">
        <v>7</v>
      </c>
      <c r="G367" s="1">
        <v>500.49</v>
      </c>
      <c r="H367" s="1" t="s">
        <v>9</v>
      </c>
      <c r="I367" t="str">
        <f t="shared" si="5"/>
        <v>PATCHWORK PENCIL CASE BUTTERFLY [20865]</v>
      </c>
    </row>
    <row r="368" spans="1:9" x14ac:dyDescent="0.3">
      <c r="A368" s="1">
        <v>20866</v>
      </c>
      <c r="B368" t="s">
        <v>5772</v>
      </c>
      <c r="C368" s="1">
        <v>1.29</v>
      </c>
      <c r="D368" s="1">
        <v>30.5</v>
      </c>
      <c r="E368" s="2">
        <v>53.3333333333333</v>
      </c>
      <c r="F368" s="1">
        <v>24</v>
      </c>
      <c r="G368" s="2">
        <v>1368.9099999999901</v>
      </c>
      <c r="H368" s="1" t="s">
        <v>9</v>
      </c>
      <c r="I368" t="str">
        <f t="shared" si="5"/>
        <v>BLUE ROSE FABRIC MIRROR [20866]</v>
      </c>
    </row>
    <row r="369" spans="1:9" x14ac:dyDescent="0.3">
      <c r="A369" s="1">
        <v>20867</v>
      </c>
      <c r="B369" t="s">
        <v>5771</v>
      </c>
      <c r="C369" s="1">
        <v>1.25</v>
      </c>
      <c r="D369" s="1">
        <v>24</v>
      </c>
      <c r="E369" s="2">
        <v>47.739130434782602</v>
      </c>
      <c r="F369" s="1">
        <v>23</v>
      </c>
      <c r="G369" s="1">
        <v>1093.1400000000001</v>
      </c>
      <c r="H369" s="1" t="s">
        <v>9</v>
      </c>
      <c r="I369" t="str">
        <f t="shared" si="5"/>
        <v>PINK ROSE FABRIC MIRROR [20867]</v>
      </c>
    </row>
    <row r="370" spans="1:9" x14ac:dyDescent="0.3">
      <c r="A370" s="1">
        <v>20868</v>
      </c>
      <c r="B370" t="s">
        <v>5770</v>
      </c>
      <c r="C370" s="1">
        <v>0.91</v>
      </c>
      <c r="D370" s="1">
        <v>14</v>
      </c>
      <c r="E370" s="2">
        <v>46.368421052631497</v>
      </c>
      <c r="F370" s="1">
        <v>19</v>
      </c>
      <c r="G370" s="1">
        <v>515.55999999999995</v>
      </c>
      <c r="H370" s="1" t="s">
        <v>9</v>
      </c>
      <c r="I370" t="str">
        <f t="shared" si="5"/>
        <v>SILVER FABRIC MIRROR [20868]</v>
      </c>
    </row>
    <row r="371" spans="1:9" x14ac:dyDescent="0.3">
      <c r="A371" s="1">
        <v>20869</v>
      </c>
      <c r="B371" t="s">
        <v>5769</v>
      </c>
      <c r="C371" s="1">
        <v>0.81499999999999995</v>
      </c>
      <c r="D371" s="1">
        <v>11.5</v>
      </c>
      <c r="E371" s="2">
        <v>29.3333333333333</v>
      </c>
      <c r="F371" s="1">
        <v>18</v>
      </c>
      <c r="G371" s="1">
        <v>292.66000000000003</v>
      </c>
      <c r="H371" s="1" t="s">
        <v>9</v>
      </c>
      <c r="I371" t="str">
        <f t="shared" si="5"/>
        <v>GOLD FABRIC MIRROR [20869]</v>
      </c>
    </row>
    <row r="372" spans="1:9" x14ac:dyDescent="0.3">
      <c r="A372" s="1">
        <v>20870</v>
      </c>
      <c r="B372" t="s">
        <v>5768</v>
      </c>
      <c r="C372" s="1">
        <v>1.8</v>
      </c>
      <c r="D372" s="1">
        <v>29</v>
      </c>
      <c r="E372" s="1">
        <v>29</v>
      </c>
      <c r="F372" s="1">
        <v>1</v>
      </c>
      <c r="G372" s="1">
        <v>52.2</v>
      </c>
      <c r="H372" s="1" t="s">
        <v>9</v>
      </c>
      <c r="I372" t="str">
        <f t="shared" si="5"/>
        <v>OPULENT VELVET CANDLE IN BOX [20870]</v>
      </c>
    </row>
    <row r="373" spans="1:9" x14ac:dyDescent="0.3">
      <c r="A373" s="1">
        <v>20871</v>
      </c>
      <c r="B373" t="s">
        <v>5767</v>
      </c>
      <c r="C373" s="1">
        <v>1.48</v>
      </c>
      <c r="D373" s="1">
        <v>71</v>
      </c>
      <c r="E373" s="2">
        <v>115.363636363636</v>
      </c>
      <c r="F373" s="1">
        <v>11</v>
      </c>
      <c r="G373" s="1">
        <v>1961.21</v>
      </c>
      <c r="H373" s="1" t="s">
        <v>10</v>
      </c>
      <c r="I373" t="str">
        <f t="shared" si="5"/>
        <v>OPULENT VELVET SET/3 CANDLES [20871]</v>
      </c>
    </row>
    <row r="374" spans="1:9" x14ac:dyDescent="0.3">
      <c r="A374" s="1">
        <v>20877</v>
      </c>
      <c r="B374" t="s">
        <v>5766</v>
      </c>
      <c r="C374" s="1">
        <v>0.42</v>
      </c>
      <c r="D374" s="1">
        <v>12</v>
      </c>
      <c r="E374" s="1">
        <v>12</v>
      </c>
      <c r="F374" s="1">
        <v>1</v>
      </c>
      <c r="G374" s="1">
        <v>5.04</v>
      </c>
      <c r="H374" s="1" t="s">
        <v>9</v>
      </c>
      <c r="I374" t="str">
        <f t="shared" si="5"/>
        <v>MODERN CHRISTMAS BAUBLE CANDLE [20877]</v>
      </c>
    </row>
    <row r="375" spans="1:9" x14ac:dyDescent="0.3">
      <c r="A375" s="1">
        <v>20878</v>
      </c>
      <c r="B375" t="s">
        <v>5765</v>
      </c>
      <c r="C375" s="1">
        <v>1.29</v>
      </c>
      <c r="D375" s="1">
        <v>117</v>
      </c>
      <c r="E375" s="2">
        <v>122.833333333333</v>
      </c>
      <c r="F375" s="1">
        <v>6</v>
      </c>
      <c r="G375" s="2">
        <v>952.51</v>
      </c>
      <c r="H375" s="1" t="s">
        <v>10</v>
      </c>
      <c r="I375" t="str">
        <f t="shared" si="5"/>
        <v>SET/9 CHRISTMAS T-LIGHTS SCENTED [20878]</v>
      </c>
    </row>
    <row r="376" spans="1:9" x14ac:dyDescent="0.3">
      <c r="A376" s="1">
        <v>20879</v>
      </c>
      <c r="B376" t="s">
        <v>5764</v>
      </c>
      <c r="C376" s="1">
        <v>1.19</v>
      </c>
      <c r="D376" s="1">
        <v>57</v>
      </c>
      <c r="E376" s="1">
        <v>57</v>
      </c>
      <c r="F376" s="1">
        <v>1</v>
      </c>
      <c r="G376" s="1">
        <v>67.8</v>
      </c>
      <c r="H376" s="1" t="s">
        <v>9</v>
      </c>
      <c r="I376" t="str">
        <f t="shared" si="5"/>
        <v>TREE OF NOAH FESTIVE SCENTED CANDLE [20879]</v>
      </c>
    </row>
    <row r="377" spans="1:9" x14ac:dyDescent="0.3">
      <c r="A377" s="1">
        <v>20881</v>
      </c>
      <c r="B377" t="s">
        <v>5763</v>
      </c>
      <c r="C377" s="1">
        <v>0.85</v>
      </c>
      <c r="D377" s="1">
        <v>3</v>
      </c>
      <c r="E377" s="1">
        <v>3</v>
      </c>
      <c r="F377" s="1">
        <v>1</v>
      </c>
      <c r="G377" s="1">
        <v>2.5499999999999998</v>
      </c>
      <c r="H377" s="1" t="s">
        <v>8</v>
      </c>
      <c r="I377" t="str">
        <f t="shared" si="5"/>
        <v>MODERN CHRISTMAS TREE CANDLE [20881]</v>
      </c>
    </row>
    <row r="378" spans="1:9" x14ac:dyDescent="0.3">
      <c r="A378" s="1">
        <v>20882</v>
      </c>
      <c r="B378" t="s">
        <v>5763</v>
      </c>
      <c r="C378" s="1">
        <v>2.95</v>
      </c>
      <c r="D378" s="1">
        <v>3</v>
      </c>
      <c r="E378" s="1">
        <v>3</v>
      </c>
      <c r="F378" s="1">
        <v>1</v>
      </c>
      <c r="G378" s="1">
        <v>8.85</v>
      </c>
      <c r="H378" s="1" t="s">
        <v>8</v>
      </c>
      <c r="I378" t="str">
        <f t="shared" si="5"/>
        <v>MODERN CHRISTMAS TREE CANDLE [20882]</v>
      </c>
    </row>
    <row r="379" spans="1:9" x14ac:dyDescent="0.3">
      <c r="A379" s="1">
        <v>20884</v>
      </c>
      <c r="B379" t="s">
        <v>5763</v>
      </c>
      <c r="C379" s="1">
        <v>2.1</v>
      </c>
      <c r="D379" s="1">
        <v>3</v>
      </c>
      <c r="E379" s="1">
        <v>3</v>
      </c>
      <c r="F379" s="1">
        <v>1</v>
      </c>
      <c r="G379" s="1">
        <v>6.3</v>
      </c>
      <c r="H379" s="1" t="s">
        <v>8</v>
      </c>
      <c r="I379" t="str">
        <f t="shared" si="5"/>
        <v>MODERN CHRISTMAS TREE CANDLE [20884]</v>
      </c>
    </row>
    <row r="380" spans="1:9" x14ac:dyDescent="0.3">
      <c r="A380" s="1">
        <v>20885</v>
      </c>
      <c r="B380" t="s">
        <v>5762</v>
      </c>
      <c r="C380" s="1">
        <v>2.95</v>
      </c>
      <c r="D380" s="1">
        <v>1</v>
      </c>
      <c r="E380" s="1">
        <v>1</v>
      </c>
      <c r="F380" s="1">
        <v>1</v>
      </c>
      <c r="G380" s="1">
        <v>2.95</v>
      </c>
      <c r="H380" s="1" t="s">
        <v>8</v>
      </c>
      <c r="I380" t="str">
        <f t="shared" si="5"/>
        <v>BOX OF 3 PEBBLE CANDLES [20885]</v>
      </c>
    </row>
    <row r="381" spans="1:9" x14ac:dyDescent="0.3">
      <c r="A381" s="1">
        <v>20886</v>
      </c>
      <c r="B381" t="s">
        <v>5761</v>
      </c>
      <c r="C381" s="1">
        <v>2.04</v>
      </c>
      <c r="D381" s="1">
        <v>62.5</v>
      </c>
      <c r="E381" s="2">
        <v>74.0416666666666</v>
      </c>
      <c r="F381" s="1">
        <v>24</v>
      </c>
      <c r="G381" s="2">
        <v>3540.22</v>
      </c>
      <c r="H381" s="1" t="s">
        <v>10</v>
      </c>
      <c r="I381" t="str">
        <f t="shared" si="5"/>
        <v>BOX OF 9 PEBBLE CANDLES [20886]</v>
      </c>
    </row>
    <row r="382" spans="1:9" x14ac:dyDescent="0.3">
      <c r="A382" s="1">
        <v>20887</v>
      </c>
      <c r="B382" t="s">
        <v>5760</v>
      </c>
      <c r="C382" s="1">
        <v>6.58</v>
      </c>
      <c r="D382" s="1">
        <v>18</v>
      </c>
      <c r="E382" s="1">
        <v>18</v>
      </c>
      <c r="F382" s="1">
        <v>1</v>
      </c>
      <c r="G382" s="1">
        <v>118.39</v>
      </c>
      <c r="H382" s="1" t="s">
        <v>9</v>
      </c>
      <c r="I382" t="str">
        <f t="shared" si="5"/>
        <v>BOX OF 6 PEBBLE CANDLES [20887]</v>
      </c>
    </row>
    <row r="383" spans="1:9" x14ac:dyDescent="0.3">
      <c r="A383" s="1">
        <v>20888</v>
      </c>
      <c r="B383" t="s">
        <v>5759</v>
      </c>
      <c r="C383" s="1">
        <v>1.96</v>
      </c>
      <c r="D383" s="1">
        <v>30.5</v>
      </c>
      <c r="E383" s="1">
        <v>91.75</v>
      </c>
      <c r="F383" s="1">
        <v>4</v>
      </c>
      <c r="G383" s="1">
        <v>547.74</v>
      </c>
      <c r="H383" s="1" t="s">
        <v>9</v>
      </c>
      <c r="I383" t="str">
        <f t="shared" si="5"/>
        <v>SET 3 JARDIN DE FEMME SCENT CANDLES [20888]</v>
      </c>
    </row>
    <row r="384" spans="1:9" x14ac:dyDescent="0.3">
      <c r="A384" s="1">
        <v>20889</v>
      </c>
      <c r="B384" t="s">
        <v>5758</v>
      </c>
      <c r="C384" s="1">
        <v>1.22</v>
      </c>
      <c r="D384" s="1">
        <v>59</v>
      </c>
      <c r="E384" s="2">
        <v>217.666666666666</v>
      </c>
      <c r="F384" s="1">
        <v>3</v>
      </c>
      <c r="G384" s="1">
        <v>386.24</v>
      </c>
      <c r="H384" s="1" t="s">
        <v>9</v>
      </c>
      <c r="I384" t="str">
        <f t="shared" si="5"/>
        <v>JARDIN DE FEMME SCENTED CANDLE [20889]</v>
      </c>
    </row>
    <row r="385" spans="1:9" x14ac:dyDescent="0.3">
      <c r="A385" s="1">
        <v>20890</v>
      </c>
      <c r="B385" t="s">
        <v>5757</v>
      </c>
      <c r="C385" s="1">
        <v>3.75</v>
      </c>
      <c r="D385" s="1">
        <v>4</v>
      </c>
      <c r="E385" s="1">
        <v>4</v>
      </c>
      <c r="F385" s="1">
        <v>1</v>
      </c>
      <c r="G385" s="1">
        <v>15</v>
      </c>
      <c r="H385" s="1" t="s">
        <v>8</v>
      </c>
      <c r="I385" t="str">
        <f t="shared" si="5"/>
        <v>SMALL GLASS ROSE SCENTED CANDLE [20890]</v>
      </c>
    </row>
    <row r="386" spans="1:9" x14ac:dyDescent="0.3">
      <c r="A386" s="1">
        <v>20891</v>
      </c>
      <c r="B386" t="s">
        <v>5756</v>
      </c>
      <c r="C386" s="1">
        <v>10.68</v>
      </c>
      <c r="D386" s="1">
        <v>3</v>
      </c>
      <c r="E386" s="1">
        <v>3</v>
      </c>
      <c r="F386" s="1">
        <v>1</v>
      </c>
      <c r="G386" s="1">
        <v>32.03</v>
      </c>
      <c r="H386" s="1" t="s">
        <v>8</v>
      </c>
      <c r="I386" t="str">
        <f t="shared" si="5"/>
        <v>LARGE GLASS ROSE SCENTED CANDLE [20891]</v>
      </c>
    </row>
    <row r="387" spans="1:9" x14ac:dyDescent="0.3">
      <c r="A387" s="1">
        <v>20892</v>
      </c>
      <c r="B387" t="s">
        <v>5755</v>
      </c>
      <c r="C387" s="1">
        <v>15.3</v>
      </c>
      <c r="D387" s="1">
        <v>5</v>
      </c>
      <c r="E387" s="2">
        <v>7.8461538461538396</v>
      </c>
      <c r="F387" s="1">
        <v>13</v>
      </c>
      <c r="G387" s="1">
        <v>1095.3499999999999</v>
      </c>
      <c r="H387" s="1" t="s">
        <v>8</v>
      </c>
      <c r="I387" t="str">
        <f t="shared" ref="I387:I450" si="6">B387&amp;" ["&amp;A387&amp;"]"</f>
        <v>SET/3 TALL GLASS CANDLE HOLDER PINK [20892]</v>
      </c>
    </row>
    <row r="388" spans="1:9" x14ac:dyDescent="0.3">
      <c r="A388" s="1">
        <v>20893</v>
      </c>
      <c r="B388" t="s">
        <v>5754</v>
      </c>
      <c r="C388" s="1">
        <v>2.5499999999999998</v>
      </c>
      <c r="D388" s="1">
        <v>8</v>
      </c>
      <c r="E388" s="2">
        <v>25.409090909090899</v>
      </c>
      <c r="F388" s="1">
        <v>22</v>
      </c>
      <c r="G388" s="1">
        <v>1308.5899999999999</v>
      </c>
      <c r="H388" s="1" t="s">
        <v>8</v>
      </c>
      <c r="I388" t="str">
        <f t="shared" si="6"/>
        <v>HANGING BAUBLE T-LIGHT HOLDER SMALL [20893]</v>
      </c>
    </row>
    <row r="389" spans="1:9" x14ac:dyDescent="0.3">
      <c r="A389" s="1">
        <v>20894</v>
      </c>
      <c r="B389" t="s">
        <v>5753</v>
      </c>
      <c r="C389" s="1">
        <v>2.95</v>
      </c>
      <c r="D389" s="1">
        <v>8</v>
      </c>
      <c r="E389" s="1">
        <v>13.35</v>
      </c>
      <c r="F389" s="1">
        <v>20</v>
      </c>
      <c r="G389" s="1">
        <v>827.3</v>
      </c>
      <c r="H389" s="1" t="s">
        <v>8</v>
      </c>
      <c r="I389" t="str">
        <f t="shared" si="6"/>
        <v>HANGING BAUBLE T-LIGHT HOLDER LARGE [20894]</v>
      </c>
    </row>
    <row r="390" spans="1:9" x14ac:dyDescent="0.3">
      <c r="A390" s="1">
        <v>20895</v>
      </c>
      <c r="B390" t="s">
        <v>5752</v>
      </c>
      <c r="C390" s="1">
        <v>2.95</v>
      </c>
      <c r="D390" s="1">
        <v>2</v>
      </c>
      <c r="E390" s="2">
        <v>5.3333333333333304</v>
      </c>
      <c r="F390" s="1">
        <v>3</v>
      </c>
      <c r="G390" s="1">
        <v>47.2</v>
      </c>
      <c r="H390" s="1" t="s">
        <v>8</v>
      </c>
      <c r="I390" t="str">
        <f t="shared" si="6"/>
        <v>VINTAGE NOTEBOOK FRENCH LETTER [20895]</v>
      </c>
    </row>
    <row r="391" spans="1:9" x14ac:dyDescent="0.3">
      <c r="A391" s="1">
        <v>20896</v>
      </c>
      <c r="B391" t="s">
        <v>5751</v>
      </c>
      <c r="C391" s="1">
        <v>2.95</v>
      </c>
      <c r="D391" s="1">
        <v>6</v>
      </c>
      <c r="E391" s="1">
        <v>6.5</v>
      </c>
      <c r="F391" s="1">
        <v>6</v>
      </c>
      <c r="G391" s="1">
        <v>115.05</v>
      </c>
      <c r="H391" s="1" t="s">
        <v>8</v>
      </c>
      <c r="I391" t="str">
        <f t="shared" si="6"/>
        <v>VINTAGE NOTEBOOK PINK FLOWER [20896]</v>
      </c>
    </row>
    <row r="392" spans="1:9" x14ac:dyDescent="0.3">
      <c r="A392" s="1">
        <v>20897</v>
      </c>
      <c r="B392" t="s">
        <v>5750</v>
      </c>
      <c r="C392" s="1">
        <v>2.95</v>
      </c>
      <c r="D392" s="1">
        <v>8</v>
      </c>
      <c r="E392" s="2">
        <v>18.473684210526301</v>
      </c>
      <c r="F392" s="1">
        <v>19</v>
      </c>
      <c r="G392" s="2">
        <v>848.69999999999902</v>
      </c>
      <c r="H392" s="1" t="s">
        <v>8</v>
      </c>
      <c r="I392" t="str">
        <f t="shared" si="6"/>
        <v>VINTAGE NOTEBOOK PARIS DAYS [20897]</v>
      </c>
    </row>
    <row r="393" spans="1:9" x14ac:dyDescent="0.3">
      <c r="A393" s="1">
        <v>20898</v>
      </c>
      <c r="B393" t="s">
        <v>5749</v>
      </c>
      <c r="C393" s="1">
        <v>2.95</v>
      </c>
      <c r="D393" s="1">
        <v>8.5</v>
      </c>
      <c r="E393" s="1">
        <v>20.4375</v>
      </c>
      <c r="F393" s="1">
        <v>16</v>
      </c>
      <c r="G393" s="1">
        <v>693.92</v>
      </c>
      <c r="H393" s="1" t="s">
        <v>8</v>
      </c>
      <c r="I393" t="str">
        <f t="shared" si="6"/>
        <v>VINTAGE NOTEBOOK TRAVELOGUE [20898]</v>
      </c>
    </row>
    <row r="394" spans="1:9" x14ac:dyDescent="0.3">
      <c r="A394" s="1">
        <v>20899</v>
      </c>
      <c r="B394" t="s">
        <v>5748</v>
      </c>
      <c r="C394" s="1">
        <v>2.95</v>
      </c>
      <c r="D394" s="1">
        <v>6</v>
      </c>
      <c r="E394" s="1">
        <v>8.8000000000000007</v>
      </c>
      <c r="F394" s="1">
        <v>5</v>
      </c>
      <c r="G394" s="1">
        <v>129.80000000000001</v>
      </c>
      <c r="H394" s="1" t="s">
        <v>8</v>
      </c>
      <c r="I394" t="str">
        <f t="shared" si="6"/>
        <v>VINTAGE NOTEBOOK RED ROSE [20899]</v>
      </c>
    </row>
    <row r="395" spans="1:9" x14ac:dyDescent="0.3">
      <c r="A395" s="1">
        <v>20901</v>
      </c>
      <c r="B395" t="s">
        <v>5747</v>
      </c>
      <c r="C395" s="1">
        <v>9.5399999999999991</v>
      </c>
      <c r="D395" s="1">
        <v>7</v>
      </c>
      <c r="E395" s="2">
        <v>8.2727272727272698</v>
      </c>
      <c r="F395" s="1">
        <v>11</v>
      </c>
      <c r="G395" s="1">
        <v>806.58</v>
      </c>
      <c r="H395" s="1" t="s">
        <v>8</v>
      </c>
      <c r="I395" t="str">
        <f t="shared" si="6"/>
        <v>VINTAGE KEEPSAKE BOX PINK FLOWER [20901]</v>
      </c>
    </row>
    <row r="396" spans="1:9" x14ac:dyDescent="0.3">
      <c r="A396" s="1">
        <v>20902</v>
      </c>
      <c r="B396" t="s">
        <v>5746</v>
      </c>
      <c r="C396" s="1">
        <v>10.535</v>
      </c>
      <c r="D396" s="1">
        <v>6</v>
      </c>
      <c r="E396" s="1">
        <v>10.3</v>
      </c>
      <c r="F396" s="1">
        <v>20</v>
      </c>
      <c r="G396" s="1">
        <v>1525.22</v>
      </c>
      <c r="H396" s="1" t="s">
        <v>8</v>
      </c>
      <c r="I396" t="str">
        <f t="shared" si="6"/>
        <v>VINTAGE KEEPSAKE BOX PARIS DAYS [20902]</v>
      </c>
    </row>
    <row r="397" spans="1:9" x14ac:dyDescent="0.3">
      <c r="A397" s="1">
        <v>20903</v>
      </c>
      <c r="B397" t="s">
        <v>5745</v>
      </c>
      <c r="C397" s="1">
        <v>8.39</v>
      </c>
      <c r="D397" s="1">
        <v>3</v>
      </c>
      <c r="E397" s="2">
        <v>7.7619047619047601</v>
      </c>
      <c r="F397" s="1">
        <v>21</v>
      </c>
      <c r="G397" s="1">
        <v>873</v>
      </c>
      <c r="H397" s="1" t="s">
        <v>8</v>
      </c>
      <c r="I397" t="str">
        <f t="shared" si="6"/>
        <v>VINTAGE KEEPSAKE BOX TRAVELOGUE [20903]</v>
      </c>
    </row>
    <row r="398" spans="1:9" x14ac:dyDescent="0.3">
      <c r="A398" s="1">
        <v>20905</v>
      </c>
      <c r="B398" t="s">
        <v>5744</v>
      </c>
      <c r="C398" s="1">
        <v>6.35</v>
      </c>
      <c r="D398" s="1">
        <v>5</v>
      </c>
      <c r="E398" s="1">
        <v>5</v>
      </c>
      <c r="F398" s="1">
        <v>2</v>
      </c>
      <c r="G398" s="1">
        <v>63.5</v>
      </c>
      <c r="H398" s="1" t="s">
        <v>8</v>
      </c>
      <c r="I398" t="str">
        <f t="shared" si="6"/>
        <v>VINTAGE KEEPSAKE BOX BEAUTY GIRL [20905]</v>
      </c>
    </row>
    <row r="399" spans="1:9" x14ac:dyDescent="0.3">
      <c r="A399" s="1">
        <v>20906</v>
      </c>
      <c r="B399" t="s">
        <v>5743</v>
      </c>
      <c r="C399" s="1">
        <v>2.95</v>
      </c>
      <c r="D399" s="1">
        <v>3</v>
      </c>
      <c r="E399" s="2">
        <v>7.21428571428571</v>
      </c>
      <c r="F399" s="1">
        <v>14</v>
      </c>
      <c r="G399" s="1">
        <v>368.24</v>
      </c>
      <c r="H399" s="1" t="s">
        <v>8</v>
      </c>
      <c r="I399" t="str">
        <f t="shared" si="6"/>
        <v>VINTAGE NOTEBOOK BEAUTY GIRL [20906]</v>
      </c>
    </row>
    <row r="400" spans="1:9" x14ac:dyDescent="0.3">
      <c r="A400" s="1">
        <v>20910</v>
      </c>
      <c r="B400" t="s">
        <v>5742</v>
      </c>
      <c r="C400" s="1">
        <v>7.68</v>
      </c>
      <c r="D400" s="1">
        <v>6</v>
      </c>
      <c r="E400" s="2">
        <v>8.1538461538461497</v>
      </c>
      <c r="F400" s="1">
        <v>13</v>
      </c>
      <c r="G400" s="1">
        <v>769.12</v>
      </c>
      <c r="H400" s="1" t="s">
        <v>8</v>
      </c>
      <c r="I400" t="str">
        <f t="shared" si="6"/>
        <v>VINTAGE PHOTO ALBUM PARIS DAYS [20910]</v>
      </c>
    </row>
    <row r="401" spans="1:9" x14ac:dyDescent="0.3">
      <c r="A401" s="1">
        <v>20913</v>
      </c>
      <c r="B401" t="s">
        <v>5741</v>
      </c>
      <c r="C401" s="2">
        <v>3.0999999999999899</v>
      </c>
      <c r="D401" s="1">
        <v>157</v>
      </c>
      <c r="E401" s="1">
        <v>157</v>
      </c>
      <c r="F401" s="1">
        <v>2</v>
      </c>
      <c r="G401" s="1">
        <v>898.72</v>
      </c>
      <c r="H401" s="1" t="s">
        <v>10</v>
      </c>
      <c r="I401" t="str">
        <f t="shared" si="6"/>
        <v>SET/5 BLUE SPOTTY LID GLASS BOWLS [20913]</v>
      </c>
    </row>
    <row r="402" spans="1:9" x14ac:dyDescent="0.3">
      <c r="A402" s="1">
        <v>20914</v>
      </c>
      <c r="B402" t="s">
        <v>5740</v>
      </c>
      <c r="C402" s="1">
        <v>2.86</v>
      </c>
      <c r="D402" s="1">
        <v>566</v>
      </c>
      <c r="E402" s="2">
        <v>643.79310344827502</v>
      </c>
      <c r="F402" s="1">
        <v>25</v>
      </c>
      <c r="G402" s="1">
        <v>52508.56</v>
      </c>
      <c r="H402" s="1" t="s">
        <v>10</v>
      </c>
      <c r="I402" t="str">
        <f t="shared" si="6"/>
        <v>SET/5 RED SPOTTY LID GLASS BOWLS [20914]</v>
      </c>
    </row>
    <row r="403" spans="1:9" x14ac:dyDescent="0.3">
      <c r="A403" s="1">
        <v>20931</v>
      </c>
      <c r="B403" t="s">
        <v>5739</v>
      </c>
      <c r="C403" s="1">
        <v>3.75</v>
      </c>
      <c r="D403" s="1">
        <v>17.5</v>
      </c>
      <c r="E403" s="2">
        <v>28.0416666666666</v>
      </c>
      <c r="F403" s="1">
        <v>24</v>
      </c>
      <c r="G403" s="1">
        <v>2238.0700000000002</v>
      </c>
      <c r="H403" s="1" t="s">
        <v>9</v>
      </c>
      <c r="I403" t="str">
        <f t="shared" si="6"/>
        <v>BLUE POT PLANT CANDLE [20931]</v>
      </c>
    </row>
    <row r="404" spans="1:9" x14ac:dyDescent="0.3">
      <c r="A404" s="1">
        <v>20932</v>
      </c>
      <c r="B404" t="s">
        <v>5738</v>
      </c>
      <c r="C404" s="1">
        <v>4.04</v>
      </c>
      <c r="D404" s="1">
        <v>7</v>
      </c>
      <c r="E404" s="2">
        <v>14.478260869565201</v>
      </c>
      <c r="F404" s="1">
        <v>23</v>
      </c>
      <c r="G404" s="1">
        <v>1143.97</v>
      </c>
      <c r="H404" s="1" t="s">
        <v>8</v>
      </c>
      <c r="I404" t="str">
        <f t="shared" si="6"/>
        <v>PINK POT PLANT CANDLE [20932]</v>
      </c>
    </row>
    <row r="405" spans="1:9" x14ac:dyDescent="0.3">
      <c r="A405" s="1">
        <v>20933</v>
      </c>
      <c r="B405" t="s">
        <v>5737</v>
      </c>
      <c r="C405" s="1">
        <v>3.35</v>
      </c>
      <c r="D405" s="1">
        <v>6.5</v>
      </c>
      <c r="E405" s="1">
        <v>31.5625</v>
      </c>
      <c r="F405" s="1">
        <v>16</v>
      </c>
      <c r="G405" s="1">
        <v>1329.49</v>
      </c>
      <c r="H405" s="1" t="s">
        <v>8</v>
      </c>
      <c r="I405" t="str">
        <f t="shared" si="6"/>
        <v>YELLOW POT PLANT CANDLE [20933]</v>
      </c>
    </row>
    <row r="406" spans="1:9" x14ac:dyDescent="0.3">
      <c r="A406" s="1">
        <v>20934</v>
      </c>
      <c r="B406" t="s">
        <v>5736</v>
      </c>
      <c r="C406" s="1">
        <v>5.76</v>
      </c>
      <c r="D406" s="1">
        <v>8</v>
      </c>
      <c r="E406" s="2">
        <v>11.588235294117601</v>
      </c>
      <c r="F406" s="1">
        <v>17</v>
      </c>
      <c r="G406" s="1">
        <v>1185.07</v>
      </c>
      <c r="H406" s="1" t="s">
        <v>8</v>
      </c>
      <c r="I406" t="str">
        <f t="shared" si="6"/>
        <v>SET/3 POT PLANT CANDLES [20934]</v>
      </c>
    </row>
    <row r="407" spans="1:9" x14ac:dyDescent="0.3">
      <c r="A407" s="1">
        <v>20935</v>
      </c>
      <c r="B407" t="s">
        <v>5735</v>
      </c>
      <c r="C407" s="1">
        <v>2.95</v>
      </c>
      <c r="D407" s="1">
        <v>7</v>
      </c>
      <c r="E407" s="2">
        <v>23.076923076922998</v>
      </c>
      <c r="F407" s="1">
        <v>13</v>
      </c>
      <c r="G407" s="1">
        <v>574.48</v>
      </c>
      <c r="H407" s="1" t="s">
        <v>8</v>
      </c>
      <c r="I407" t="str">
        <f t="shared" si="6"/>
        <v>ROUND CACTUS CANDLE [20935]</v>
      </c>
    </row>
    <row r="408" spans="1:9" x14ac:dyDescent="0.3">
      <c r="A408" s="1">
        <v>20936</v>
      </c>
      <c r="B408" t="s">
        <v>5734</v>
      </c>
      <c r="C408" s="1">
        <v>3.04</v>
      </c>
      <c r="D408" s="1">
        <v>8</v>
      </c>
      <c r="E408" s="2">
        <v>15.857142857142801</v>
      </c>
      <c r="F408" s="1">
        <v>21</v>
      </c>
      <c r="G408" s="1">
        <v>843.39</v>
      </c>
      <c r="H408" s="1" t="s">
        <v>8</v>
      </c>
      <c r="I408" t="str">
        <f t="shared" si="6"/>
        <v>FORKED CACTUS CANDLE [20936]</v>
      </c>
    </row>
    <row r="409" spans="1:9" x14ac:dyDescent="0.3">
      <c r="A409" s="1">
        <v>20939</v>
      </c>
      <c r="B409" t="s">
        <v>5733</v>
      </c>
      <c r="C409" s="1">
        <v>0.85</v>
      </c>
      <c r="D409" s="1">
        <v>12</v>
      </c>
      <c r="E409" s="1">
        <v>12</v>
      </c>
      <c r="F409" s="1">
        <v>1</v>
      </c>
      <c r="G409" s="1">
        <v>10.199999999999999</v>
      </c>
      <c r="H409" s="1" t="s">
        <v>9</v>
      </c>
      <c r="I409" t="str">
        <f t="shared" si="6"/>
        <v>ORANGE CANDLE [20939]</v>
      </c>
    </row>
    <row r="410" spans="1:9" x14ac:dyDescent="0.3">
      <c r="A410" s="1">
        <v>20940</v>
      </c>
      <c r="B410" t="s">
        <v>5732</v>
      </c>
      <c r="C410" s="1">
        <v>2.9</v>
      </c>
      <c r="D410" s="1">
        <v>118</v>
      </c>
      <c r="E410" s="1">
        <v>118</v>
      </c>
      <c r="F410" s="1">
        <v>1</v>
      </c>
      <c r="G410" s="1">
        <v>342.75</v>
      </c>
      <c r="H410" s="1" t="s">
        <v>10</v>
      </c>
      <c r="I410" t="str">
        <f t="shared" si="6"/>
        <v>SET/6 GARDEN GNOME T-LIGHT CANDLES [20940]</v>
      </c>
    </row>
    <row r="411" spans="1:9" x14ac:dyDescent="0.3">
      <c r="A411" s="1">
        <v>20941</v>
      </c>
      <c r="B411" t="s">
        <v>5731</v>
      </c>
      <c r="C411" s="1">
        <v>1.2949999999999999</v>
      </c>
      <c r="D411" s="1">
        <v>17.5</v>
      </c>
      <c r="E411" s="1">
        <v>49.9</v>
      </c>
      <c r="F411" s="1">
        <v>20</v>
      </c>
      <c r="G411" s="1">
        <v>896.28</v>
      </c>
      <c r="H411" s="1" t="s">
        <v>9</v>
      </c>
      <c r="I411" t="str">
        <f t="shared" si="6"/>
        <v>FROG CANDLE [20941]</v>
      </c>
    </row>
    <row r="412" spans="1:9" x14ac:dyDescent="0.3">
      <c r="A412" s="1">
        <v>20942</v>
      </c>
      <c r="B412" t="s">
        <v>5730</v>
      </c>
      <c r="C412" s="1">
        <v>1.25</v>
      </c>
      <c r="D412" s="1">
        <v>6</v>
      </c>
      <c r="E412" s="1">
        <v>6</v>
      </c>
      <c r="F412" s="1">
        <v>1</v>
      </c>
      <c r="G412" s="1">
        <v>7.5</v>
      </c>
      <c r="H412" s="1" t="s">
        <v>8</v>
      </c>
      <c r="I412" t="str">
        <f t="shared" si="6"/>
        <v>SET/6 GINGERBREAD TREE T-LIGHTS [20942]</v>
      </c>
    </row>
    <row r="413" spans="1:9" x14ac:dyDescent="0.3">
      <c r="A413" s="1">
        <v>20943</v>
      </c>
      <c r="B413" t="s">
        <v>5729</v>
      </c>
      <c r="C413" s="1">
        <v>1.49</v>
      </c>
      <c r="D413" s="1">
        <v>30</v>
      </c>
      <c r="E413" s="1">
        <v>47.625</v>
      </c>
      <c r="F413" s="1">
        <v>8</v>
      </c>
      <c r="G413" s="1">
        <v>540.21</v>
      </c>
      <c r="H413" s="1" t="s">
        <v>9</v>
      </c>
      <c r="I413" t="str">
        <f t="shared" si="6"/>
        <v>SET/6 GINGERBREAD STAR T-LIGHTS [20943]</v>
      </c>
    </row>
    <row r="414" spans="1:9" x14ac:dyDescent="0.3">
      <c r="A414" s="1">
        <v>20950</v>
      </c>
      <c r="B414" t="s">
        <v>5728</v>
      </c>
      <c r="C414" s="1">
        <v>0.42</v>
      </c>
      <c r="D414" s="1">
        <v>81</v>
      </c>
      <c r="E414" s="1">
        <v>116.6</v>
      </c>
      <c r="F414" s="1">
        <v>5</v>
      </c>
      <c r="G414" s="1">
        <v>249.04</v>
      </c>
      <c r="H414" s="1" t="s">
        <v>10</v>
      </c>
      <c r="I414" t="str">
        <f t="shared" si="6"/>
        <v>SET/6  ANGEL T-LIGHTS WHITE/GOLD [20950]</v>
      </c>
    </row>
    <row r="415" spans="1:9" x14ac:dyDescent="0.3">
      <c r="A415" s="1">
        <v>20952</v>
      </c>
      <c r="B415" t="s">
        <v>5727</v>
      </c>
      <c r="C415" s="1">
        <v>0.42</v>
      </c>
      <c r="D415" s="1">
        <v>9</v>
      </c>
      <c r="E415" s="1">
        <v>40.125</v>
      </c>
      <c r="F415" s="1">
        <v>8</v>
      </c>
      <c r="G415" s="1">
        <v>139</v>
      </c>
      <c r="H415" s="1" t="s">
        <v>8</v>
      </c>
      <c r="I415" t="str">
        <f t="shared" si="6"/>
        <v>PORCELAIN CHERUB BELL SMALL [20952]</v>
      </c>
    </row>
    <row r="416" spans="1:9" x14ac:dyDescent="0.3">
      <c r="A416" s="1">
        <v>20953</v>
      </c>
      <c r="B416" t="s">
        <v>5726</v>
      </c>
      <c r="C416" s="1">
        <v>1.65</v>
      </c>
      <c r="D416" s="1">
        <v>8.5</v>
      </c>
      <c r="E416" s="1">
        <v>8.25</v>
      </c>
      <c r="F416" s="1">
        <v>4</v>
      </c>
      <c r="G416" s="2">
        <v>54.449999999999903</v>
      </c>
      <c r="H416" s="1" t="s">
        <v>8</v>
      </c>
      <c r="I416" t="str">
        <f t="shared" si="6"/>
        <v>PORCELAIN CHERUB BELL LARGE [20953]</v>
      </c>
    </row>
    <row r="417" spans="1:9" x14ac:dyDescent="0.3">
      <c r="A417" s="1">
        <v>20954</v>
      </c>
      <c r="B417" t="s">
        <v>5725</v>
      </c>
      <c r="C417" s="1">
        <v>8.56</v>
      </c>
      <c r="D417" s="1">
        <v>1.5</v>
      </c>
      <c r="E417" s="1">
        <v>1.5</v>
      </c>
      <c r="F417" s="1">
        <v>2</v>
      </c>
      <c r="G417" s="2">
        <v>25.59</v>
      </c>
      <c r="H417" s="1" t="s">
        <v>8</v>
      </c>
      <c r="I417" t="str">
        <f t="shared" si="6"/>
        <v>*USB Office Mirror Ball [20954]</v>
      </c>
    </row>
    <row r="418" spans="1:9" x14ac:dyDescent="0.3">
      <c r="A418" s="1">
        <v>20956</v>
      </c>
      <c r="B418" t="s">
        <v>5724</v>
      </c>
      <c r="C418" s="1">
        <v>1.35</v>
      </c>
      <c r="D418" s="1">
        <v>27</v>
      </c>
      <c r="E418" s="2">
        <v>97.4166666666666</v>
      </c>
      <c r="F418" s="1">
        <v>24</v>
      </c>
      <c r="G418" s="1">
        <v>3083.82</v>
      </c>
      <c r="H418" s="1" t="s">
        <v>9</v>
      </c>
      <c r="I418" t="str">
        <f t="shared" si="6"/>
        <v>PORCELAIN T-LIGHT HOLDERS ASSORTED [20956]</v>
      </c>
    </row>
    <row r="419" spans="1:9" x14ac:dyDescent="0.3">
      <c r="A419" s="1">
        <v>20957</v>
      </c>
      <c r="B419" t="s">
        <v>5723</v>
      </c>
      <c r="C419" s="1">
        <v>1.45</v>
      </c>
      <c r="D419" s="1">
        <v>10</v>
      </c>
      <c r="E419" s="1">
        <v>18</v>
      </c>
      <c r="F419" s="1">
        <v>7</v>
      </c>
      <c r="G419" s="2">
        <v>184.60999999999899</v>
      </c>
      <c r="H419" s="1" t="s">
        <v>8</v>
      </c>
      <c r="I419" t="str">
        <f t="shared" si="6"/>
        <v>PORCELAIN HANGING BELL SMALL [20957]</v>
      </c>
    </row>
    <row r="420" spans="1:9" x14ac:dyDescent="0.3">
      <c r="A420" s="1">
        <v>20958</v>
      </c>
      <c r="B420" t="s">
        <v>5722</v>
      </c>
      <c r="C420" s="1">
        <v>1.95</v>
      </c>
      <c r="D420" s="1">
        <v>4</v>
      </c>
      <c r="E420" s="2">
        <v>5.4285714285714199</v>
      </c>
      <c r="F420" s="1">
        <v>7</v>
      </c>
      <c r="G420" s="1">
        <v>70.5</v>
      </c>
      <c r="H420" s="1" t="s">
        <v>8</v>
      </c>
      <c r="I420" t="str">
        <f t="shared" si="6"/>
        <v>PORCELAIN HANGING BELL LARGE [20958]</v>
      </c>
    </row>
    <row r="421" spans="1:9" x14ac:dyDescent="0.3">
      <c r="A421" s="1">
        <v>20960</v>
      </c>
      <c r="B421" t="s">
        <v>5721</v>
      </c>
      <c r="C421" s="1">
        <v>1.35</v>
      </c>
      <c r="D421" s="1">
        <v>125</v>
      </c>
      <c r="E421" s="2">
        <v>126.666666666666</v>
      </c>
      <c r="F421" s="1">
        <v>15</v>
      </c>
      <c r="G421" s="1">
        <v>2550.84</v>
      </c>
      <c r="H421" s="1" t="s">
        <v>10</v>
      </c>
      <c r="I421" t="str">
        <f t="shared" si="6"/>
        <v>WATERMELON BATH SPONGE [20960]</v>
      </c>
    </row>
    <row r="422" spans="1:9" x14ac:dyDescent="0.3">
      <c r="A422" s="1">
        <v>20961</v>
      </c>
      <c r="B422" t="s">
        <v>5720</v>
      </c>
      <c r="C422" s="1">
        <v>1.35</v>
      </c>
      <c r="D422" s="1">
        <v>90</v>
      </c>
      <c r="E422" s="1">
        <v>141.19999999999999</v>
      </c>
      <c r="F422" s="1">
        <v>25</v>
      </c>
      <c r="G422" s="1">
        <v>4687.6499999999996</v>
      </c>
      <c r="H422" s="1" t="s">
        <v>10</v>
      </c>
      <c r="I422" t="str">
        <f t="shared" si="6"/>
        <v>STRAWBERRY BATH SPONGE [20961]</v>
      </c>
    </row>
    <row r="423" spans="1:9" x14ac:dyDescent="0.3">
      <c r="A423" s="1">
        <v>20963</v>
      </c>
      <c r="B423" t="s">
        <v>5719</v>
      </c>
      <c r="C423" s="1">
        <v>1.39</v>
      </c>
      <c r="D423" s="1">
        <v>89</v>
      </c>
      <c r="E423" s="1">
        <v>138.36000000000001</v>
      </c>
      <c r="F423" s="1">
        <v>25</v>
      </c>
      <c r="G423" s="1">
        <v>4676.1499999999996</v>
      </c>
      <c r="H423" s="1" t="s">
        <v>10</v>
      </c>
      <c r="I423" t="str">
        <f t="shared" si="6"/>
        <v>APPLE BATH SPONGE [20963]</v>
      </c>
    </row>
    <row r="424" spans="1:9" x14ac:dyDescent="0.3">
      <c r="A424" s="1">
        <v>20964</v>
      </c>
      <c r="B424" t="s">
        <v>5718</v>
      </c>
      <c r="C424" s="1">
        <v>2.5499999999999998</v>
      </c>
      <c r="D424" s="1">
        <v>3</v>
      </c>
      <c r="E424" s="1">
        <v>4</v>
      </c>
      <c r="F424" s="1">
        <v>5</v>
      </c>
      <c r="G424" s="1">
        <v>51</v>
      </c>
      <c r="H424" s="1" t="s">
        <v>8</v>
      </c>
      <c r="I424" t="str">
        <f t="shared" si="6"/>
        <v>POLYESTER FILLER PAD 60x40cm [20964]</v>
      </c>
    </row>
    <row r="425" spans="1:9" x14ac:dyDescent="0.3">
      <c r="A425" s="1">
        <v>20966</v>
      </c>
      <c r="B425" t="s">
        <v>5717</v>
      </c>
      <c r="C425" s="1">
        <v>1.43</v>
      </c>
      <c r="D425" s="1">
        <v>98</v>
      </c>
      <c r="E425" s="2">
        <v>143.19047619047601</v>
      </c>
      <c r="F425" s="1">
        <v>21</v>
      </c>
      <c r="G425" s="1">
        <v>4265.24</v>
      </c>
      <c r="H425" s="1" t="s">
        <v>10</v>
      </c>
      <c r="I425" t="str">
        <f t="shared" si="6"/>
        <v>SANDWICH BATH SPONGE [20966]</v>
      </c>
    </row>
    <row r="426" spans="1:9" x14ac:dyDescent="0.3">
      <c r="A426" s="1">
        <v>20967</v>
      </c>
      <c r="B426" t="s">
        <v>5716</v>
      </c>
      <c r="C426" s="1">
        <v>3.75</v>
      </c>
      <c r="D426" s="1">
        <v>41</v>
      </c>
      <c r="E426" s="2">
        <v>55.5263157894736</v>
      </c>
      <c r="F426" s="1">
        <v>19</v>
      </c>
      <c r="G426" s="1">
        <v>3997.34</v>
      </c>
      <c r="H426" s="1" t="s">
        <v>9</v>
      </c>
      <c r="I426" t="str">
        <f t="shared" si="6"/>
        <v>GREY FLORAL FELTCRAFT SHOULDER BAG [20967]</v>
      </c>
    </row>
    <row r="427" spans="1:9" x14ac:dyDescent="0.3">
      <c r="A427" s="1">
        <v>20968</v>
      </c>
      <c r="B427" t="s">
        <v>5715</v>
      </c>
      <c r="C427" s="1">
        <v>5.88</v>
      </c>
      <c r="D427" s="1">
        <v>21.5</v>
      </c>
      <c r="E427" s="1">
        <v>21.5</v>
      </c>
      <c r="F427" s="1">
        <v>2</v>
      </c>
      <c r="G427" s="1">
        <v>185.11</v>
      </c>
      <c r="H427" s="1" t="s">
        <v>9</v>
      </c>
      <c r="I427" t="str">
        <f t="shared" si="6"/>
        <v>GREEN FLORAL FELTCRAFT SHOULDER BAG [20968]</v>
      </c>
    </row>
    <row r="428" spans="1:9" x14ac:dyDescent="0.3">
      <c r="A428" s="1">
        <v>20969</v>
      </c>
      <c r="B428" t="s">
        <v>5714</v>
      </c>
      <c r="C428" s="1">
        <v>3.75</v>
      </c>
      <c r="D428" s="1">
        <v>86</v>
      </c>
      <c r="E428" s="1">
        <v>129.47999999999999</v>
      </c>
      <c r="F428" s="1">
        <v>25</v>
      </c>
      <c r="G428" s="1">
        <v>12066.52</v>
      </c>
      <c r="H428" s="1" t="s">
        <v>10</v>
      </c>
      <c r="I428" t="str">
        <f t="shared" si="6"/>
        <v>RED FLORAL FELTCRAFT SHOULDER BAG [20969]</v>
      </c>
    </row>
    <row r="429" spans="1:9" x14ac:dyDescent="0.3">
      <c r="A429" s="1">
        <v>20970</v>
      </c>
      <c r="B429" t="s">
        <v>5713</v>
      </c>
      <c r="C429" s="1">
        <v>3.81</v>
      </c>
      <c r="D429" s="1">
        <v>68</v>
      </c>
      <c r="E429" s="1">
        <v>99.6</v>
      </c>
      <c r="F429" s="1">
        <v>25</v>
      </c>
      <c r="G429" s="1">
        <v>9387.2900000000009</v>
      </c>
      <c r="H429" s="1" t="s">
        <v>10</v>
      </c>
      <c r="I429" t="str">
        <f t="shared" si="6"/>
        <v>PINK FLORAL FELTCRAFT SHOULDER BAG [20970]</v>
      </c>
    </row>
    <row r="430" spans="1:9" x14ac:dyDescent="0.3">
      <c r="A430" s="1">
        <v>20971</v>
      </c>
      <c r="B430" t="s">
        <v>5712</v>
      </c>
      <c r="C430" s="1">
        <v>1.24</v>
      </c>
      <c r="D430" s="1">
        <v>578</v>
      </c>
      <c r="E430" s="1">
        <v>890.4</v>
      </c>
      <c r="F430" s="1">
        <v>25</v>
      </c>
      <c r="G430" s="1">
        <v>28580.97</v>
      </c>
      <c r="H430" s="1" t="s">
        <v>10</v>
      </c>
      <c r="I430" t="str">
        <f t="shared" si="6"/>
        <v>PINK BLUE FELT CRAFT TRINKET BOX [20971]</v>
      </c>
    </row>
    <row r="431" spans="1:9" x14ac:dyDescent="0.3">
      <c r="A431" s="1">
        <v>20972</v>
      </c>
      <c r="B431" t="s">
        <v>5711</v>
      </c>
      <c r="C431" s="1">
        <v>1.23</v>
      </c>
      <c r="D431" s="1">
        <v>598</v>
      </c>
      <c r="E431" s="1">
        <v>819.84</v>
      </c>
      <c r="F431" s="1">
        <v>25</v>
      </c>
      <c r="G431" s="1">
        <v>24785.31</v>
      </c>
      <c r="H431" s="1" t="s">
        <v>10</v>
      </c>
      <c r="I431" t="str">
        <f t="shared" si="6"/>
        <v>PINK CREAM FELT CRAFT TRINKET BOX [20972]</v>
      </c>
    </row>
    <row r="432" spans="1:9" x14ac:dyDescent="0.3">
      <c r="A432" s="1">
        <v>20973</v>
      </c>
      <c r="B432" t="s">
        <v>5710</v>
      </c>
      <c r="C432" s="1">
        <v>0.67</v>
      </c>
      <c r="D432" s="1">
        <v>319</v>
      </c>
      <c r="E432" s="2">
        <v>469.666666666666</v>
      </c>
      <c r="F432" s="1">
        <v>21</v>
      </c>
      <c r="G432" s="1">
        <v>6773.95</v>
      </c>
      <c r="H432" s="1" t="s">
        <v>10</v>
      </c>
      <c r="I432" t="str">
        <f t="shared" si="6"/>
        <v>12 PENCIL SMALL TUBE WOODLAND [20973]</v>
      </c>
    </row>
    <row r="433" spans="1:9" x14ac:dyDescent="0.3">
      <c r="A433" s="1">
        <v>20974</v>
      </c>
      <c r="B433" t="s">
        <v>5709</v>
      </c>
      <c r="C433" s="1">
        <v>0.67</v>
      </c>
      <c r="D433" s="1">
        <v>483</v>
      </c>
      <c r="E433" s="1">
        <v>528.76</v>
      </c>
      <c r="F433" s="1">
        <v>25</v>
      </c>
      <c r="G433" s="1">
        <v>8686.5400000000009</v>
      </c>
      <c r="H433" s="1" t="s">
        <v>10</v>
      </c>
      <c r="I433" t="str">
        <f t="shared" si="6"/>
        <v>12 PENCILS SMALL TUBE SKULL [20974]</v>
      </c>
    </row>
    <row r="434" spans="1:9" x14ac:dyDescent="0.3">
      <c r="A434" s="1">
        <v>20975</v>
      </c>
      <c r="B434" t="s">
        <v>5708</v>
      </c>
      <c r="C434" s="1">
        <v>0.65500000000000003</v>
      </c>
      <c r="D434" s="1">
        <v>632.5</v>
      </c>
      <c r="E434" s="2">
        <v>696.11538461538396</v>
      </c>
      <c r="F434" s="1">
        <v>23</v>
      </c>
      <c r="G434" s="2">
        <v>11848.71</v>
      </c>
      <c r="H434" s="1" t="s">
        <v>10</v>
      </c>
      <c r="I434" t="str">
        <f t="shared" si="6"/>
        <v>12 PENCILS SMALL TUBE RED SPOTTY [20975]</v>
      </c>
    </row>
    <row r="435" spans="1:9" x14ac:dyDescent="0.3">
      <c r="A435" s="1">
        <v>20976</v>
      </c>
      <c r="B435" t="s">
        <v>5707</v>
      </c>
      <c r="C435" s="1">
        <v>0.68</v>
      </c>
      <c r="D435" s="1">
        <v>47.5</v>
      </c>
      <c r="E435" s="1">
        <v>54.9</v>
      </c>
      <c r="F435" s="1">
        <v>10</v>
      </c>
      <c r="G435" s="1">
        <v>376.34</v>
      </c>
      <c r="H435" s="1" t="s">
        <v>9</v>
      </c>
      <c r="I435" t="str">
        <f t="shared" si="6"/>
        <v>12 PENCILS SMALL TUBE POSY [20976]</v>
      </c>
    </row>
    <row r="436" spans="1:9" x14ac:dyDescent="0.3">
      <c r="A436" s="1">
        <v>20977</v>
      </c>
      <c r="B436" t="s">
        <v>5706</v>
      </c>
      <c r="C436" s="1">
        <v>1.29</v>
      </c>
      <c r="D436" s="1">
        <v>154</v>
      </c>
      <c r="E436" s="2">
        <v>162.173913043478</v>
      </c>
      <c r="F436" s="1">
        <v>23</v>
      </c>
      <c r="G436" s="1">
        <v>4887.09</v>
      </c>
      <c r="H436" s="1" t="s">
        <v>10</v>
      </c>
      <c r="I436" t="str">
        <f t="shared" si="6"/>
        <v>36 PENCILS TUBE WOODLAND [20977]</v>
      </c>
    </row>
    <row r="437" spans="1:9" x14ac:dyDescent="0.3">
      <c r="A437" s="1">
        <v>20978</v>
      </c>
      <c r="B437" t="s">
        <v>5705</v>
      </c>
      <c r="C437" s="1">
        <v>1.34</v>
      </c>
      <c r="D437" s="1">
        <v>124</v>
      </c>
      <c r="E437" s="1">
        <v>164.68</v>
      </c>
      <c r="F437" s="1">
        <v>25</v>
      </c>
      <c r="G437" s="1">
        <v>5438.57</v>
      </c>
      <c r="H437" s="1" t="s">
        <v>10</v>
      </c>
      <c r="I437" t="str">
        <f t="shared" si="6"/>
        <v>36 PENCILS TUBE SKULLS [20978]</v>
      </c>
    </row>
    <row r="438" spans="1:9" x14ac:dyDescent="0.3">
      <c r="A438" s="1">
        <v>20979</v>
      </c>
      <c r="B438" t="s">
        <v>5704</v>
      </c>
      <c r="C438" s="1">
        <v>1.27</v>
      </c>
      <c r="D438" s="1">
        <v>243</v>
      </c>
      <c r="E438" s="2">
        <v>302.07407407407402</v>
      </c>
      <c r="F438" s="1">
        <v>25</v>
      </c>
      <c r="G438" s="1">
        <v>10271.81</v>
      </c>
      <c r="H438" s="1" t="s">
        <v>10</v>
      </c>
      <c r="I438" t="str">
        <f t="shared" si="6"/>
        <v>36 PENCILS TUBE RED SPOTTY [20979]</v>
      </c>
    </row>
    <row r="439" spans="1:9" x14ac:dyDescent="0.3">
      <c r="A439" s="1">
        <v>20980</v>
      </c>
      <c r="B439" t="s">
        <v>5703</v>
      </c>
      <c r="C439" s="1">
        <v>1.25</v>
      </c>
      <c r="D439" s="1">
        <v>8.5</v>
      </c>
      <c r="E439" s="1">
        <v>14.5625</v>
      </c>
      <c r="F439" s="1">
        <v>16</v>
      </c>
      <c r="G439" s="1">
        <v>282.31</v>
      </c>
      <c r="H439" s="1" t="s">
        <v>8</v>
      </c>
      <c r="I439" t="str">
        <f t="shared" si="6"/>
        <v>36 PENCILS TUBE POSY [20980]</v>
      </c>
    </row>
    <row r="440" spans="1:9" x14ac:dyDescent="0.3">
      <c r="A440" s="1">
        <v>20981</v>
      </c>
      <c r="B440" t="s">
        <v>5702</v>
      </c>
      <c r="C440" s="1">
        <v>0.87</v>
      </c>
      <c r="D440" s="1">
        <v>169</v>
      </c>
      <c r="E440" s="1">
        <v>188.72</v>
      </c>
      <c r="F440" s="1">
        <v>25</v>
      </c>
      <c r="G440" s="2">
        <v>4069.16</v>
      </c>
      <c r="H440" s="1" t="s">
        <v>10</v>
      </c>
      <c r="I440" t="str">
        <f t="shared" si="6"/>
        <v>12 PENCILS TALL TUBE WOODLAND [20981]</v>
      </c>
    </row>
    <row r="441" spans="1:9" x14ac:dyDescent="0.3">
      <c r="A441" s="1">
        <v>20982</v>
      </c>
      <c r="B441" t="s">
        <v>5701</v>
      </c>
      <c r="C441" s="1">
        <v>0.86</v>
      </c>
      <c r="D441" s="1">
        <v>140</v>
      </c>
      <c r="E441" s="1">
        <v>194.04</v>
      </c>
      <c r="F441" s="1">
        <v>25</v>
      </c>
      <c r="G441" s="1">
        <v>4243.8</v>
      </c>
      <c r="H441" s="1" t="s">
        <v>10</v>
      </c>
      <c r="I441" t="str">
        <f t="shared" si="6"/>
        <v>12 PENCILS TALL TUBE SKULLS [20982]</v>
      </c>
    </row>
    <row r="442" spans="1:9" x14ac:dyDescent="0.3">
      <c r="A442" s="1">
        <v>20983</v>
      </c>
      <c r="B442" t="s">
        <v>5700</v>
      </c>
      <c r="C442" s="1">
        <v>0.86</v>
      </c>
      <c r="D442" s="1">
        <v>181</v>
      </c>
      <c r="E442" s="2">
        <v>224.28571428571399</v>
      </c>
      <c r="F442" s="1">
        <v>25</v>
      </c>
      <c r="G442" s="1">
        <v>5469.08</v>
      </c>
      <c r="H442" s="1" t="s">
        <v>10</v>
      </c>
      <c r="I442" t="str">
        <f t="shared" si="6"/>
        <v>12 PENCILS TALL TUBE RED SPOTTY [20983]</v>
      </c>
    </row>
    <row r="443" spans="1:9" x14ac:dyDescent="0.3">
      <c r="A443" s="1">
        <v>20984</v>
      </c>
      <c r="B443" t="s">
        <v>5699</v>
      </c>
      <c r="C443" s="1">
        <v>0.85</v>
      </c>
      <c r="D443" s="1">
        <v>34.5</v>
      </c>
      <c r="E443" s="2">
        <v>202.04545454545399</v>
      </c>
      <c r="F443" s="1">
        <v>22</v>
      </c>
      <c r="G443" s="1">
        <v>1649.28</v>
      </c>
      <c r="H443" s="1" t="s">
        <v>9</v>
      </c>
      <c r="I443" t="str">
        <f t="shared" si="6"/>
        <v>12 PENCILS TALL TUBE POSY [20984]</v>
      </c>
    </row>
    <row r="444" spans="1:9" x14ac:dyDescent="0.3">
      <c r="A444" s="1">
        <v>20985</v>
      </c>
      <c r="B444" t="s">
        <v>5698</v>
      </c>
      <c r="C444" s="1">
        <v>1.29</v>
      </c>
      <c r="D444" s="1">
        <v>66</v>
      </c>
      <c r="E444" s="1">
        <v>94.8</v>
      </c>
      <c r="F444" s="1">
        <v>25</v>
      </c>
      <c r="G444" s="1">
        <v>3047.99</v>
      </c>
      <c r="H444" s="1" t="s">
        <v>10</v>
      </c>
      <c r="I444" t="str">
        <f t="shared" si="6"/>
        <v>HEART CALCULATOR [20985]</v>
      </c>
    </row>
    <row r="445" spans="1:9" x14ac:dyDescent="0.3">
      <c r="A445" s="1">
        <v>20986</v>
      </c>
      <c r="B445" t="s">
        <v>5697</v>
      </c>
      <c r="C445" s="1">
        <v>1.41</v>
      </c>
      <c r="D445" s="1">
        <v>17</v>
      </c>
      <c r="E445" s="1">
        <v>48.68</v>
      </c>
      <c r="F445" s="1">
        <v>25</v>
      </c>
      <c r="G445" s="1">
        <v>1530.95</v>
      </c>
      <c r="H445" s="1" t="s">
        <v>9</v>
      </c>
      <c r="I445" t="str">
        <f t="shared" si="6"/>
        <v>BLUE CALCULATOR RULER [20986]</v>
      </c>
    </row>
    <row r="446" spans="1:9" x14ac:dyDescent="0.3">
      <c r="A446" s="1">
        <v>20987</v>
      </c>
      <c r="B446" t="s">
        <v>5696</v>
      </c>
      <c r="C446" s="1">
        <v>2.2000000000000002</v>
      </c>
      <c r="D446" s="1">
        <v>131</v>
      </c>
      <c r="E446" s="1">
        <v>131</v>
      </c>
      <c r="F446" s="1">
        <v>1</v>
      </c>
      <c r="G446" s="1">
        <v>288.35000000000002</v>
      </c>
      <c r="H446" s="1" t="s">
        <v>10</v>
      </c>
      <c r="I446" t="str">
        <f t="shared" si="6"/>
        <v>GEISHA GIRL CHOPSTICKS SET/5 [20987]</v>
      </c>
    </row>
    <row r="447" spans="1:9" x14ac:dyDescent="0.3">
      <c r="A447" s="1">
        <v>20988</v>
      </c>
      <c r="B447" t="s">
        <v>5695</v>
      </c>
      <c r="C447" s="1">
        <v>1.95</v>
      </c>
      <c r="D447" s="1">
        <v>10</v>
      </c>
      <c r="E447" s="1">
        <v>8</v>
      </c>
      <c r="F447" s="1">
        <v>3</v>
      </c>
      <c r="G447" s="1">
        <v>46.8</v>
      </c>
      <c r="H447" s="1" t="s">
        <v>8</v>
      </c>
      <c r="I447" t="str">
        <f t="shared" si="6"/>
        <v>TRELLIS FLOWER CHOPSTICKS SET/5 [20988]</v>
      </c>
    </row>
    <row r="448" spans="1:9" x14ac:dyDescent="0.3">
      <c r="A448" s="1">
        <v>20989</v>
      </c>
      <c r="B448" t="s">
        <v>5694</v>
      </c>
      <c r="C448" s="2">
        <v>1.9649999999999901</v>
      </c>
      <c r="D448" s="1">
        <v>77.5</v>
      </c>
      <c r="E448" s="1">
        <v>101.75</v>
      </c>
      <c r="F448" s="1">
        <v>4</v>
      </c>
      <c r="G448" s="2">
        <v>782.18</v>
      </c>
      <c r="H448" s="1" t="s">
        <v>10</v>
      </c>
      <c r="I448" t="str">
        <f t="shared" si="6"/>
        <v>URBAN CHIC CHOPSTICKS SET/5 [20989]</v>
      </c>
    </row>
    <row r="449" spans="1:9" x14ac:dyDescent="0.3">
      <c r="A449" s="1">
        <v>20990</v>
      </c>
      <c r="B449" t="s">
        <v>5693</v>
      </c>
      <c r="C449" s="1">
        <v>1.95</v>
      </c>
      <c r="D449" s="1">
        <v>148</v>
      </c>
      <c r="E449" s="2">
        <v>127.85714285714199</v>
      </c>
      <c r="F449" s="1">
        <v>7</v>
      </c>
      <c r="G449" s="2">
        <v>1706.1399999999901</v>
      </c>
      <c r="H449" s="1" t="s">
        <v>10</v>
      </c>
      <c r="I449" t="str">
        <f t="shared" si="6"/>
        <v>SPRING FLOWER CHOPSTICKS SET/5 [20990]</v>
      </c>
    </row>
    <row r="450" spans="1:9" x14ac:dyDescent="0.3">
      <c r="A450" s="1">
        <v>20991</v>
      </c>
      <c r="B450" t="s">
        <v>5692</v>
      </c>
      <c r="C450" s="1">
        <v>1</v>
      </c>
      <c r="D450" s="1">
        <v>29</v>
      </c>
      <c r="E450" s="1">
        <v>29</v>
      </c>
      <c r="F450" s="1">
        <v>2</v>
      </c>
      <c r="G450" s="2">
        <v>51.94</v>
      </c>
      <c r="H450" s="1" t="s">
        <v>9</v>
      </c>
      <c r="I450" t="str">
        <f t="shared" si="6"/>
        <v>JAZZ HEARTS MAGNETIC MEMO PAD [20991]</v>
      </c>
    </row>
    <row r="451" spans="1:9" x14ac:dyDescent="0.3">
      <c r="A451" s="1">
        <v>20992</v>
      </c>
      <c r="B451" t="s">
        <v>5691</v>
      </c>
      <c r="C451" s="1">
        <v>0.85</v>
      </c>
      <c r="D451" s="1">
        <v>118</v>
      </c>
      <c r="E451" s="1">
        <v>246.04</v>
      </c>
      <c r="F451" s="1">
        <v>25</v>
      </c>
      <c r="G451" s="1">
        <v>3220.4</v>
      </c>
      <c r="H451" s="1" t="s">
        <v>10</v>
      </c>
      <c r="I451" t="str">
        <f t="shared" ref="I451:I514" si="7">B451&amp;" ["&amp;A451&amp;"]"</f>
        <v>JAZZ HEARTS PURSE NOTEBOOK [20992]</v>
      </c>
    </row>
    <row r="452" spans="1:9" x14ac:dyDescent="0.3">
      <c r="A452" s="1">
        <v>20993</v>
      </c>
      <c r="B452" t="s">
        <v>5690</v>
      </c>
      <c r="C452" s="1">
        <v>0.91</v>
      </c>
      <c r="D452" s="1">
        <v>38</v>
      </c>
      <c r="E452" s="1">
        <v>489</v>
      </c>
      <c r="F452" s="1">
        <v>3</v>
      </c>
      <c r="G452" s="1">
        <v>337.34</v>
      </c>
      <c r="H452" s="1" t="s">
        <v>9</v>
      </c>
      <c r="I452" t="str">
        <f t="shared" si="7"/>
        <v>JAZZ HEARTS MEMO PAD [20993]</v>
      </c>
    </row>
    <row r="453" spans="1:9" x14ac:dyDescent="0.3">
      <c r="A453" s="1">
        <v>20994</v>
      </c>
      <c r="B453" t="s">
        <v>5689</v>
      </c>
      <c r="C453" s="1">
        <v>0.85</v>
      </c>
      <c r="D453" s="1">
        <v>23.5</v>
      </c>
      <c r="E453" s="1">
        <v>23.5</v>
      </c>
      <c r="F453" s="1">
        <v>2</v>
      </c>
      <c r="G453" s="1">
        <v>39.950000000000003</v>
      </c>
      <c r="H453" s="1" t="s">
        <v>9</v>
      </c>
      <c r="I453" t="str">
        <f t="shared" si="7"/>
        <v>JAZZ HEARTS SPIRAL NOTEPAD [20994]</v>
      </c>
    </row>
    <row r="454" spans="1:9" x14ac:dyDescent="0.3">
      <c r="A454" s="1">
        <v>20996</v>
      </c>
      <c r="B454" t="s">
        <v>5688</v>
      </c>
      <c r="C454" s="1">
        <v>0.42</v>
      </c>
      <c r="D454" s="1">
        <v>81</v>
      </c>
      <c r="E454" s="1">
        <v>252.44</v>
      </c>
      <c r="F454" s="1">
        <v>25</v>
      </c>
      <c r="G454" s="1">
        <v>1686.79</v>
      </c>
      <c r="H454" s="1" t="s">
        <v>10</v>
      </c>
      <c r="I454" t="str">
        <f t="shared" si="7"/>
        <v>JAZZ HEARTS ADDRESS BOOK [20996]</v>
      </c>
    </row>
    <row r="455" spans="1:9" x14ac:dyDescent="0.3">
      <c r="A455" s="1">
        <v>20997</v>
      </c>
      <c r="B455" t="s">
        <v>5683</v>
      </c>
      <c r="C455" s="1">
        <v>4.53</v>
      </c>
      <c r="D455" s="1">
        <v>5</v>
      </c>
      <c r="E455" s="2">
        <v>8.9473684210526301</v>
      </c>
      <c r="F455" s="1">
        <v>19</v>
      </c>
      <c r="G455" s="1">
        <v>796.74</v>
      </c>
      <c r="H455" s="1" t="s">
        <v>8</v>
      </c>
      <c r="I455" t="str">
        <f t="shared" si="7"/>
        <v>ROSE DU SUD CUSHION COVER [20997]</v>
      </c>
    </row>
    <row r="456" spans="1:9" x14ac:dyDescent="0.3">
      <c r="A456" s="1">
        <v>20998</v>
      </c>
      <c r="B456" t="s">
        <v>5687</v>
      </c>
      <c r="C456" s="1">
        <v>3.02</v>
      </c>
      <c r="D456" s="1">
        <v>12.5</v>
      </c>
      <c r="E456" s="2">
        <v>14.7272727272727</v>
      </c>
      <c r="F456" s="1">
        <v>22</v>
      </c>
      <c r="G456" s="1">
        <v>942.26</v>
      </c>
      <c r="H456" s="1" t="s">
        <v>9</v>
      </c>
      <c r="I456" t="str">
        <f t="shared" si="7"/>
        <v>ROSE DU SUD OVEN GLOVE [20998]</v>
      </c>
    </row>
    <row r="457" spans="1:9" x14ac:dyDescent="0.3">
      <c r="A457" s="1">
        <v>21000</v>
      </c>
      <c r="B457" t="s">
        <v>5686</v>
      </c>
      <c r="C457" s="1">
        <v>3.87</v>
      </c>
      <c r="D457" s="1">
        <v>7.5</v>
      </c>
      <c r="E457" s="1">
        <v>28.75</v>
      </c>
      <c r="F457" s="1">
        <v>24</v>
      </c>
      <c r="G457" s="1">
        <v>1744.98</v>
      </c>
      <c r="H457" s="1" t="s">
        <v>8</v>
      </c>
      <c r="I457" t="str">
        <f t="shared" si="7"/>
        <v>ROSE DU SUD COSMETICS BAG [21000]</v>
      </c>
    </row>
    <row r="458" spans="1:9" x14ac:dyDescent="0.3">
      <c r="A458" s="1">
        <v>21001</v>
      </c>
      <c r="B458" t="s">
        <v>5685</v>
      </c>
      <c r="C458" s="1">
        <v>4.91</v>
      </c>
      <c r="D458" s="1">
        <v>5</v>
      </c>
      <c r="E458" s="1">
        <v>5.64</v>
      </c>
      <c r="F458" s="1">
        <v>25</v>
      </c>
      <c r="G458" s="1">
        <v>717.8</v>
      </c>
      <c r="H458" s="1" t="s">
        <v>8</v>
      </c>
      <c r="I458" t="str">
        <f t="shared" si="7"/>
        <v>ROSE DU SUD WASHBAG [21001]</v>
      </c>
    </row>
    <row r="459" spans="1:9" x14ac:dyDescent="0.3">
      <c r="A459" s="1">
        <v>21002</v>
      </c>
      <c r="B459" t="s">
        <v>5684</v>
      </c>
      <c r="C459" s="1">
        <v>3.6549999999999998</v>
      </c>
      <c r="D459" s="1">
        <v>17.5</v>
      </c>
      <c r="E459" s="1">
        <v>20.85</v>
      </c>
      <c r="F459" s="1">
        <v>20</v>
      </c>
      <c r="G459" s="1">
        <v>1507.22</v>
      </c>
      <c r="H459" s="1" t="s">
        <v>9</v>
      </c>
      <c r="I459" t="str">
        <f t="shared" si="7"/>
        <v>ROSE DU SUD DRAWSTRING BAG [21002]</v>
      </c>
    </row>
    <row r="460" spans="1:9" x14ac:dyDescent="0.3">
      <c r="A460" s="1">
        <v>21003</v>
      </c>
      <c r="B460" t="s">
        <v>5683</v>
      </c>
      <c r="C460" s="1">
        <v>5.9749999999999996</v>
      </c>
      <c r="D460" s="1">
        <v>8</v>
      </c>
      <c r="E460" s="2">
        <v>7.7857142857142803</v>
      </c>
      <c r="F460" s="1">
        <v>14</v>
      </c>
      <c r="G460" s="1">
        <v>647.75</v>
      </c>
      <c r="H460" s="1" t="s">
        <v>8</v>
      </c>
      <c r="I460" t="str">
        <f t="shared" si="7"/>
        <v>ROSE DU SUD CUSHION COVER [21003]</v>
      </c>
    </row>
    <row r="461" spans="1:9" x14ac:dyDescent="0.3">
      <c r="A461" s="1">
        <v>21004</v>
      </c>
      <c r="B461" t="s">
        <v>5682</v>
      </c>
      <c r="C461" s="1">
        <v>4.25</v>
      </c>
      <c r="D461" s="1">
        <v>9</v>
      </c>
      <c r="E461" s="2">
        <v>10.538461538461499</v>
      </c>
      <c r="F461" s="1">
        <v>12</v>
      </c>
      <c r="G461" s="1">
        <v>625.07000000000005</v>
      </c>
      <c r="H461" s="1" t="s">
        <v>8</v>
      </c>
      <c r="I461" t="str">
        <f t="shared" si="7"/>
        <v>ROSE DU SUD CHILDS APRON [21004]</v>
      </c>
    </row>
    <row r="462" spans="1:9" x14ac:dyDescent="0.3">
      <c r="A462" s="1">
        <v>21007</v>
      </c>
      <c r="B462" t="s">
        <v>5681</v>
      </c>
      <c r="C462" s="1">
        <v>0.38500000000000001</v>
      </c>
      <c r="D462" s="1">
        <v>78</v>
      </c>
      <c r="E462" s="1">
        <v>240.25</v>
      </c>
      <c r="F462" s="1">
        <v>8</v>
      </c>
      <c r="G462" s="1">
        <v>907.42</v>
      </c>
      <c r="H462" s="1" t="s">
        <v>10</v>
      </c>
      <c r="I462" t="str">
        <f t="shared" si="7"/>
        <v>ETCHED GLASS DROPLET DECORATION [21007]</v>
      </c>
    </row>
    <row r="463" spans="1:9" x14ac:dyDescent="0.3">
      <c r="A463" s="1">
        <v>21008</v>
      </c>
      <c r="B463" t="s">
        <v>5680</v>
      </c>
      <c r="C463" s="1">
        <v>2.5099999999999998</v>
      </c>
      <c r="D463" s="1">
        <v>1</v>
      </c>
      <c r="E463" s="1">
        <v>1</v>
      </c>
      <c r="F463" s="1">
        <v>1</v>
      </c>
      <c r="G463" s="1">
        <v>2.5099999999999998</v>
      </c>
      <c r="H463" s="1" t="s">
        <v>8</v>
      </c>
      <c r="I463" t="str">
        <f t="shared" si="7"/>
        <v>ETCHED GLASS HEART TREE DECORATION [21008]</v>
      </c>
    </row>
    <row r="464" spans="1:9" x14ac:dyDescent="0.3">
      <c r="A464" s="1">
        <v>21009</v>
      </c>
      <c r="B464" t="s">
        <v>5679</v>
      </c>
      <c r="C464" s="1">
        <v>1.34</v>
      </c>
      <c r="D464" s="1">
        <v>41</v>
      </c>
      <c r="E464" s="2">
        <v>116.333333333333</v>
      </c>
      <c r="F464" s="1">
        <v>9</v>
      </c>
      <c r="G464" s="1">
        <v>1494.99</v>
      </c>
      <c r="H464" s="1" t="s">
        <v>9</v>
      </c>
      <c r="I464" t="str">
        <f t="shared" si="7"/>
        <v>ETCHED GLASS STAR TREE DECORATION [21009]</v>
      </c>
    </row>
    <row r="465" spans="1:9" x14ac:dyDescent="0.3">
      <c r="A465" s="1">
        <v>21010</v>
      </c>
      <c r="B465" t="s">
        <v>5678</v>
      </c>
      <c r="C465" s="1">
        <v>1.345</v>
      </c>
      <c r="D465" s="1">
        <v>42</v>
      </c>
      <c r="E465" s="1">
        <v>106.25</v>
      </c>
      <c r="F465" s="1">
        <v>8</v>
      </c>
      <c r="G465" s="1">
        <v>1114.76</v>
      </c>
      <c r="H465" s="1" t="s">
        <v>9</v>
      </c>
      <c r="I465" t="str">
        <f t="shared" si="7"/>
        <v>ETCHED GLASS BIRD TREE DECORATION [21010]</v>
      </c>
    </row>
    <row r="466" spans="1:9" x14ac:dyDescent="0.3">
      <c r="A466" s="1">
        <v>21011</v>
      </c>
      <c r="B466" t="s">
        <v>5677</v>
      </c>
      <c r="C466" s="1">
        <v>0.745</v>
      </c>
      <c r="D466" s="1">
        <v>165.5</v>
      </c>
      <c r="E466" s="1">
        <v>230</v>
      </c>
      <c r="F466" s="1">
        <v>8</v>
      </c>
      <c r="G466" s="1">
        <v>1373.8</v>
      </c>
      <c r="H466" s="1" t="s">
        <v>10</v>
      </c>
      <c r="I466" t="str">
        <f t="shared" si="7"/>
        <v>GLITTER SNOW PEAR TREE DECORATION [21011]</v>
      </c>
    </row>
    <row r="467" spans="1:9" x14ac:dyDescent="0.3">
      <c r="A467" s="1">
        <v>21012</v>
      </c>
      <c r="B467" t="s">
        <v>5676</v>
      </c>
      <c r="C467" s="1">
        <v>2.2400000000000002</v>
      </c>
      <c r="D467" s="1">
        <v>71</v>
      </c>
      <c r="E467" s="1">
        <v>91.88</v>
      </c>
      <c r="F467" s="1">
        <v>25</v>
      </c>
      <c r="G467" s="1">
        <v>4293.7</v>
      </c>
      <c r="H467" s="1" t="s">
        <v>10</v>
      </c>
      <c r="I467" t="str">
        <f t="shared" si="7"/>
        <v>ANTIQUE ALL GLASS CANDLESTICK [21012]</v>
      </c>
    </row>
    <row r="468" spans="1:9" x14ac:dyDescent="0.3">
      <c r="A468" s="1">
        <v>21014</v>
      </c>
      <c r="B468" t="s">
        <v>5675</v>
      </c>
      <c r="C468" s="1">
        <v>0.91</v>
      </c>
      <c r="D468" s="1">
        <v>28</v>
      </c>
      <c r="E468" s="1">
        <v>115.625</v>
      </c>
      <c r="F468" s="1">
        <v>16</v>
      </c>
      <c r="G468" s="1">
        <v>928.09</v>
      </c>
      <c r="H468" s="1" t="s">
        <v>9</v>
      </c>
      <c r="I468" t="str">
        <f t="shared" si="7"/>
        <v>SWISS CHALET TREE DECORATION [21014]</v>
      </c>
    </row>
    <row r="469" spans="1:9" x14ac:dyDescent="0.3">
      <c r="A469" s="1">
        <v>21015</v>
      </c>
      <c r="B469" t="s">
        <v>5674</v>
      </c>
      <c r="C469" s="1">
        <v>0.88</v>
      </c>
      <c r="D469" s="1">
        <v>26</v>
      </c>
      <c r="E469" s="1">
        <v>113.2</v>
      </c>
      <c r="F469" s="1">
        <v>15</v>
      </c>
      <c r="G469" s="1">
        <v>766.71</v>
      </c>
      <c r="H469" s="1" t="s">
        <v>9</v>
      </c>
      <c r="I469" t="str">
        <f t="shared" si="7"/>
        <v>DARK BIRD HOUSE TREE DECORATION [21015]</v>
      </c>
    </row>
    <row r="470" spans="1:9" x14ac:dyDescent="0.3">
      <c r="A470" s="1">
        <v>21016</v>
      </c>
      <c r="B470" t="s">
        <v>5673</v>
      </c>
      <c r="C470" s="1">
        <v>0.85</v>
      </c>
      <c r="D470" s="1">
        <v>69</v>
      </c>
      <c r="E470" s="1">
        <v>119</v>
      </c>
      <c r="F470" s="1">
        <v>7</v>
      </c>
      <c r="G470" s="1">
        <v>580.34</v>
      </c>
      <c r="H470" s="1" t="s">
        <v>10</v>
      </c>
      <c r="I470" t="str">
        <f t="shared" si="7"/>
        <v>LIGHT BIRD HOUSE TREE DECORATION [21016]</v>
      </c>
    </row>
    <row r="471" spans="1:9" x14ac:dyDescent="0.3">
      <c r="A471" s="1">
        <v>21017</v>
      </c>
      <c r="B471" t="s">
        <v>5672</v>
      </c>
      <c r="C471" s="2">
        <v>0.96499999999999997</v>
      </c>
      <c r="D471" s="1">
        <v>73.5</v>
      </c>
      <c r="E471" s="2">
        <v>108.833333333333</v>
      </c>
      <c r="F471" s="1">
        <v>6</v>
      </c>
      <c r="G471" s="1">
        <v>520.77</v>
      </c>
      <c r="H471" s="1" t="s">
        <v>10</v>
      </c>
      <c r="I471" t="str">
        <f t="shared" si="7"/>
        <v>RED BIRD HOUSE TREE DECORATION [21017]</v>
      </c>
    </row>
    <row r="472" spans="1:9" x14ac:dyDescent="0.3">
      <c r="A472" s="1">
        <v>21018</v>
      </c>
      <c r="B472" t="s">
        <v>5671</v>
      </c>
      <c r="C472" s="1">
        <v>0.85</v>
      </c>
      <c r="D472" s="1">
        <v>24</v>
      </c>
      <c r="E472" s="2">
        <v>30.428571428571399</v>
      </c>
      <c r="F472" s="1">
        <v>7</v>
      </c>
      <c r="G472" s="2">
        <v>182.70999999999901</v>
      </c>
      <c r="H472" s="1" t="s">
        <v>9</v>
      </c>
      <c r="I472" t="str">
        <f t="shared" si="7"/>
        <v>BIRD BOX CHRISTMAS TREE DECORATION [21018]</v>
      </c>
    </row>
    <row r="473" spans="1:9" x14ac:dyDescent="0.3">
      <c r="A473" s="1">
        <v>21025</v>
      </c>
      <c r="B473" t="s">
        <v>5670</v>
      </c>
      <c r="C473" s="1">
        <v>1.2749999999999999</v>
      </c>
      <c r="D473" s="1">
        <v>12</v>
      </c>
      <c r="E473" s="1">
        <v>15</v>
      </c>
      <c r="F473" s="1">
        <v>20</v>
      </c>
      <c r="G473" s="1">
        <v>396.12</v>
      </c>
      <c r="H473" s="1" t="s">
        <v>9</v>
      </c>
      <c r="I473" t="str">
        <f t="shared" si="7"/>
        <v>SPACE FROG [21025]</v>
      </c>
    </row>
    <row r="474" spans="1:9" x14ac:dyDescent="0.3">
      <c r="A474" s="1">
        <v>21026</v>
      </c>
      <c r="B474" t="s">
        <v>5669</v>
      </c>
      <c r="C474" s="1">
        <v>1.35</v>
      </c>
      <c r="D474" s="1">
        <v>20</v>
      </c>
      <c r="E474" s="1">
        <v>27.45</v>
      </c>
      <c r="F474" s="1">
        <v>20</v>
      </c>
      <c r="G474" s="1">
        <v>716.73</v>
      </c>
      <c r="H474" s="1" t="s">
        <v>9</v>
      </c>
      <c r="I474" t="str">
        <f t="shared" si="7"/>
        <v>SPACE OWL [21026]</v>
      </c>
    </row>
    <row r="475" spans="1:9" x14ac:dyDescent="0.3">
      <c r="A475" s="1">
        <v>21027</v>
      </c>
      <c r="B475" t="s">
        <v>5668</v>
      </c>
      <c r="C475" s="1">
        <v>1.25</v>
      </c>
      <c r="D475" s="1">
        <v>12</v>
      </c>
      <c r="E475" s="2">
        <v>16.904761904761902</v>
      </c>
      <c r="F475" s="1">
        <v>21</v>
      </c>
      <c r="G475" s="1">
        <v>433.61</v>
      </c>
      <c r="H475" s="1" t="s">
        <v>9</v>
      </c>
      <c r="I475" t="str">
        <f t="shared" si="7"/>
        <v>NINJA RABBIT PINK [21027]</v>
      </c>
    </row>
    <row r="476" spans="1:9" x14ac:dyDescent="0.3">
      <c r="A476" s="1">
        <v>21028</v>
      </c>
      <c r="B476" t="s">
        <v>5667</v>
      </c>
      <c r="C476" s="1">
        <v>1.355</v>
      </c>
      <c r="D476" s="1">
        <v>10</v>
      </c>
      <c r="E476" s="2">
        <v>13.4583333333333</v>
      </c>
      <c r="F476" s="1">
        <v>24</v>
      </c>
      <c r="G476" s="1">
        <v>423.9</v>
      </c>
      <c r="H476" s="1" t="s">
        <v>8</v>
      </c>
      <c r="I476" t="str">
        <f t="shared" si="7"/>
        <v>NINJA RABBIT BLACK [21028]</v>
      </c>
    </row>
    <row r="477" spans="1:9" x14ac:dyDescent="0.3">
      <c r="A477" s="1">
        <v>21030</v>
      </c>
      <c r="B477" t="s">
        <v>5666</v>
      </c>
      <c r="C477" s="1">
        <v>1.25</v>
      </c>
      <c r="D477" s="1">
        <v>11.5</v>
      </c>
      <c r="E477" s="2">
        <v>13.2777777777777</v>
      </c>
      <c r="F477" s="1">
        <v>18</v>
      </c>
      <c r="G477" s="1">
        <v>290.89999999999998</v>
      </c>
      <c r="H477" s="1" t="s">
        <v>9</v>
      </c>
      <c r="I477" t="str">
        <f t="shared" si="7"/>
        <v>SPACE CADET RED [21030]</v>
      </c>
    </row>
    <row r="478" spans="1:9" x14ac:dyDescent="0.3">
      <c r="A478" s="1">
        <v>21031</v>
      </c>
      <c r="B478" t="s">
        <v>5665</v>
      </c>
      <c r="C478" s="1">
        <v>1.25</v>
      </c>
      <c r="D478" s="1">
        <v>9.5</v>
      </c>
      <c r="E478" s="1">
        <v>9</v>
      </c>
      <c r="F478" s="1">
        <v>16</v>
      </c>
      <c r="G478" s="1">
        <v>176.7</v>
      </c>
      <c r="H478" s="1" t="s">
        <v>8</v>
      </c>
      <c r="I478" t="str">
        <f t="shared" si="7"/>
        <v>SPACE CADET BLACK [21031]</v>
      </c>
    </row>
    <row r="479" spans="1:9" x14ac:dyDescent="0.3">
      <c r="A479" s="1">
        <v>21032</v>
      </c>
      <c r="B479" t="s">
        <v>5664</v>
      </c>
      <c r="C479" s="1">
        <v>1.25</v>
      </c>
      <c r="D479" s="1">
        <v>7.5</v>
      </c>
      <c r="E479" s="2">
        <v>11.2777777777777</v>
      </c>
      <c r="F479" s="1">
        <v>18</v>
      </c>
      <c r="G479" s="1">
        <v>252.16</v>
      </c>
      <c r="H479" s="1" t="s">
        <v>8</v>
      </c>
      <c r="I479" t="str">
        <f t="shared" si="7"/>
        <v>SPACE CADET WHITE [21032]</v>
      </c>
    </row>
    <row r="480" spans="1:9" x14ac:dyDescent="0.3">
      <c r="A480" s="1">
        <v>21033</v>
      </c>
      <c r="B480" t="s">
        <v>5663</v>
      </c>
      <c r="C480" s="1">
        <v>2.585</v>
      </c>
      <c r="D480" s="1">
        <v>119.5</v>
      </c>
      <c r="E480" s="2">
        <v>208.636363636363</v>
      </c>
      <c r="F480" s="1">
        <v>22</v>
      </c>
      <c r="G480" s="1">
        <v>10132.11</v>
      </c>
      <c r="H480" s="1" t="s">
        <v>10</v>
      </c>
      <c r="I480" t="str">
        <f t="shared" si="7"/>
        <v>JUMBO BAG CHARLIE AND LOLA TOYS [21033]</v>
      </c>
    </row>
    <row r="481" spans="1:9" x14ac:dyDescent="0.3">
      <c r="A481" s="1">
        <v>21034</v>
      </c>
      <c r="B481" t="s">
        <v>5662</v>
      </c>
      <c r="C481" s="1">
        <v>0.95</v>
      </c>
      <c r="D481" s="1">
        <v>125</v>
      </c>
      <c r="E481" s="1">
        <v>160.08000000000001</v>
      </c>
      <c r="F481" s="1">
        <v>25</v>
      </c>
      <c r="G481" s="1">
        <v>3801.9</v>
      </c>
      <c r="H481" s="1" t="s">
        <v>10</v>
      </c>
      <c r="I481" t="str">
        <f t="shared" si="7"/>
        <v>REX CASH+CARRY JUMBO SHOPPER [21034]</v>
      </c>
    </row>
    <row r="482" spans="1:9" x14ac:dyDescent="0.3">
      <c r="A482" s="1">
        <v>21035</v>
      </c>
      <c r="B482" t="s">
        <v>5661</v>
      </c>
      <c r="C482" s="1">
        <v>3.1349999999999998</v>
      </c>
      <c r="D482" s="1">
        <v>192.5</v>
      </c>
      <c r="E482" s="2">
        <v>214.07142857142799</v>
      </c>
      <c r="F482" s="1">
        <v>25</v>
      </c>
      <c r="G482" s="1">
        <v>18644.78</v>
      </c>
      <c r="H482" s="1" t="s">
        <v>10</v>
      </c>
      <c r="I482" t="str">
        <f t="shared" si="7"/>
        <v>SET/2 RED SPOTTY TEA TOWELS [21035]</v>
      </c>
    </row>
    <row r="483" spans="1:9" x14ac:dyDescent="0.3">
      <c r="A483" s="1">
        <v>21036</v>
      </c>
      <c r="B483" t="s">
        <v>5660</v>
      </c>
      <c r="C483" s="1">
        <v>2.5499999999999998</v>
      </c>
      <c r="D483" s="1">
        <v>1</v>
      </c>
      <c r="E483" s="1">
        <v>1</v>
      </c>
      <c r="F483" s="1">
        <v>1</v>
      </c>
      <c r="G483" s="1">
        <v>2.5499999999999998</v>
      </c>
      <c r="H483" s="1" t="s">
        <v>8</v>
      </c>
      <c r="I483" t="str">
        <f t="shared" si="7"/>
        <v>SET/2 TEA TOWELS MODERN VINTAGE [21036]</v>
      </c>
    </row>
    <row r="484" spans="1:9" x14ac:dyDescent="0.3">
      <c r="A484" s="1">
        <v>21038</v>
      </c>
      <c r="B484" t="s">
        <v>5659</v>
      </c>
      <c r="C484" s="1">
        <v>2.95</v>
      </c>
      <c r="D484" s="1">
        <v>6</v>
      </c>
      <c r="E484" s="2">
        <v>7.7692307692307603</v>
      </c>
      <c r="F484" s="1">
        <v>13</v>
      </c>
      <c r="G484" s="1">
        <v>304.13</v>
      </c>
      <c r="H484" s="1" t="s">
        <v>8</v>
      </c>
      <c r="I484" t="str">
        <f t="shared" si="7"/>
        <v>SET/4 MODERN VINTAGE COTTON NAPKINS [21038]</v>
      </c>
    </row>
    <row r="485" spans="1:9" x14ac:dyDescent="0.3">
      <c r="A485" s="1">
        <v>21039</v>
      </c>
      <c r="B485" t="s">
        <v>5658</v>
      </c>
      <c r="C485" s="1">
        <v>2.5499999999999998</v>
      </c>
      <c r="D485" s="1">
        <v>44</v>
      </c>
      <c r="E485" s="1">
        <v>50.5</v>
      </c>
      <c r="F485" s="1">
        <v>25</v>
      </c>
      <c r="G485" s="1">
        <v>3423.65</v>
      </c>
      <c r="H485" s="1" t="s">
        <v>9</v>
      </c>
      <c r="I485" t="str">
        <f t="shared" si="7"/>
        <v>RED SPOTTY SHOPPING BAG [21039]</v>
      </c>
    </row>
    <row r="486" spans="1:9" x14ac:dyDescent="0.3">
      <c r="A486" s="1">
        <v>21040</v>
      </c>
      <c r="B486" t="s">
        <v>5657</v>
      </c>
      <c r="C486" s="1">
        <v>2.5499999999999998</v>
      </c>
      <c r="D486" s="1">
        <v>12</v>
      </c>
      <c r="E486" s="2">
        <v>68.769230769230703</v>
      </c>
      <c r="F486" s="1">
        <v>13</v>
      </c>
      <c r="G486" s="2">
        <v>1125.8499999999999</v>
      </c>
      <c r="H486" s="1" t="s">
        <v>9</v>
      </c>
      <c r="I486" t="str">
        <f t="shared" si="7"/>
        <v>MODERN VINTAGE COTTON SHOPPING BAG [21040]</v>
      </c>
    </row>
    <row r="487" spans="1:9" x14ac:dyDescent="0.3">
      <c r="A487" s="1">
        <v>21041</v>
      </c>
      <c r="B487" t="s">
        <v>5656</v>
      </c>
      <c r="C487" s="1">
        <v>3.1850000000000001</v>
      </c>
      <c r="D487" s="1">
        <v>82.5</v>
      </c>
      <c r="E487" s="2">
        <v>121.181818181818</v>
      </c>
      <c r="F487" s="1">
        <v>20</v>
      </c>
      <c r="G487" s="1">
        <v>9049.2900000000009</v>
      </c>
      <c r="H487" s="1" t="s">
        <v>10</v>
      </c>
      <c r="I487" t="str">
        <f t="shared" si="7"/>
        <v>RED SPOTTY OVEN GLOVE DOUBLE [21041]</v>
      </c>
    </row>
    <row r="488" spans="1:9" x14ac:dyDescent="0.3">
      <c r="A488" s="1">
        <v>21042</v>
      </c>
      <c r="B488" t="s">
        <v>5655</v>
      </c>
      <c r="C488" s="1">
        <v>6.36</v>
      </c>
      <c r="D488" s="1">
        <v>39</v>
      </c>
      <c r="E488" s="2">
        <v>54.5555555555555</v>
      </c>
      <c r="F488" s="1">
        <v>25</v>
      </c>
      <c r="G488" s="1">
        <v>8717.31</v>
      </c>
      <c r="H488" s="1" t="s">
        <v>9</v>
      </c>
      <c r="I488" t="str">
        <f t="shared" si="7"/>
        <v>RED SPOTTY APRON [21042]</v>
      </c>
    </row>
    <row r="489" spans="1:9" x14ac:dyDescent="0.3">
      <c r="A489" s="1">
        <v>21043</v>
      </c>
      <c r="B489" t="s">
        <v>5654</v>
      </c>
      <c r="C489" s="1">
        <v>5.95</v>
      </c>
      <c r="D489" s="1">
        <v>11</v>
      </c>
      <c r="E489" s="2">
        <v>37.6111111111111</v>
      </c>
      <c r="F489" s="1">
        <v>18</v>
      </c>
      <c r="G489" s="1">
        <v>1921.03</v>
      </c>
      <c r="H489" s="1" t="s">
        <v>9</v>
      </c>
      <c r="I489" t="str">
        <f t="shared" si="7"/>
        <v>APRON MODERN VINTAGE COTTON [21043]</v>
      </c>
    </row>
    <row r="490" spans="1:9" x14ac:dyDescent="0.3">
      <c r="A490" s="1">
        <v>21051</v>
      </c>
      <c r="B490" t="s">
        <v>5653</v>
      </c>
      <c r="C490" s="1">
        <v>2.1</v>
      </c>
      <c r="D490" s="1">
        <v>21</v>
      </c>
      <c r="E490" s="2">
        <v>35.904761904761898</v>
      </c>
      <c r="F490" s="1">
        <v>21</v>
      </c>
      <c r="G490" s="1">
        <v>1486.16</v>
      </c>
      <c r="H490" s="1" t="s">
        <v>9</v>
      </c>
      <c r="I490" t="str">
        <f t="shared" si="7"/>
        <v>RIBBONS PURSE [21051]</v>
      </c>
    </row>
    <row r="491" spans="1:9" x14ac:dyDescent="0.3">
      <c r="A491" s="1">
        <v>21054</v>
      </c>
      <c r="B491" t="s">
        <v>5652</v>
      </c>
      <c r="C491" s="1">
        <v>8.9499999999999993</v>
      </c>
      <c r="D491" s="1">
        <v>16</v>
      </c>
      <c r="E491" s="1">
        <v>19.100000000000001</v>
      </c>
      <c r="F491" s="1">
        <v>20</v>
      </c>
      <c r="G491" s="1">
        <v>3538</v>
      </c>
      <c r="H491" s="1" t="s">
        <v>9</v>
      </c>
      <c r="I491" t="str">
        <f t="shared" si="7"/>
        <v>NURSE'S BAG SOFT TOY [21054]</v>
      </c>
    </row>
    <row r="492" spans="1:9" x14ac:dyDescent="0.3">
      <c r="A492" s="1">
        <v>21055</v>
      </c>
      <c r="B492" t="s">
        <v>5651</v>
      </c>
      <c r="C492" s="1">
        <v>9.68</v>
      </c>
      <c r="D492" s="1">
        <v>11</v>
      </c>
      <c r="E492" s="1">
        <v>15.44</v>
      </c>
      <c r="F492" s="1">
        <v>25</v>
      </c>
      <c r="G492" s="1">
        <v>3839.09</v>
      </c>
      <c r="H492" s="1" t="s">
        <v>9</v>
      </c>
      <c r="I492" t="str">
        <f t="shared" si="7"/>
        <v>TOOL BOX SOFT TOY [21055]</v>
      </c>
    </row>
    <row r="493" spans="1:9" x14ac:dyDescent="0.3">
      <c r="A493" s="1">
        <v>21056</v>
      </c>
      <c r="B493" t="s">
        <v>5650</v>
      </c>
      <c r="C493" s="1">
        <v>8.9499999999999993</v>
      </c>
      <c r="D493" s="1">
        <v>11</v>
      </c>
      <c r="E493" s="1">
        <v>21.8</v>
      </c>
      <c r="F493" s="1">
        <v>25</v>
      </c>
      <c r="G493" s="1">
        <v>4961.33</v>
      </c>
      <c r="H493" s="1" t="s">
        <v>9</v>
      </c>
      <c r="I493" t="str">
        <f t="shared" si="7"/>
        <v>DOCTOR'S BAG SOFT TOY [21056]</v>
      </c>
    </row>
    <row r="494" spans="1:9" x14ac:dyDescent="0.3">
      <c r="A494" s="1">
        <v>21058</v>
      </c>
      <c r="B494" t="s">
        <v>5649</v>
      </c>
      <c r="C494" s="1">
        <v>0.88</v>
      </c>
      <c r="D494" s="1">
        <v>92</v>
      </c>
      <c r="E494" s="1">
        <v>95.84</v>
      </c>
      <c r="F494" s="1">
        <v>25</v>
      </c>
      <c r="G494" s="1">
        <v>2055.59</v>
      </c>
      <c r="H494" s="1" t="s">
        <v>10</v>
      </c>
      <c r="I494" t="str">
        <f t="shared" si="7"/>
        <v>PARTY INVITES WOODLAND [21058]</v>
      </c>
    </row>
    <row r="495" spans="1:9" x14ac:dyDescent="0.3">
      <c r="A495" s="1">
        <v>21059</v>
      </c>
      <c r="B495" t="s">
        <v>5648</v>
      </c>
      <c r="C495" s="1">
        <v>0.85</v>
      </c>
      <c r="D495" s="1">
        <v>60</v>
      </c>
      <c r="E495" s="1">
        <v>63.84</v>
      </c>
      <c r="F495" s="1">
        <v>25</v>
      </c>
      <c r="G495" s="1">
        <v>1348.56</v>
      </c>
      <c r="H495" s="1" t="s">
        <v>9</v>
      </c>
      <c r="I495" t="str">
        <f t="shared" si="7"/>
        <v>PARTY INVITES DINOSAURS [21059]</v>
      </c>
    </row>
    <row r="496" spans="1:9" x14ac:dyDescent="0.3">
      <c r="A496" s="1">
        <v>21060</v>
      </c>
      <c r="B496" t="s">
        <v>5647</v>
      </c>
      <c r="C496" s="1">
        <v>0.87</v>
      </c>
      <c r="D496" s="1">
        <v>38</v>
      </c>
      <c r="E496" s="1">
        <v>51.04</v>
      </c>
      <c r="F496" s="1">
        <v>25</v>
      </c>
      <c r="G496" s="1">
        <v>952.55</v>
      </c>
      <c r="H496" s="1" t="s">
        <v>9</v>
      </c>
      <c r="I496" t="str">
        <f t="shared" si="7"/>
        <v>PARTY INVITES BALLOON GIRL [21060]</v>
      </c>
    </row>
    <row r="497" spans="1:9" x14ac:dyDescent="0.3">
      <c r="A497" s="1">
        <v>21061</v>
      </c>
      <c r="B497" t="s">
        <v>5646</v>
      </c>
      <c r="C497" s="1">
        <v>0.86</v>
      </c>
      <c r="D497" s="1">
        <v>41</v>
      </c>
      <c r="E497" s="1">
        <v>55.84</v>
      </c>
      <c r="F497" s="1">
        <v>25</v>
      </c>
      <c r="G497" s="1">
        <v>1046.56</v>
      </c>
      <c r="H497" s="1" t="s">
        <v>9</v>
      </c>
      <c r="I497" t="str">
        <f t="shared" si="7"/>
        <v>PARTY INVITES FOOTBALL [21061]</v>
      </c>
    </row>
    <row r="498" spans="1:9" x14ac:dyDescent="0.3">
      <c r="A498" s="1">
        <v>21062</v>
      </c>
      <c r="B498" t="s">
        <v>5645</v>
      </c>
      <c r="C498" s="1">
        <v>0.85</v>
      </c>
      <c r="D498" s="1">
        <v>42</v>
      </c>
      <c r="E498" s="1">
        <v>42.12</v>
      </c>
      <c r="F498" s="1">
        <v>25</v>
      </c>
      <c r="G498" s="1">
        <v>875.87</v>
      </c>
      <c r="H498" s="1" t="s">
        <v>9</v>
      </c>
      <c r="I498" t="str">
        <f t="shared" si="7"/>
        <v>PARTY INVITES SPACEMAN [21062]</v>
      </c>
    </row>
    <row r="499" spans="1:9" x14ac:dyDescent="0.3">
      <c r="A499" s="1">
        <v>21063</v>
      </c>
      <c r="B499" t="s">
        <v>5644</v>
      </c>
      <c r="C499" s="1">
        <v>0.87</v>
      </c>
      <c r="D499" s="1">
        <v>49</v>
      </c>
      <c r="E499" s="1">
        <v>58.24</v>
      </c>
      <c r="F499" s="1">
        <v>25</v>
      </c>
      <c r="G499" s="1">
        <v>1256.27</v>
      </c>
      <c r="H499" s="1" t="s">
        <v>9</v>
      </c>
      <c r="I499" t="str">
        <f t="shared" si="7"/>
        <v>PARTY INVITES JAZZ HEARTS [21063]</v>
      </c>
    </row>
    <row r="500" spans="1:9" x14ac:dyDescent="0.3">
      <c r="A500" s="1">
        <v>21064</v>
      </c>
      <c r="B500" t="s">
        <v>5643</v>
      </c>
      <c r="C500" s="1">
        <v>5.95</v>
      </c>
      <c r="D500" s="1">
        <v>10</v>
      </c>
      <c r="E500" s="1">
        <v>35.36</v>
      </c>
      <c r="F500" s="1">
        <v>25</v>
      </c>
      <c r="G500" s="1">
        <v>4432.92</v>
      </c>
      <c r="H500" s="1" t="s">
        <v>8</v>
      </c>
      <c r="I500" t="str">
        <f t="shared" si="7"/>
        <v>BOOM BOX SPEAKER BOYS [21064]</v>
      </c>
    </row>
    <row r="501" spans="1:9" x14ac:dyDescent="0.3">
      <c r="A501" s="1">
        <v>21065</v>
      </c>
      <c r="B501" t="s">
        <v>5642</v>
      </c>
      <c r="C501" s="1">
        <v>5.95</v>
      </c>
      <c r="D501" s="1">
        <v>5</v>
      </c>
      <c r="E501" s="2">
        <v>8.1052631578947292</v>
      </c>
      <c r="F501" s="1">
        <v>19</v>
      </c>
      <c r="G501" s="1">
        <v>798.16</v>
      </c>
      <c r="H501" s="1" t="s">
        <v>8</v>
      </c>
      <c r="I501" t="str">
        <f t="shared" si="7"/>
        <v>BOOM BOX SPEAKER GIRLS [21065]</v>
      </c>
    </row>
    <row r="502" spans="1:9" x14ac:dyDescent="0.3">
      <c r="A502" s="1">
        <v>21066</v>
      </c>
      <c r="B502" t="s">
        <v>5641</v>
      </c>
      <c r="C502" s="1">
        <v>1.25</v>
      </c>
      <c r="D502" s="1">
        <v>21</v>
      </c>
      <c r="E502" s="1">
        <v>91.36</v>
      </c>
      <c r="F502" s="1">
        <v>25</v>
      </c>
      <c r="G502" s="1">
        <v>1494.67</v>
      </c>
      <c r="H502" s="1" t="s">
        <v>9</v>
      </c>
      <c r="I502" t="str">
        <f t="shared" si="7"/>
        <v>VINTAGE RED MUG [21066]</v>
      </c>
    </row>
    <row r="503" spans="1:9" x14ac:dyDescent="0.3">
      <c r="A503" s="1">
        <v>21067</v>
      </c>
      <c r="B503" t="s">
        <v>5640</v>
      </c>
      <c r="C503" s="2">
        <v>1.2849999999999999</v>
      </c>
      <c r="D503" s="1">
        <v>52</v>
      </c>
      <c r="E503" s="1">
        <v>216.5</v>
      </c>
      <c r="F503" s="1">
        <v>22</v>
      </c>
      <c r="G503" s="1">
        <v>3830.67</v>
      </c>
      <c r="H503" s="1" t="s">
        <v>9</v>
      </c>
      <c r="I503" t="str">
        <f t="shared" si="7"/>
        <v>VINTAGE RED TEATIME MUG [21067]</v>
      </c>
    </row>
    <row r="504" spans="1:9" x14ac:dyDescent="0.3">
      <c r="A504" s="1">
        <v>21068</v>
      </c>
      <c r="B504" t="s">
        <v>5639</v>
      </c>
      <c r="C504" s="1">
        <v>1.31</v>
      </c>
      <c r="D504" s="1">
        <v>68</v>
      </c>
      <c r="E504" s="1">
        <v>162.63999999999999</v>
      </c>
      <c r="F504" s="1">
        <v>25</v>
      </c>
      <c r="G504" s="1">
        <v>4224.63</v>
      </c>
      <c r="H504" s="1" t="s">
        <v>10</v>
      </c>
      <c r="I504" t="str">
        <f t="shared" si="7"/>
        <v>VINTAGE BILLBOARD LOVE/HATE MUG [21068]</v>
      </c>
    </row>
    <row r="505" spans="1:9" x14ac:dyDescent="0.3">
      <c r="A505" s="1">
        <v>21069</v>
      </c>
      <c r="B505" t="s">
        <v>5638</v>
      </c>
      <c r="C505" s="1">
        <v>1.32</v>
      </c>
      <c r="D505" s="1">
        <v>90</v>
      </c>
      <c r="E505" s="2">
        <v>242.809523809523</v>
      </c>
      <c r="F505" s="1">
        <v>21</v>
      </c>
      <c r="G505" s="1">
        <v>5404.36</v>
      </c>
      <c r="H505" s="1" t="s">
        <v>10</v>
      </c>
      <c r="I505" t="str">
        <f t="shared" si="7"/>
        <v>VINTAGE BILLBOARD TEA MUG [21069]</v>
      </c>
    </row>
    <row r="506" spans="1:9" x14ac:dyDescent="0.3">
      <c r="A506" s="1">
        <v>21070</v>
      </c>
      <c r="B506" t="s">
        <v>5637</v>
      </c>
      <c r="C506" s="1">
        <v>1.32</v>
      </c>
      <c r="D506" s="1">
        <v>25</v>
      </c>
      <c r="E506" s="1">
        <v>81.36</v>
      </c>
      <c r="F506" s="1">
        <v>25</v>
      </c>
      <c r="G506" s="1">
        <v>2083.46</v>
      </c>
      <c r="H506" s="1" t="s">
        <v>9</v>
      </c>
      <c r="I506" t="str">
        <f t="shared" si="7"/>
        <v>VINTAGE BILLBOARD MUG [21070]</v>
      </c>
    </row>
    <row r="507" spans="1:9" x14ac:dyDescent="0.3">
      <c r="A507" s="1">
        <v>21071</v>
      </c>
      <c r="B507" t="s">
        <v>5636</v>
      </c>
      <c r="C507" s="1">
        <v>1.35</v>
      </c>
      <c r="D507" s="1">
        <v>99</v>
      </c>
      <c r="E507" s="2">
        <v>185.608695652173</v>
      </c>
      <c r="F507" s="1">
        <v>23</v>
      </c>
      <c r="G507" s="1">
        <v>4998.32</v>
      </c>
      <c r="H507" s="1" t="s">
        <v>10</v>
      </c>
      <c r="I507" t="str">
        <f t="shared" si="7"/>
        <v>VINTAGE BILLBOARD DRINK ME MUG [21071]</v>
      </c>
    </row>
    <row r="508" spans="1:9" x14ac:dyDescent="0.3">
      <c r="A508" s="1">
        <v>21076</v>
      </c>
      <c r="B508" t="s">
        <v>5635</v>
      </c>
      <c r="C508" s="2">
        <v>0.82</v>
      </c>
      <c r="D508" s="1">
        <v>198.5</v>
      </c>
      <c r="E508" s="1">
        <v>210.75</v>
      </c>
      <c r="F508" s="1">
        <v>4</v>
      </c>
      <c r="G508" s="1">
        <v>714.55</v>
      </c>
      <c r="H508" s="1" t="s">
        <v>10</v>
      </c>
      <c r="I508" t="str">
        <f t="shared" si="7"/>
        <v>SET/20 COLLAGE PAPER NAPKIN [21076]</v>
      </c>
    </row>
    <row r="509" spans="1:9" x14ac:dyDescent="0.3">
      <c r="A509" s="1">
        <v>21077</v>
      </c>
      <c r="B509" t="s">
        <v>5634</v>
      </c>
      <c r="C509" s="1">
        <v>0.77500000000000002</v>
      </c>
      <c r="D509" s="1">
        <v>268</v>
      </c>
      <c r="E509" s="1">
        <v>279</v>
      </c>
      <c r="F509" s="1">
        <v>10</v>
      </c>
      <c r="G509" s="1">
        <v>2058.1</v>
      </c>
      <c r="H509" s="1" t="s">
        <v>10</v>
      </c>
      <c r="I509" t="str">
        <f t="shared" si="7"/>
        <v>SET/20 WOODLAND PAPER NAPKINS [21077]</v>
      </c>
    </row>
    <row r="510" spans="1:9" x14ac:dyDescent="0.3">
      <c r="A510" s="1">
        <v>21078</v>
      </c>
      <c r="B510" t="s">
        <v>5633</v>
      </c>
      <c r="C510" s="1">
        <v>0.89</v>
      </c>
      <c r="D510" s="1">
        <v>284</v>
      </c>
      <c r="E510" s="2">
        <v>313.52173913043401</v>
      </c>
      <c r="F510" s="1">
        <v>23</v>
      </c>
      <c r="G510" s="1">
        <v>6181.25</v>
      </c>
      <c r="H510" s="1" t="s">
        <v>10</v>
      </c>
      <c r="I510" t="str">
        <f t="shared" si="7"/>
        <v>SET/20 STRAWBERRY PAPER NAPKINS [21078]</v>
      </c>
    </row>
    <row r="511" spans="1:9" x14ac:dyDescent="0.3">
      <c r="A511" s="1">
        <v>21080</v>
      </c>
      <c r="B511" t="s">
        <v>5632</v>
      </c>
      <c r="C511" s="1">
        <v>0.83499999999999996</v>
      </c>
      <c r="D511" s="1">
        <v>1017.5</v>
      </c>
      <c r="E511" s="2">
        <v>1109.8571428571399</v>
      </c>
      <c r="F511" s="1">
        <v>25</v>
      </c>
      <c r="G511" s="1">
        <v>25416.93</v>
      </c>
      <c r="H511" s="1" t="s">
        <v>10</v>
      </c>
      <c r="I511" t="str">
        <f t="shared" si="7"/>
        <v>SET/20 RED SPOTTY PAPER NAPKINS [21080]</v>
      </c>
    </row>
    <row r="512" spans="1:9" x14ac:dyDescent="0.3">
      <c r="A512" s="1">
        <v>21081</v>
      </c>
      <c r="B512" t="s">
        <v>5631</v>
      </c>
      <c r="C512" s="1">
        <v>0.85</v>
      </c>
      <c r="D512" s="1">
        <v>2</v>
      </c>
      <c r="E512" s="1">
        <v>2</v>
      </c>
      <c r="F512" s="1">
        <v>2</v>
      </c>
      <c r="G512" s="1">
        <v>3.4</v>
      </c>
      <c r="H512" s="1" t="s">
        <v>8</v>
      </c>
      <c r="I512" t="str">
        <f t="shared" si="7"/>
        <v>SET/20 POSIES PAPER NAPKINS [21081]</v>
      </c>
    </row>
    <row r="513" spans="1:9" x14ac:dyDescent="0.3">
      <c r="A513" s="1">
        <v>21082</v>
      </c>
      <c r="B513" t="s">
        <v>5630</v>
      </c>
      <c r="C513" s="1">
        <v>0.88500000000000001</v>
      </c>
      <c r="D513" s="1">
        <v>32</v>
      </c>
      <c r="E513" s="2">
        <v>69.357142857142804</v>
      </c>
      <c r="F513" s="1">
        <v>14</v>
      </c>
      <c r="G513" s="1">
        <v>840.8</v>
      </c>
      <c r="H513" s="1" t="s">
        <v>9</v>
      </c>
      <c r="I513" t="str">
        <f t="shared" si="7"/>
        <v>SET/20 FRUIT SALAD PAPER NAPKINS [21082]</v>
      </c>
    </row>
    <row r="514" spans="1:9" x14ac:dyDescent="0.3">
      <c r="A514" s="1">
        <v>21084</v>
      </c>
      <c r="B514" t="s">
        <v>5629</v>
      </c>
      <c r="C514" s="1">
        <v>0.65</v>
      </c>
      <c r="D514" s="1">
        <v>52</v>
      </c>
      <c r="E514" s="2">
        <v>126.91304347825999</v>
      </c>
      <c r="F514" s="1">
        <v>23</v>
      </c>
      <c r="G514" s="1">
        <v>992.21</v>
      </c>
      <c r="H514" s="1" t="s">
        <v>9</v>
      </c>
      <c r="I514" t="str">
        <f t="shared" si="7"/>
        <v>SET/6 COLLAGE PAPER CUPS [21084]</v>
      </c>
    </row>
    <row r="515" spans="1:9" x14ac:dyDescent="0.3">
      <c r="A515" s="1">
        <v>21085</v>
      </c>
      <c r="B515" t="s">
        <v>5628</v>
      </c>
      <c r="C515" s="1">
        <v>0.65</v>
      </c>
      <c r="D515" s="1">
        <v>25</v>
      </c>
      <c r="E515" s="2">
        <v>94.285714285714207</v>
      </c>
      <c r="F515" s="1">
        <v>7</v>
      </c>
      <c r="G515" s="1">
        <v>404.58</v>
      </c>
      <c r="H515" s="1" t="s">
        <v>9</v>
      </c>
      <c r="I515" t="str">
        <f t="shared" ref="I515:I578" si="8">B515&amp;" ["&amp;A515&amp;"]"</f>
        <v>SET/6 WOODLAND PAPER CUPS [21085]</v>
      </c>
    </row>
    <row r="516" spans="1:9" x14ac:dyDescent="0.3">
      <c r="A516" s="1">
        <v>21086</v>
      </c>
      <c r="B516" t="s">
        <v>5627</v>
      </c>
      <c r="C516" s="1">
        <v>0.65</v>
      </c>
      <c r="D516" s="1">
        <v>618</v>
      </c>
      <c r="E516" s="2">
        <v>694.08333333333303</v>
      </c>
      <c r="F516" s="1">
        <v>24</v>
      </c>
      <c r="G516" s="1">
        <v>10781.81</v>
      </c>
      <c r="H516" s="1" t="s">
        <v>10</v>
      </c>
      <c r="I516" t="str">
        <f t="shared" si="8"/>
        <v>SET/6 RED SPOTTY PAPER CUPS [21086]</v>
      </c>
    </row>
    <row r="517" spans="1:9" x14ac:dyDescent="0.3">
      <c r="A517" s="1">
        <v>21087</v>
      </c>
      <c r="B517" t="s">
        <v>5626</v>
      </c>
      <c r="C517" s="1">
        <v>0.65</v>
      </c>
      <c r="D517" s="1">
        <v>16</v>
      </c>
      <c r="E517" s="2">
        <v>23.4545454545454</v>
      </c>
      <c r="F517" s="1">
        <v>11</v>
      </c>
      <c r="G517" s="1">
        <v>164.76</v>
      </c>
      <c r="H517" s="1" t="s">
        <v>9</v>
      </c>
      <c r="I517" t="str">
        <f t="shared" si="8"/>
        <v>SET/6 POSIES PAPER CUPS [21087]</v>
      </c>
    </row>
    <row r="518" spans="1:9" x14ac:dyDescent="0.3">
      <c r="A518" s="1">
        <v>21088</v>
      </c>
      <c r="B518" t="s">
        <v>5625</v>
      </c>
      <c r="C518" s="1">
        <v>0.51</v>
      </c>
      <c r="D518" s="1">
        <v>47</v>
      </c>
      <c r="E518" s="2">
        <v>123.73684210526299</v>
      </c>
      <c r="F518" s="1">
        <v>19</v>
      </c>
      <c r="G518" s="1">
        <v>669.03</v>
      </c>
      <c r="H518" s="1" t="s">
        <v>9</v>
      </c>
      <c r="I518" t="str">
        <f t="shared" si="8"/>
        <v>SET/6 FRUIT SALAD PAPER CUPS [21088]</v>
      </c>
    </row>
    <row r="519" spans="1:9" x14ac:dyDescent="0.3">
      <c r="A519" s="1">
        <v>21089</v>
      </c>
      <c r="B519" t="s">
        <v>5624</v>
      </c>
      <c r="C519" s="1">
        <v>0.65</v>
      </c>
      <c r="D519" s="1">
        <v>12</v>
      </c>
      <c r="E519" s="2">
        <v>22.857142857142801</v>
      </c>
      <c r="F519" s="1">
        <v>14</v>
      </c>
      <c r="G519" s="1">
        <v>107.56</v>
      </c>
      <c r="H519" s="1" t="s">
        <v>9</v>
      </c>
      <c r="I519" t="str">
        <f t="shared" si="8"/>
        <v>SET/6 GREEN SPRING PAPER CUPS [21089]</v>
      </c>
    </row>
    <row r="520" spans="1:9" x14ac:dyDescent="0.3">
      <c r="A520" s="1">
        <v>21090</v>
      </c>
      <c r="B520" t="s">
        <v>5623</v>
      </c>
      <c r="C520" s="1">
        <v>0.85</v>
      </c>
      <c r="D520" s="1">
        <v>46.5</v>
      </c>
      <c r="E520" s="2">
        <v>129.458333333333</v>
      </c>
      <c r="F520" s="1">
        <v>24</v>
      </c>
      <c r="G520" s="1">
        <v>1729.09</v>
      </c>
      <c r="H520" s="1" t="s">
        <v>9</v>
      </c>
      <c r="I520" t="str">
        <f t="shared" si="8"/>
        <v>SET/6 COLLAGE PAPER PLATES [21090]</v>
      </c>
    </row>
    <row r="521" spans="1:9" x14ac:dyDescent="0.3">
      <c r="A521" s="1">
        <v>21091</v>
      </c>
      <c r="B521" t="s">
        <v>5622</v>
      </c>
      <c r="C521" s="1">
        <v>0.87</v>
      </c>
      <c r="D521" s="1">
        <v>138</v>
      </c>
      <c r="E521" s="2">
        <v>193.666666666666</v>
      </c>
      <c r="F521" s="1">
        <v>3</v>
      </c>
      <c r="G521" s="1">
        <v>443.13</v>
      </c>
      <c r="H521" s="1" t="s">
        <v>10</v>
      </c>
      <c r="I521" t="str">
        <f t="shared" si="8"/>
        <v>SET/6 WOODLAND PAPER PLATES [21091]</v>
      </c>
    </row>
    <row r="522" spans="1:9" x14ac:dyDescent="0.3">
      <c r="A522" s="1">
        <v>21092</v>
      </c>
      <c r="B522" t="s">
        <v>5621</v>
      </c>
      <c r="C522" s="1">
        <v>0.92</v>
      </c>
      <c r="D522" s="1">
        <v>131</v>
      </c>
      <c r="E522" s="2">
        <v>113.333333333333</v>
      </c>
      <c r="F522" s="1">
        <v>3</v>
      </c>
      <c r="G522" s="2">
        <v>299.77999999999997</v>
      </c>
      <c r="H522" s="1" t="s">
        <v>10</v>
      </c>
      <c r="I522" t="str">
        <f t="shared" si="8"/>
        <v>SET/6 STRAWBERRY PAPER PLATES [21092]</v>
      </c>
    </row>
    <row r="523" spans="1:9" x14ac:dyDescent="0.3">
      <c r="A523" s="1">
        <v>21094</v>
      </c>
      <c r="B523" t="s">
        <v>5620</v>
      </c>
      <c r="C523" s="1">
        <v>0.78</v>
      </c>
      <c r="D523" s="1">
        <v>681</v>
      </c>
      <c r="E523" s="1">
        <v>785.32</v>
      </c>
      <c r="F523" s="1">
        <v>25</v>
      </c>
      <c r="G523" s="1">
        <v>15334.03</v>
      </c>
      <c r="H523" s="1" t="s">
        <v>10</v>
      </c>
      <c r="I523" t="str">
        <f t="shared" si="8"/>
        <v>SET/6 RED SPOTTY PAPER PLATES [21094]</v>
      </c>
    </row>
    <row r="524" spans="1:9" x14ac:dyDescent="0.3">
      <c r="A524" s="1">
        <v>21095</v>
      </c>
      <c r="B524" t="s">
        <v>5619</v>
      </c>
      <c r="C524" s="1">
        <v>0.85</v>
      </c>
      <c r="D524" s="1">
        <v>13</v>
      </c>
      <c r="E524" s="2">
        <v>17.352941176470502</v>
      </c>
      <c r="F524" s="1">
        <v>17</v>
      </c>
      <c r="G524" s="1">
        <v>274.57</v>
      </c>
      <c r="H524" s="1" t="s">
        <v>9</v>
      </c>
      <c r="I524" t="str">
        <f t="shared" si="8"/>
        <v>SET/6 POSIES PAPER PLATES [21095]</v>
      </c>
    </row>
    <row r="525" spans="1:9" x14ac:dyDescent="0.3">
      <c r="A525" s="1">
        <v>21096</v>
      </c>
      <c r="B525" t="s">
        <v>5618</v>
      </c>
      <c r="C525" s="1">
        <v>0.72</v>
      </c>
      <c r="D525" s="1">
        <v>41</v>
      </c>
      <c r="E525" s="1">
        <v>105</v>
      </c>
      <c r="F525" s="1">
        <v>18</v>
      </c>
      <c r="G525" s="1">
        <v>876.96</v>
      </c>
      <c r="H525" s="1" t="s">
        <v>9</v>
      </c>
      <c r="I525" t="str">
        <f t="shared" si="8"/>
        <v>SET/6 FRUIT SALAD  PAPER PLATES [21096]</v>
      </c>
    </row>
    <row r="526" spans="1:9" x14ac:dyDescent="0.3">
      <c r="A526" s="1">
        <v>21097</v>
      </c>
      <c r="B526" t="s">
        <v>5617</v>
      </c>
      <c r="C526" s="1">
        <v>0.85</v>
      </c>
      <c r="D526" s="1">
        <v>4</v>
      </c>
      <c r="E526" s="1">
        <v>8</v>
      </c>
      <c r="F526" s="1">
        <v>4</v>
      </c>
      <c r="G526" s="1">
        <v>27.2</v>
      </c>
      <c r="H526" s="1" t="s">
        <v>8</v>
      </c>
      <c r="I526" t="str">
        <f t="shared" si="8"/>
        <v>SET/6 GREEN SPRING  PAPER PLATE [21097]</v>
      </c>
    </row>
    <row r="527" spans="1:9" x14ac:dyDescent="0.3">
      <c r="A527" s="1">
        <v>21098</v>
      </c>
      <c r="B527" t="s">
        <v>5616</v>
      </c>
      <c r="C527" s="1">
        <v>1.585</v>
      </c>
      <c r="D527" s="1">
        <v>261</v>
      </c>
      <c r="E527" s="1">
        <v>533.5625</v>
      </c>
      <c r="F527" s="1">
        <v>16</v>
      </c>
      <c r="G527" s="1">
        <v>13263.93</v>
      </c>
      <c r="H527" s="1" t="s">
        <v>10</v>
      </c>
      <c r="I527" t="str">
        <f t="shared" si="8"/>
        <v>CHRISTMAS TOILET ROLL [21098]</v>
      </c>
    </row>
    <row r="528" spans="1:9" x14ac:dyDescent="0.3">
      <c r="A528" s="1">
        <v>21099</v>
      </c>
      <c r="B528" t="s">
        <v>5615</v>
      </c>
      <c r="C528" s="1">
        <v>0.65</v>
      </c>
      <c r="D528" s="1">
        <v>32</v>
      </c>
      <c r="E528" s="1">
        <v>56.2</v>
      </c>
      <c r="F528" s="1">
        <v>5</v>
      </c>
      <c r="G528" s="1">
        <v>188.79</v>
      </c>
      <c r="H528" s="1" t="s">
        <v>9</v>
      </c>
      <c r="I528" t="str">
        <f t="shared" si="8"/>
        <v>SET/6 STRAWBERRY PAPER CUPS [21099]</v>
      </c>
    </row>
    <row r="529" spans="1:9" x14ac:dyDescent="0.3">
      <c r="A529" s="1">
        <v>21100</v>
      </c>
      <c r="B529" t="s">
        <v>5614</v>
      </c>
      <c r="C529" s="1">
        <v>1.875</v>
      </c>
      <c r="D529" s="1">
        <v>77</v>
      </c>
      <c r="E529" s="1">
        <v>158.75</v>
      </c>
      <c r="F529" s="1">
        <v>16</v>
      </c>
      <c r="G529" s="1">
        <v>3795</v>
      </c>
      <c r="H529" s="1" t="s">
        <v>10</v>
      </c>
      <c r="I529" t="str">
        <f t="shared" si="8"/>
        <v>CHARLIE AND LOLA CHARLOTTE BAG [21100]</v>
      </c>
    </row>
    <row r="530" spans="1:9" x14ac:dyDescent="0.3">
      <c r="A530" s="1">
        <v>21102</v>
      </c>
      <c r="B530" t="s">
        <v>5613</v>
      </c>
      <c r="C530" s="1">
        <v>2.66</v>
      </c>
      <c r="D530" s="1">
        <v>21</v>
      </c>
      <c r="E530" s="1">
        <v>20.5</v>
      </c>
      <c r="F530" s="1">
        <v>4</v>
      </c>
      <c r="G530" s="1">
        <v>221.08</v>
      </c>
      <c r="H530" s="1" t="s">
        <v>9</v>
      </c>
      <c r="I530" t="str">
        <f t="shared" si="8"/>
        <v>CANDLE IN JAR COLLAGE , VANILLA [21102]</v>
      </c>
    </row>
    <row r="531" spans="1:9" x14ac:dyDescent="0.3">
      <c r="A531" s="1">
        <v>21106</v>
      </c>
      <c r="B531" t="s">
        <v>5612</v>
      </c>
      <c r="C531" s="1">
        <v>3.15</v>
      </c>
      <c r="D531" s="1">
        <v>26</v>
      </c>
      <c r="E531" s="1">
        <v>31.6</v>
      </c>
      <c r="F531" s="1">
        <v>25</v>
      </c>
      <c r="G531" s="1">
        <v>2419.6799999999998</v>
      </c>
      <c r="H531" s="1" t="s">
        <v>9</v>
      </c>
      <c r="I531" t="str">
        <f t="shared" si="8"/>
        <v>CREAM SLICE FLANNEL CHOCOLATE SPOT [21106]</v>
      </c>
    </row>
    <row r="532" spans="1:9" x14ac:dyDescent="0.3">
      <c r="A532" s="1">
        <v>21107</v>
      </c>
      <c r="B532" t="s">
        <v>5611</v>
      </c>
      <c r="C532" s="1">
        <v>2.98</v>
      </c>
      <c r="D532" s="1">
        <v>49</v>
      </c>
      <c r="E532" s="1">
        <v>92.08</v>
      </c>
      <c r="F532" s="1">
        <v>25</v>
      </c>
      <c r="G532" s="2">
        <v>6624.7699999999904</v>
      </c>
      <c r="H532" s="1" t="s">
        <v>9</v>
      </c>
      <c r="I532" t="str">
        <f t="shared" si="8"/>
        <v>CREAM SLICE FLANNEL PINK SPOT [21107]</v>
      </c>
    </row>
    <row r="533" spans="1:9" x14ac:dyDescent="0.3">
      <c r="A533" s="1">
        <v>21108</v>
      </c>
      <c r="B533" t="s">
        <v>5610</v>
      </c>
      <c r="C533" s="1">
        <v>2.71</v>
      </c>
      <c r="D533" s="1">
        <v>192</v>
      </c>
      <c r="E533" s="1">
        <v>518.48</v>
      </c>
      <c r="F533" s="1">
        <v>25</v>
      </c>
      <c r="G533" s="1">
        <v>25407.27</v>
      </c>
      <c r="H533" s="1" t="s">
        <v>10</v>
      </c>
      <c r="I533" t="str">
        <f t="shared" si="8"/>
        <v>FAIRY CAKE FLANNEL ASSORTED COLOUR [21108]</v>
      </c>
    </row>
    <row r="534" spans="1:9" x14ac:dyDescent="0.3">
      <c r="A534" s="1">
        <v>21109</v>
      </c>
      <c r="B534" t="s">
        <v>5609</v>
      </c>
      <c r="C534" s="1">
        <v>6.7750000000000004</v>
      </c>
      <c r="D534" s="1">
        <v>20.5</v>
      </c>
      <c r="E534" s="2">
        <v>45.115384615384599</v>
      </c>
      <c r="F534" s="1">
        <v>25</v>
      </c>
      <c r="G534" s="1">
        <v>4476.49</v>
      </c>
      <c r="H534" s="1" t="s">
        <v>9</v>
      </c>
      <c r="I534" t="str">
        <f t="shared" si="8"/>
        <v>LARGE CAKE TOWEL, CHOCOLATE SPOTS [21109]</v>
      </c>
    </row>
    <row r="535" spans="1:9" x14ac:dyDescent="0.3">
      <c r="A535" s="1">
        <v>21110</v>
      </c>
      <c r="B535" t="s">
        <v>5608</v>
      </c>
      <c r="C535" s="1">
        <v>7.04</v>
      </c>
      <c r="D535" s="1">
        <v>43</v>
      </c>
      <c r="E535" s="2">
        <v>71.304347826086897</v>
      </c>
      <c r="F535" s="1">
        <v>23</v>
      </c>
      <c r="G535" s="1">
        <v>7729.37</v>
      </c>
      <c r="H535" s="1" t="s">
        <v>9</v>
      </c>
      <c r="I535" t="str">
        <f t="shared" si="8"/>
        <v>LARGE CAKE TOWEL PINK SPOTS [21110]</v>
      </c>
    </row>
    <row r="536" spans="1:9" x14ac:dyDescent="0.3">
      <c r="A536" s="1">
        <v>21111</v>
      </c>
      <c r="B536" t="s">
        <v>5607</v>
      </c>
      <c r="C536" s="2">
        <v>3.1549999999999998</v>
      </c>
      <c r="D536" s="1">
        <v>36</v>
      </c>
      <c r="E536" s="2">
        <v>57.4583333333333</v>
      </c>
      <c r="F536" s="1">
        <v>24</v>
      </c>
      <c r="G536" s="1">
        <v>3187.16</v>
      </c>
      <c r="H536" s="1" t="s">
        <v>9</v>
      </c>
      <c r="I536" t="str">
        <f t="shared" si="8"/>
        <v>SWISS ROLL TOWEL, CHOCOLATE  SPOTS [21111]</v>
      </c>
    </row>
    <row r="537" spans="1:9" x14ac:dyDescent="0.3">
      <c r="A537" s="1">
        <v>21112</v>
      </c>
      <c r="B537" t="s">
        <v>5606</v>
      </c>
      <c r="C537" s="1">
        <v>2.99</v>
      </c>
      <c r="D537" s="1">
        <v>40</v>
      </c>
      <c r="E537" s="1">
        <v>88.88</v>
      </c>
      <c r="F537" s="1">
        <v>24</v>
      </c>
      <c r="G537" s="1">
        <v>5484.26</v>
      </c>
      <c r="H537" s="1" t="s">
        <v>9</v>
      </c>
      <c r="I537" t="str">
        <f t="shared" si="8"/>
        <v>SWISS ROLL TOWEL, PINK  SPOTS [21112]</v>
      </c>
    </row>
    <row r="538" spans="1:9" x14ac:dyDescent="0.3">
      <c r="A538" s="1">
        <v>21114</v>
      </c>
      <c r="B538" t="s">
        <v>5605</v>
      </c>
      <c r="C538" s="1">
        <v>1.29</v>
      </c>
      <c r="D538" s="1">
        <v>167</v>
      </c>
      <c r="E538" s="1">
        <v>226.64</v>
      </c>
      <c r="F538" s="1">
        <v>25</v>
      </c>
      <c r="G538" s="1">
        <v>7306.14</v>
      </c>
      <c r="H538" s="1" t="s">
        <v>10</v>
      </c>
      <c r="I538" t="str">
        <f t="shared" si="8"/>
        <v>LAVENDER SCENTED FABRIC HEART [21114]</v>
      </c>
    </row>
    <row r="539" spans="1:9" x14ac:dyDescent="0.3">
      <c r="A539" s="1">
        <v>21115</v>
      </c>
      <c r="B539" t="s">
        <v>5604</v>
      </c>
      <c r="C539" s="1">
        <v>7.05</v>
      </c>
      <c r="D539" s="1">
        <v>42</v>
      </c>
      <c r="E539" s="1">
        <v>49.88</v>
      </c>
      <c r="F539" s="1">
        <v>25</v>
      </c>
      <c r="G539" s="1">
        <v>7955.84</v>
      </c>
      <c r="H539" s="1" t="s">
        <v>9</v>
      </c>
      <c r="I539" t="str">
        <f t="shared" si="8"/>
        <v>ROSE CARAVAN DOORSTOP [21115]</v>
      </c>
    </row>
    <row r="540" spans="1:9" x14ac:dyDescent="0.3">
      <c r="A540" s="1">
        <v>21116</v>
      </c>
      <c r="B540" t="s">
        <v>5603</v>
      </c>
      <c r="C540" s="1">
        <v>5.88</v>
      </c>
      <c r="D540" s="1">
        <v>44</v>
      </c>
      <c r="E540" s="1">
        <v>54.2</v>
      </c>
      <c r="F540" s="1">
        <v>25</v>
      </c>
      <c r="G540" s="1">
        <v>7900.01</v>
      </c>
      <c r="H540" s="1" t="s">
        <v>9</v>
      </c>
      <c r="I540" t="str">
        <f t="shared" si="8"/>
        <v>OWL DOORSTOP [21116]</v>
      </c>
    </row>
    <row r="541" spans="1:9" x14ac:dyDescent="0.3">
      <c r="A541" s="1">
        <v>21117</v>
      </c>
      <c r="B541" t="s">
        <v>5602</v>
      </c>
      <c r="C541" s="1">
        <v>1.25</v>
      </c>
      <c r="D541" s="1">
        <v>12</v>
      </c>
      <c r="E541" s="2">
        <v>21.733333333333299</v>
      </c>
      <c r="F541" s="1">
        <v>15</v>
      </c>
      <c r="G541" s="2">
        <v>488.58</v>
      </c>
      <c r="H541" s="1" t="s">
        <v>9</v>
      </c>
      <c r="I541" t="str">
        <f t="shared" si="8"/>
        <v>BLOND DOLL DOORSTOP [21117]</v>
      </c>
    </row>
    <row r="542" spans="1:9" x14ac:dyDescent="0.3">
      <c r="A542" s="1">
        <v>21118</v>
      </c>
      <c r="B542" t="s">
        <v>5601</v>
      </c>
      <c r="C542" s="1">
        <v>1.4350000000000001</v>
      </c>
      <c r="D542" s="1">
        <v>34.5</v>
      </c>
      <c r="E542" s="1">
        <v>34.5</v>
      </c>
      <c r="F542" s="1">
        <v>2</v>
      </c>
      <c r="G542" s="1">
        <v>104.25</v>
      </c>
      <c r="H542" s="1" t="s">
        <v>9</v>
      </c>
      <c r="I542" t="str">
        <f t="shared" si="8"/>
        <v>SHOPPING BAG DOORSTOP [21118]</v>
      </c>
    </row>
    <row r="543" spans="1:9" x14ac:dyDescent="0.3">
      <c r="A543" s="1">
        <v>21119</v>
      </c>
      <c r="B543" t="s">
        <v>5600</v>
      </c>
      <c r="C543" s="1">
        <v>13.57</v>
      </c>
      <c r="D543" s="1">
        <v>1</v>
      </c>
      <c r="E543" s="1">
        <v>1</v>
      </c>
      <c r="F543" s="1">
        <v>3</v>
      </c>
      <c r="G543" s="1">
        <v>41.01</v>
      </c>
      <c r="H543" s="1" t="s">
        <v>8</v>
      </c>
      <c r="I543" t="str">
        <f t="shared" si="8"/>
        <v>Glow In The Dark Shot Glasses [21119]</v>
      </c>
    </row>
    <row r="544" spans="1:9" x14ac:dyDescent="0.3">
      <c r="A544" s="1">
        <v>21120</v>
      </c>
      <c r="B544" t="s">
        <v>5599</v>
      </c>
      <c r="C544" s="1">
        <v>16.98</v>
      </c>
      <c r="D544" s="1">
        <v>1</v>
      </c>
      <c r="E544" s="1">
        <v>1</v>
      </c>
      <c r="F544" s="1">
        <v>1</v>
      </c>
      <c r="G544" s="1">
        <v>16.98</v>
      </c>
      <c r="H544" s="1" t="s">
        <v>8</v>
      </c>
      <c r="I544" t="str">
        <f t="shared" si="8"/>
        <v>*Boombox Ipod Classic [21120]</v>
      </c>
    </row>
    <row r="545" spans="1:9" x14ac:dyDescent="0.3">
      <c r="A545" s="1">
        <v>21121</v>
      </c>
      <c r="B545" t="s">
        <v>5598</v>
      </c>
      <c r="C545" s="1">
        <v>1.25</v>
      </c>
      <c r="D545" s="1">
        <v>482</v>
      </c>
      <c r="E545" s="2">
        <v>543.392857142857</v>
      </c>
      <c r="F545" s="1">
        <v>25</v>
      </c>
      <c r="G545" s="1">
        <v>18442.7</v>
      </c>
      <c r="H545" s="1" t="s">
        <v>10</v>
      </c>
      <c r="I545" t="str">
        <f t="shared" si="8"/>
        <v>SET/10 RED SPOTTY PARTY CANDLES [21121]</v>
      </c>
    </row>
    <row r="546" spans="1:9" x14ac:dyDescent="0.3">
      <c r="A546" s="1">
        <v>21122</v>
      </c>
      <c r="B546" t="s">
        <v>5597</v>
      </c>
      <c r="C546" s="1">
        <v>1.25</v>
      </c>
      <c r="D546" s="1">
        <v>415.5</v>
      </c>
      <c r="E546" s="2">
        <v>436.03571428571399</v>
      </c>
      <c r="F546" s="1">
        <v>25</v>
      </c>
      <c r="G546" s="2">
        <v>14844.779999999901</v>
      </c>
      <c r="H546" s="1" t="s">
        <v>10</v>
      </c>
      <c r="I546" t="str">
        <f t="shared" si="8"/>
        <v>SET/10 PINK SPOTTY PARTY CANDLES [21122]</v>
      </c>
    </row>
    <row r="547" spans="1:9" x14ac:dyDescent="0.3">
      <c r="A547" s="1">
        <v>21123</v>
      </c>
      <c r="B547" t="s">
        <v>5596</v>
      </c>
      <c r="C547" s="1">
        <v>1.25</v>
      </c>
      <c r="D547" s="1">
        <v>89.5</v>
      </c>
      <c r="E547" s="2">
        <v>105.80769230769199</v>
      </c>
      <c r="F547" s="1">
        <v>25</v>
      </c>
      <c r="G547" s="1">
        <v>3393.06</v>
      </c>
      <c r="H547" s="1" t="s">
        <v>10</v>
      </c>
      <c r="I547" t="str">
        <f t="shared" si="8"/>
        <v>SET/10 IVORY SPOTTY PARTY CANDLES [21123]</v>
      </c>
    </row>
    <row r="548" spans="1:9" x14ac:dyDescent="0.3">
      <c r="A548" s="1">
        <v>21124</v>
      </c>
      <c r="B548" t="s">
        <v>5595</v>
      </c>
      <c r="C548" s="1">
        <v>1.25</v>
      </c>
      <c r="D548" s="1">
        <v>366.5</v>
      </c>
      <c r="E548" s="2">
        <v>358.17857142857099</v>
      </c>
      <c r="F548" s="1">
        <v>25</v>
      </c>
      <c r="G548" s="2">
        <v>12172.789999999901</v>
      </c>
      <c r="H548" s="1" t="s">
        <v>10</v>
      </c>
      <c r="I548" t="str">
        <f t="shared" si="8"/>
        <v>SET/10 BLUE SPOTTY PARTY CANDLES [21124]</v>
      </c>
    </row>
    <row r="549" spans="1:9" x14ac:dyDescent="0.3">
      <c r="A549" s="1">
        <v>21125</v>
      </c>
      <c r="B549" t="s">
        <v>5594</v>
      </c>
      <c r="C549" s="1">
        <v>1.25</v>
      </c>
      <c r="D549" s="1">
        <v>67</v>
      </c>
      <c r="E549" s="1">
        <v>84.92</v>
      </c>
      <c r="F549" s="1">
        <v>25</v>
      </c>
      <c r="G549" s="1">
        <v>2211.38</v>
      </c>
      <c r="H549" s="1" t="s">
        <v>10</v>
      </c>
      <c r="I549" t="str">
        <f t="shared" si="8"/>
        <v>SET 6 FOOTBALL CELEBRATION CANDLES [21125]</v>
      </c>
    </row>
    <row r="550" spans="1:9" x14ac:dyDescent="0.3">
      <c r="A550" s="1">
        <v>21126</v>
      </c>
      <c r="B550" t="s">
        <v>5593</v>
      </c>
      <c r="C550" s="1">
        <v>1.26</v>
      </c>
      <c r="D550" s="1">
        <v>70</v>
      </c>
      <c r="E550" s="1">
        <v>93</v>
      </c>
      <c r="F550" s="1">
        <v>25</v>
      </c>
      <c r="G550" s="1">
        <v>2349.2199999999998</v>
      </c>
      <c r="H550" s="1" t="s">
        <v>10</v>
      </c>
      <c r="I550" t="str">
        <f t="shared" si="8"/>
        <v>SET OF 6 GIRLS CELEBRATION CANDLES [21126]</v>
      </c>
    </row>
    <row r="551" spans="1:9" x14ac:dyDescent="0.3">
      <c r="A551" s="1">
        <v>21127</v>
      </c>
      <c r="B551" t="s">
        <v>5592</v>
      </c>
      <c r="C551" s="2">
        <v>6.8149999999999897</v>
      </c>
      <c r="D551" s="1">
        <v>11.5</v>
      </c>
      <c r="E551" s="2">
        <v>16.6666666666666</v>
      </c>
      <c r="F551" s="1">
        <v>6</v>
      </c>
      <c r="G551" s="1">
        <v>646.30999999999995</v>
      </c>
      <c r="H551" s="1" t="s">
        <v>9</v>
      </c>
      <c r="I551" t="str">
        <f t="shared" si="8"/>
        <v>COLOURFUL FISHING GNOME [21127]</v>
      </c>
    </row>
    <row r="552" spans="1:9" x14ac:dyDescent="0.3">
      <c r="A552" s="1">
        <v>21128</v>
      </c>
      <c r="B552" t="s">
        <v>5591</v>
      </c>
      <c r="C552" s="1">
        <v>8.8699999999999992</v>
      </c>
      <c r="D552" s="1">
        <v>3</v>
      </c>
      <c r="E552" s="2">
        <v>5.13043478260869</v>
      </c>
      <c r="F552" s="1">
        <v>23</v>
      </c>
      <c r="G552" s="1">
        <v>826.03</v>
      </c>
      <c r="H552" s="1" t="s">
        <v>8</v>
      </c>
      <c r="I552" t="str">
        <f t="shared" si="8"/>
        <v>GOLD FISHING GNOME [21128]</v>
      </c>
    </row>
    <row r="553" spans="1:9" x14ac:dyDescent="0.3">
      <c r="A553" s="1">
        <v>21129</v>
      </c>
      <c r="B553" t="s">
        <v>5590</v>
      </c>
      <c r="C553" s="1">
        <v>8.0500000000000007</v>
      </c>
      <c r="D553" s="1">
        <v>4</v>
      </c>
      <c r="E553" s="2">
        <v>5.9047619047618998</v>
      </c>
      <c r="F553" s="1">
        <v>21</v>
      </c>
      <c r="G553" s="1">
        <v>949.44</v>
      </c>
      <c r="H553" s="1" t="s">
        <v>8</v>
      </c>
      <c r="I553" t="str">
        <f t="shared" si="8"/>
        <v>SILVER FISHING GNOME [21129]</v>
      </c>
    </row>
    <row r="554" spans="1:9" x14ac:dyDescent="0.3">
      <c r="A554" s="1">
        <v>21130</v>
      </c>
      <c r="B554" t="s">
        <v>5589</v>
      </c>
      <c r="C554" s="1">
        <v>3.45</v>
      </c>
      <c r="D554" s="1">
        <v>39</v>
      </c>
      <c r="E554" s="1">
        <v>103</v>
      </c>
      <c r="F554" s="1">
        <v>7</v>
      </c>
      <c r="G554" s="1">
        <v>1200.93</v>
      </c>
      <c r="H554" s="1" t="s">
        <v>9</v>
      </c>
      <c r="I554" t="str">
        <f t="shared" si="8"/>
        <v>COLOURFUL STANDING GNOME [21130]</v>
      </c>
    </row>
    <row r="555" spans="1:9" x14ac:dyDescent="0.3">
      <c r="A555" s="1">
        <v>21131</v>
      </c>
      <c r="B555" t="s">
        <v>5588</v>
      </c>
      <c r="C555" s="2">
        <v>5.0749999999999904</v>
      </c>
      <c r="D555" s="1">
        <v>5</v>
      </c>
      <c r="E555" s="1">
        <v>12.3</v>
      </c>
      <c r="F555" s="1">
        <v>20</v>
      </c>
      <c r="G555" s="1">
        <v>1061.3599999999999</v>
      </c>
      <c r="H555" s="1" t="s">
        <v>8</v>
      </c>
      <c r="I555" t="str">
        <f t="shared" si="8"/>
        <v>GOLD STANDING GNOME [21131]</v>
      </c>
    </row>
    <row r="556" spans="1:9" x14ac:dyDescent="0.3">
      <c r="A556" s="1">
        <v>21132</v>
      </c>
      <c r="B556" t="s">
        <v>5587</v>
      </c>
      <c r="C556" s="1">
        <v>5.0549999999999997</v>
      </c>
      <c r="D556" s="1">
        <v>4</v>
      </c>
      <c r="E556" s="1">
        <v>4.55</v>
      </c>
      <c r="F556" s="1">
        <v>20</v>
      </c>
      <c r="G556" s="1">
        <v>474.11</v>
      </c>
      <c r="H556" s="1" t="s">
        <v>8</v>
      </c>
      <c r="I556" t="str">
        <f t="shared" si="8"/>
        <v>SILVER STANDING GNOME [21132]</v>
      </c>
    </row>
    <row r="557" spans="1:9" x14ac:dyDescent="0.3">
      <c r="A557" s="1">
        <v>21133</v>
      </c>
      <c r="B557" t="s">
        <v>5586</v>
      </c>
      <c r="C557" s="1">
        <v>1.69</v>
      </c>
      <c r="D557" s="1">
        <v>12</v>
      </c>
      <c r="E557" s="2">
        <v>45.5555555555555</v>
      </c>
      <c r="F557" s="1">
        <v>9</v>
      </c>
      <c r="G557" s="2">
        <v>712.91</v>
      </c>
      <c r="H557" s="1" t="s">
        <v>9</v>
      </c>
      <c r="I557" t="str">
        <f t="shared" si="8"/>
        <v>PAINTED BIRD ASSORTED CHRISTMAS [21133]</v>
      </c>
    </row>
    <row r="558" spans="1:9" x14ac:dyDescent="0.3">
      <c r="A558" s="1">
        <v>21134</v>
      </c>
      <c r="B558" t="s">
        <v>5585</v>
      </c>
      <c r="C558" s="1">
        <v>1.65</v>
      </c>
      <c r="D558" s="1">
        <v>8</v>
      </c>
      <c r="E558" s="2">
        <v>34.272727272727202</v>
      </c>
      <c r="F558" s="1">
        <v>11</v>
      </c>
      <c r="G558" s="2">
        <v>646.43999999999903</v>
      </c>
      <c r="H558" s="1" t="s">
        <v>8</v>
      </c>
      <c r="I558" t="str">
        <f t="shared" si="8"/>
        <v>VICTORIAN METAL POSTCARD CHRISTMAS [21134]</v>
      </c>
    </row>
    <row r="559" spans="1:9" x14ac:dyDescent="0.3">
      <c r="A559" s="1">
        <v>21135</v>
      </c>
      <c r="B559" t="s">
        <v>5584</v>
      </c>
      <c r="C559" s="1">
        <v>1.69</v>
      </c>
      <c r="D559" s="1">
        <v>175</v>
      </c>
      <c r="E559" s="1">
        <v>239.4</v>
      </c>
      <c r="F559" s="1">
        <v>25</v>
      </c>
      <c r="G559" s="1">
        <v>8567.24</v>
      </c>
      <c r="H559" s="1" t="s">
        <v>10</v>
      </c>
      <c r="I559" t="str">
        <f t="shared" si="8"/>
        <v>VICTORIAN  METAL POSTCARD SPRING [21135]</v>
      </c>
    </row>
    <row r="560" spans="1:9" x14ac:dyDescent="0.3">
      <c r="A560" s="1">
        <v>21136</v>
      </c>
      <c r="B560" t="s">
        <v>5583</v>
      </c>
      <c r="C560" s="1">
        <v>1.69</v>
      </c>
      <c r="D560" s="1">
        <v>389</v>
      </c>
      <c r="E560" s="1">
        <v>419.84</v>
      </c>
      <c r="F560" s="1">
        <v>25</v>
      </c>
      <c r="G560" s="1">
        <v>17451.45</v>
      </c>
      <c r="H560" s="1" t="s">
        <v>10</v>
      </c>
      <c r="I560" t="str">
        <f t="shared" si="8"/>
        <v>PAINTED METAL PEARS ASSORTED [21136]</v>
      </c>
    </row>
    <row r="561" spans="1:9" x14ac:dyDescent="0.3">
      <c r="A561" s="1">
        <v>21137</v>
      </c>
      <c r="B561" t="s">
        <v>5582</v>
      </c>
      <c r="C561" s="1">
        <v>3.47</v>
      </c>
      <c r="D561" s="1">
        <v>529</v>
      </c>
      <c r="E561" s="1">
        <v>749.56</v>
      </c>
      <c r="F561" s="1">
        <v>25</v>
      </c>
      <c r="G561" s="1">
        <v>65189.29</v>
      </c>
      <c r="H561" s="1" t="s">
        <v>10</v>
      </c>
      <c r="I561" t="str">
        <f t="shared" si="8"/>
        <v>BLACK RECORD COVER FRAME [21137]</v>
      </c>
    </row>
    <row r="562" spans="1:9" x14ac:dyDescent="0.3">
      <c r="A562" s="1">
        <v>21143</v>
      </c>
      <c r="B562" t="s">
        <v>5581</v>
      </c>
      <c r="C562" s="1">
        <v>1.95</v>
      </c>
      <c r="D562" s="1">
        <v>16</v>
      </c>
      <c r="E562" s="1">
        <v>139.19999999999999</v>
      </c>
      <c r="F562" s="1">
        <v>15</v>
      </c>
      <c r="G562" s="1">
        <v>4149.1499999999996</v>
      </c>
      <c r="H562" s="1" t="s">
        <v>9</v>
      </c>
      <c r="I562" t="str">
        <f t="shared" si="8"/>
        <v>ANTIQUE GLASS HEART DECORATION [21143]</v>
      </c>
    </row>
    <row r="563" spans="1:9" x14ac:dyDescent="0.3">
      <c r="A563" s="1">
        <v>21144</v>
      </c>
      <c r="B563" t="s">
        <v>5580</v>
      </c>
      <c r="C563" s="1">
        <v>0.42</v>
      </c>
      <c r="D563" s="1">
        <v>44</v>
      </c>
      <c r="E563" s="2">
        <v>59.5555555555555</v>
      </c>
      <c r="F563" s="1">
        <v>9</v>
      </c>
      <c r="G563" s="1">
        <v>266.93</v>
      </c>
      <c r="H563" s="1" t="s">
        <v>9</v>
      </c>
      <c r="I563" t="str">
        <f t="shared" si="8"/>
        <v>PINK POODLE HANGING DECORATION [21144]</v>
      </c>
    </row>
    <row r="564" spans="1:9" x14ac:dyDescent="0.3">
      <c r="A564" s="1">
        <v>21145</v>
      </c>
      <c r="B564" t="s">
        <v>5579</v>
      </c>
      <c r="C564" s="1">
        <v>1.25</v>
      </c>
      <c r="D564" s="1">
        <v>36</v>
      </c>
      <c r="E564" s="2">
        <v>65.923076923076906</v>
      </c>
      <c r="F564" s="1">
        <v>13</v>
      </c>
      <c r="G564" s="1">
        <v>1096.23</v>
      </c>
      <c r="H564" s="1" t="s">
        <v>9</v>
      </c>
      <c r="I564" t="str">
        <f t="shared" si="8"/>
        <v>ANTIQUE GLASS PLACE SETTING [21145]</v>
      </c>
    </row>
    <row r="565" spans="1:9" x14ac:dyDescent="0.3">
      <c r="A565" s="1">
        <v>21146</v>
      </c>
      <c r="B565" t="s">
        <v>5578</v>
      </c>
      <c r="C565" s="1">
        <v>1.95</v>
      </c>
      <c r="D565" s="1">
        <v>113</v>
      </c>
      <c r="E565" s="1">
        <v>131.5</v>
      </c>
      <c r="F565" s="1">
        <v>6</v>
      </c>
      <c r="G565" s="1">
        <v>1513.67</v>
      </c>
      <c r="H565" s="1" t="s">
        <v>10</v>
      </c>
      <c r="I565" t="str">
        <f t="shared" si="8"/>
        <v>ANTIQUE GLASS RIDGED HANGING BALL [21146]</v>
      </c>
    </row>
    <row r="566" spans="1:9" x14ac:dyDescent="0.3">
      <c r="A566" s="1">
        <v>21147</v>
      </c>
      <c r="B566" t="s">
        <v>5577</v>
      </c>
      <c r="C566" s="1">
        <v>2.34</v>
      </c>
      <c r="D566" s="1">
        <v>10.5</v>
      </c>
      <c r="E566" s="1">
        <v>29.8125</v>
      </c>
      <c r="F566" s="1">
        <v>16</v>
      </c>
      <c r="G566" s="1">
        <v>870.48</v>
      </c>
      <c r="H566" s="1" t="s">
        <v>9</v>
      </c>
      <c r="I566" t="str">
        <f t="shared" si="8"/>
        <v>JINGLE BELLS TREE DECORATION [21147]</v>
      </c>
    </row>
    <row r="567" spans="1:9" x14ac:dyDescent="0.3">
      <c r="A567" s="1">
        <v>21153</v>
      </c>
      <c r="B567" t="s">
        <v>5576</v>
      </c>
      <c r="C567" s="1">
        <v>10.885</v>
      </c>
      <c r="D567" s="1">
        <v>34.5</v>
      </c>
      <c r="E567" s="1">
        <v>39.299999999999997</v>
      </c>
      <c r="F567" s="1">
        <v>10</v>
      </c>
      <c r="G567" s="2">
        <v>4294.6899999999996</v>
      </c>
      <c r="H567" s="1" t="s">
        <v>9</v>
      </c>
      <c r="I567" t="str">
        <f t="shared" si="8"/>
        <v>RED SPOTTY TABLECLOTH [21153]</v>
      </c>
    </row>
    <row r="568" spans="1:9" x14ac:dyDescent="0.3">
      <c r="A568" s="1">
        <v>21154</v>
      </c>
      <c r="B568" t="s">
        <v>5575</v>
      </c>
      <c r="C568" s="1">
        <v>1.36</v>
      </c>
      <c r="D568" s="1">
        <v>306</v>
      </c>
      <c r="E568" s="2">
        <v>299.81481481481399</v>
      </c>
      <c r="F568" s="1">
        <v>25</v>
      </c>
      <c r="G568" s="1">
        <v>11694.95</v>
      </c>
      <c r="H568" s="1" t="s">
        <v>10</v>
      </c>
      <c r="I568" t="str">
        <f t="shared" si="8"/>
        <v>RED SPOTTY OVEN GLOVE [21154]</v>
      </c>
    </row>
    <row r="569" spans="1:9" x14ac:dyDescent="0.3">
      <c r="A569" s="1">
        <v>21155</v>
      </c>
      <c r="B569" t="s">
        <v>5574</v>
      </c>
      <c r="C569" s="1">
        <v>2.25</v>
      </c>
      <c r="D569" s="1">
        <v>212</v>
      </c>
      <c r="E569" s="2">
        <v>246.85185185185099</v>
      </c>
      <c r="F569" s="1">
        <v>24</v>
      </c>
      <c r="G569" s="1">
        <v>16343.09</v>
      </c>
      <c r="H569" s="1" t="s">
        <v>10</v>
      </c>
      <c r="I569" t="str">
        <f t="shared" si="8"/>
        <v>RED SPOTTY PEG BAG [21155]</v>
      </c>
    </row>
    <row r="570" spans="1:9" x14ac:dyDescent="0.3">
      <c r="A570" s="1">
        <v>21156</v>
      </c>
      <c r="B570" t="s">
        <v>5573</v>
      </c>
      <c r="C570" s="1">
        <v>1.9</v>
      </c>
      <c r="D570" s="1">
        <v>284.5</v>
      </c>
      <c r="E570" s="2">
        <v>351.423076923076</v>
      </c>
      <c r="F570" s="1">
        <v>25</v>
      </c>
      <c r="G570" s="1">
        <v>17002.28</v>
      </c>
      <c r="H570" s="1" t="s">
        <v>10</v>
      </c>
      <c r="I570" t="str">
        <f t="shared" si="8"/>
        <v>RED SPOTTY CHILDS APRON [21156]</v>
      </c>
    </row>
    <row r="571" spans="1:9" x14ac:dyDescent="0.3">
      <c r="A571" s="1">
        <v>21157</v>
      </c>
      <c r="B571" t="s">
        <v>5572</v>
      </c>
      <c r="C571" s="1">
        <v>2.27</v>
      </c>
      <c r="D571" s="1">
        <v>24</v>
      </c>
      <c r="E571" s="2">
        <v>32.809523809523803</v>
      </c>
      <c r="F571" s="1">
        <v>20</v>
      </c>
      <c r="G571" s="1">
        <v>1616.95</v>
      </c>
      <c r="H571" s="1" t="s">
        <v>9</v>
      </c>
      <c r="I571" t="str">
        <f t="shared" si="8"/>
        <v>RED SPOTTY WASHBAG [21157]</v>
      </c>
    </row>
    <row r="572" spans="1:9" x14ac:dyDescent="0.3">
      <c r="A572" s="1">
        <v>21158</v>
      </c>
      <c r="B572" t="s">
        <v>5571</v>
      </c>
      <c r="C572" s="1">
        <v>1.45</v>
      </c>
      <c r="D572" s="1">
        <v>40</v>
      </c>
      <c r="E572" s="2">
        <v>90.521739130434696</v>
      </c>
      <c r="F572" s="1">
        <v>23</v>
      </c>
      <c r="G572" s="1">
        <v>1592.81</v>
      </c>
      <c r="H572" s="1" t="s">
        <v>9</v>
      </c>
      <c r="I572" t="str">
        <f t="shared" si="8"/>
        <v>MOODY GIRL DOOR HANGER [21158]</v>
      </c>
    </row>
    <row r="573" spans="1:9" x14ac:dyDescent="0.3">
      <c r="A573" s="1">
        <v>21159</v>
      </c>
      <c r="B573" t="s">
        <v>5570</v>
      </c>
      <c r="C573" s="1">
        <v>1.45</v>
      </c>
      <c r="D573" s="1">
        <v>25</v>
      </c>
      <c r="E573" s="2">
        <v>66.227272727272705</v>
      </c>
      <c r="F573" s="1">
        <v>22</v>
      </c>
      <c r="G573" s="1">
        <v>1189.75</v>
      </c>
      <c r="H573" s="1" t="s">
        <v>9</v>
      </c>
      <c r="I573" t="str">
        <f t="shared" si="8"/>
        <v>MOODY BOY  DOOR HANGER [21159]</v>
      </c>
    </row>
    <row r="574" spans="1:9" x14ac:dyDescent="0.3">
      <c r="A574" s="1">
        <v>21160</v>
      </c>
      <c r="B574" t="s">
        <v>5569</v>
      </c>
      <c r="C574" s="1">
        <v>1.45</v>
      </c>
      <c r="D574" s="1">
        <v>34</v>
      </c>
      <c r="E574" s="2">
        <v>88.1111111111111</v>
      </c>
      <c r="F574" s="1">
        <v>9</v>
      </c>
      <c r="G574" s="1">
        <v>554.13</v>
      </c>
      <c r="H574" s="1" t="s">
        <v>9</v>
      </c>
      <c r="I574" t="str">
        <f t="shared" si="8"/>
        <v>KEEP OUT GIRLS DOOR HANGER [21160]</v>
      </c>
    </row>
    <row r="575" spans="1:9" x14ac:dyDescent="0.3">
      <c r="A575" s="1">
        <v>21161</v>
      </c>
      <c r="B575" t="s">
        <v>5568</v>
      </c>
      <c r="C575" s="1">
        <v>1.45</v>
      </c>
      <c r="D575" s="1">
        <v>43</v>
      </c>
      <c r="E575" s="2">
        <v>124.210526315789</v>
      </c>
      <c r="F575" s="1">
        <v>19</v>
      </c>
      <c r="G575" s="1">
        <v>1806.05</v>
      </c>
      <c r="H575" s="1" t="s">
        <v>9</v>
      </c>
      <c r="I575" t="str">
        <f t="shared" si="8"/>
        <v>KEEP OUT BOYS DOOR HANGER [21161]</v>
      </c>
    </row>
    <row r="576" spans="1:9" x14ac:dyDescent="0.3">
      <c r="A576" s="1">
        <v>21162</v>
      </c>
      <c r="B576" t="s">
        <v>5567</v>
      </c>
      <c r="C576" s="1">
        <v>1.45</v>
      </c>
      <c r="D576" s="1">
        <v>49</v>
      </c>
      <c r="E576" s="2">
        <v>83.260869565217305</v>
      </c>
      <c r="F576" s="1">
        <v>23</v>
      </c>
      <c r="G576" s="1">
        <v>1465.95</v>
      </c>
      <c r="H576" s="1" t="s">
        <v>9</v>
      </c>
      <c r="I576" t="str">
        <f t="shared" si="8"/>
        <v>TOXIC AREA  DOOR HANGER [21162]</v>
      </c>
    </row>
    <row r="577" spans="1:9" x14ac:dyDescent="0.3">
      <c r="A577" s="1">
        <v>21163</v>
      </c>
      <c r="B577" t="s">
        <v>5566</v>
      </c>
      <c r="C577" s="1">
        <v>1.45</v>
      </c>
      <c r="D577" s="1">
        <v>34</v>
      </c>
      <c r="E577" s="2">
        <v>108.76190476190401</v>
      </c>
      <c r="F577" s="1">
        <v>21</v>
      </c>
      <c r="G577" s="1">
        <v>1553.78</v>
      </c>
      <c r="H577" s="1" t="s">
        <v>9</v>
      </c>
      <c r="I577" t="str">
        <f t="shared" si="8"/>
        <v>DO NOT TOUCH MY STUFF DOOR HANGER [21163]</v>
      </c>
    </row>
    <row r="578" spans="1:9" x14ac:dyDescent="0.3">
      <c r="A578" s="1">
        <v>21164</v>
      </c>
      <c r="B578" t="s">
        <v>5565</v>
      </c>
      <c r="C578" s="1">
        <v>2.96</v>
      </c>
      <c r="D578" s="1">
        <v>185</v>
      </c>
      <c r="E578" s="1">
        <v>239.24</v>
      </c>
      <c r="F578" s="1">
        <v>25</v>
      </c>
      <c r="G578" s="1">
        <v>16626.41</v>
      </c>
      <c r="H578" s="1" t="s">
        <v>10</v>
      </c>
      <c r="I578" t="str">
        <f t="shared" si="8"/>
        <v>HOME SWEET HOME METAL SIGN [21164]</v>
      </c>
    </row>
    <row r="579" spans="1:9" x14ac:dyDescent="0.3">
      <c r="A579" s="1">
        <v>21165</v>
      </c>
      <c r="B579" t="s">
        <v>5564</v>
      </c>
      <c r="C579" s="1">
        <v>1.65</v>
      </c>
      <c r="D579" s="1">
        <v>350</v>
      </c>
      <c r="E579" s="1">
        <v>374.4</v>
      </c>
      <c r="F579" s="1">
        <v>25</v>
      </c>
      <c r="G579" s="2">
        <v>15167.38</v>
      </c>
      <c r="H579" s="1" t="s">
        <v>10</v>
      </c>
      <c r="I579" t="str">
        <f t="shared" ref="I579:I642" si="9">B579&amp;" ["&amp;A579&amp;"]"</f>
        <v>BEWARE OF THE CAT METAL SIGN [21165]</v>
      </c>
    </row>
    <row r="580" spans="1:9" x14ac:dyDescent="0.3">
      <c r="A580" s="1">
        <v>21166</v>
      </c>
      <c r="B580" t="s">
        <v>5563</v>
      </c>
      <c r="C580" s="1">
        <v>1.95</v>
      </c>
      <c r="D580" s="1">
        <v>750</v>
      </c>
      <c r="E580" s="1">
        <v>797.28</v>
      </c>
      <c r="F580" s="1">
        <v>25</v>
      </c>
      <c r="G580" s="1">
        <v>38138.86</v>
      </c>
      <c r="H580" s="1" t="s">
        <v>10</v>
      </c>
      <c r="I580" t="str">
        <f t="shared" si="9"/>
        <v>COOK WITH WINE METAL SIGN [21166]</v>
      </c>
    </row>
    <row r="581" spans="1:9" x14ac:dyDescent="0.3">
      <c r="A581" s="1">
        <v>21167</v>
      </c>
      <c r="B581" t="s">
        <v>5562</v>
      </c>
      <c r="C581" s="1">
        <v>0.23</v>
      </c>
      <c r="D581" s="1">
        <v>79</v>
      </c>
      <c r="E581" s="1">
        <v>97.6</v>
      </c>
      <c r="F581" s="1">
        <v>25</v>
      </c>
      <c r="G581" s="1">
        <v>587.52</v>
      </c>
      <c r="H581" s="1" t="s">
        <v>10</v>
      </c>
      <c r="I581" t="str">
        <f t="shared" si="9"/>
        <v>WHITE SAGE INCENSE [21167]</v>
      </c>
    </row>
    <row r="582" spans="1:9" x14ac:dyDescent="0.3">
      <c r="A582" s="1">
        <v>21169</v>
      </c>
      <c r="B582" t="s">
        <v>5561</v>
      </c>
      <c r="C582" s="1">
        <v>1.65</v>
      </c>
      <c r="D582" s="1">
        <v>394</v>
      </c>
      <c r="E582" s="1">
        <v>385</v>
      </c>
      <c r="F582" s="1">
        <v>23</v>
      </c>
      <c r="G582" s="1">
        <v>14258.31</v>
      </c>
      <c r="H582" s="1" t="s">
        <v>10</v>
      </c>
      <c r="I582" t="str">
        <f t="shared" si="9"/>
        <v>YOU'RE CONFUSING ME METAL SIGN [21169]</v>
      </c>
    </row>
    <row r="583" spans="1:9" x14ac:dyDescent="0.3">
      <c r="A583" s="1">
        <v>21171</v>
      </c>
      <c r="B583" t="s">
        <v>2289</v>
      </c>
      <c r="C583" s="1">
        <v>1.48</v>
      </c>
      <c r="D583" s="1">
        <v>48</v>
      </c>
      <c r="E583" s="2">
        <v>87.857142857142804</v>
      </c>
      <c r="F583" s="1">
        <v>21</v>
      </c>
      <c r="G583" s="1">
        <v>2578.27</v>
      </c>
      <c r="H583" s="1" t="s">
        <v>9</v>
      </c>
      <c r="I583" t="str">
        <f t="shared" si="9"/>
        <v>BATHROOM METAL SIGN [21171]</v>
      </c>
    </row>
    <row r="584" spans="1:9" x14ac:dyDescent="0.3">
      <c r="A584" s="1">
        <v>21172</v>
      </c>
      <c r="B584" t="s">
        <v>5560</v>
      </c>
      <c r="C584" s="1">
        <v>1.49</v>
      </c>
      <c r="D584" s="1">
        <v>351</v>
      </c>
      <c r="E584" s="2">
        <v>334.04347826086899</v>
      </c>
      <c r="F584" s="1">
        <v>23</v>
      </c>
      <c r="G584" s="1">
        <v>11373.9</v>
      </c>
      <c r="H584" s="1" t="s">
        <v>10</v>
      </c>
      <c r="I584" t="str">
        <f t="shared" si="9"/>
        <v>PARTY METAL SIGN [21172]</v>
      </c>
    </row>
    <row r="585" spans="1:9" x14ac:dyDescent="0.3">
      <c r="A585" s="1">
        <v>21173</v>
      </c>
      <c r="B585" t="s">
        <v>5559</v>
      </c>
      <c r="C585" s="1">
        <v>1.75</v>
      </c>
      <c r="D585" s="1">
        <v>65</v>
      </c>
      <c r="E585" s="1">
        <v>68</v>
      </c>
      <c r="F585" s="1">
        <v>5</v>
      </c>
      <c r="G585" s="1">
        <v>607.96</v>
      </c>
      <c r="H585" s="1" t="s">
        <v>10</v>
      </c>
      <c r="I585" t="str">
        <f t="shared" si="9"/>
        <v>LOO ROLL  METAL SIGN [21173]</v>
      </c>
    </row>
    <row r="586" spans="1:9" x14ac:dyDescent="0.3">
      <c r="A586" s="1">
        <v>21174</v>
      </c>
      <c r="B586" t="s">
        <v>5558</v>
      </c>
      <c r="C586" s="1">
        <v>2.12</v>
      </c>
      <c r="D586" s="1">
        <v>332</v>
      </c>
      <c r="E586" s="1">
        <v>387.84</v>
      </c>
      <c r="F586" s="1">
        <v>25</v>
      </c>
      <c r="G586" s="1">
        <v>19593.810000000001</v>
      </c>
      <c r="H586" s="1" t="s">
        <v>10</v>
      </c>
      <c r="I586" t="str">
        <f t="shared" si="9"/>
        <v>POTTERING IN THE SHED METAL SIGN [21174]</v>
      </c>
    </row>
    <row r="587" spans="1:9" x14ac:dyDescent="0.3">
      <c r="A587" s="1">
        <v>21175</v>
      </c>
      <c r="B587" t="s">
        <v>5557</v>
      </c>
      <c r="C587" s="1">
        <v>2.105</v>
      </c>
      <c r="D587" s="1">
        <v>662</v>
      </c>
      <c r="E587" s="2">
        <v>795.23076923076906</v>
      </c>
      <c r="F587" s="1">
        <v>25</v>
      </c>
      <c r="G587" s="1">
        <v>43851.48</v>
      </c>
      <c r="H587" s="1" t="s">
        <v>10</v>
      </c>
      <c r="I587" t="str">
        <f t="shared" si="9"/>
        <v>GIN + TONIC DIET METAL SIGN [21175]</v>
      </c>
    </row>
    <row r="588" spans="1:9" x14ac:dyDescent="0.3">
      <c r="A588" s="1">
        <v>21179</v>
      </c>
      <c r="B588" t="s">
        <v>5556</v>
      </c>
      <c r="C588" s="1">
        <v>1.2749999999999999</v>
      </c>
      <c r="D588" s="1">
        <v>112.5</v>
      </c>
      <c r="E588" s="2">
        <v>194.72727272727201</v>
      </c>
      <c r="F588" s="1">
        <v>22</v>
      </c>
      <c r="G588" s="1">
        <v>3517.9</v>
      </c>
      <c r="H588" s="1" t="s">
        <v>10</v>
      </c>
      <c r="I588" t="str">
        <f t="shared" si="9"/>
        <v>NO JUNK MAIL METAL SIGN [21179]</v>
      </c>
    </row>
    <row r="589" spans="1:9" x14ac:dyDescent="0.3">
      <c r="A589" s="1">
        <v>21181</v>
      </c>
      <c r="B589" t="s">
        <v>5555</v>
      </c>
      <c r="C589" s="1">
        <v>2.08</v>
      </c>
      <c r="D589" s="1">
        <v>963</v>
      </c>
      <c r="E589" s="2">
        <v>951.23076923076906</v>
      </c>
      <c r="F589" s="1">
        <v>22</v>
      </c>
      <c r="G589" s="1">
        <v>50117.14</v>
      </c>
      <c r="H589" s="1" t="s">
        <v>10</v>
      </c>
      <c r="I589" t="str">
        <f t="shared" si="9"/>
        <v>PLEASE ONE PERSON  METAL SIGN [21181]</v>
      </c>
    </row>
    <row r="590" spans="1:9" x14ac:dyDescent="0.3">
      <c r="A590" s="1">
        <v>21185</v>
      </c>
      <c r="B590" t="s">
        <v>5554</v>
      </c>
      <c r="C590" s="1">
        <v>6.35</v>
      </c>
      <c r="D590" s="1">
        <v>3</v>
      </c>
      <c r="E590" s="2">
        <v>18.857142857142801</v>
      </c>
      <c r="F590" s="1">
        <v>6</v>
      </c>
      <c r="G590" s="1">
        <v>876.29</v>
      </c>
      <c r="H590" s="1" t="s">
        <v>8</v>
      </c>
      <c r="I590" t="str">
        <f t="shared" si="9"/>
        <v>HOME SWEET HOME  BLACKBOARD [21185]</v>
      </c>
    </row>
    <row r="591" spans="1:9" x14ac:dyDescent="0.3">
      <c r="A591" s="1">
        <v>21186</v>
      </c>
      <c r="B591" t="s">
        <v>5553</v>
      </c>
      <c r="C591" s="1">
        <v>1.64</v>
      </c>
      <c r="D591" s="1">
        <v>341</v>
      </c>
      <c r="E591" s="2">
        <v>405.53846153846098</v>
      </c>
      <c r="F591" s="1">
        <v>13</v>
      </c>
      <c r="G591" s="1">
        <v>8532.17</v>
      </c>
      <c r="H591" s="1" t="s">
        <v>10</v>
      </c>
      <c r="I591" t="str">
        <f t="shared" si="9"/>
        <v>WHITE DOVE HONEYCOMB PAPER GARLAND [21186]</v>
      </c>
    </row>
    <row r="592" spans="1:9" x14ac:dyDescent="0.3">
      <c r="A592" s="1">
        <v>21187</v>
      </c>
      <c r="B592" t="s">
        <v>5552</v>
      </c>
      <c r="C592" s="1">
        <v>1.68</v>
      </c>
      <c r="D592" s="1">
        <v>32.5</v>
      </c>
      <c r="E592" s="1">
        <v>67.2</v>
      </c>
      <c r="F592" s="1">
        <v>20</v>
      </c>
      <c r="G592" s="1">
        <v>2243.7800000000002</v>
      </c>
      <c r="H592" s="1" t="s">
        <v>9</v>
      </c>
      <c r="I592" t="str">
        <f t="shared" si="9"/>
        <v>WHITE BELL HONEYCOMB PAPER GARLAND [21187]</v>
      </c>
    </row>
    <row r="593" spans="1:9" x14ac:dyDescent="0.3">
      <c r="A593" s="1">
        <v>21188</v>
      </c>
      <c r="B593" t="s">
        <v>5551</v>
      </c>
      <c r="C593" s="1">
        <v>3.1</v>
      </c>
      <c r="D593" s="1">
        <v>39</v>
      </c>
      <c r="E593" s="2">
        <v>43.428571428571402</v>
      </c>
      <c r="F593" s="1">
        <v>21</v>
      </c>
      <c r="G593" s="1">
        <v>2771.34</v>
      </c>
      <c r="H593" s="1" t="s">
        <v>9</v>
      </c>
      <c r="I593" t="str">
        <f t="shared" si="9"/>
        <v>3D HEARTS  HONEYCOMB PAPER GARLAND [21188]</v>
      </c>
    </row>
    <row r="594" spans="1:9" x14ac:dyDescent="0.3">
      <c r="A594" s="1">
        <v>21189</v>
      </c>
      <c r="B594" t="s">
        <v>5550</v>
      </c>
      <c r="C594" s="1">
        <v>2.11</v>
      </c>
      <c r="D594" s="1">
        <v>17</v>
      </c>
      <c r="E594" s="1">
        <v>31.88</v>
      </c>
      <c r="F594" s="1">
        <v>25</v>
      </c>
      <c r="G594" s="1">
        <v>1698.88</v>
      </c>
      <c r="H594" s="1" t="s">
        <v>9</v>
      </c>
      <c r="I594" t="str">
        <f t="shared" si="9"/>
        <v>WHITE HONEYCOMB PAPER GARLAND [21189]</v>
      </c>
    </row>
    <row r="595" spans="1:9" x14ac:dyDescent="0.3">
      <c r="A595" s="1">
        <v>21190</v>
      </c>
      <c r="B595" t="s">
        <v>5549</v>
      </c>
      <c r="C595" s="1">
        <v>1.69</v>
      </c>
      <c r="D595" s="1">
        <v>46.5</v>
      </c>
      <c r="E595" s="1">
        <v>50.375</v>
      </c>
      <c r="F595" s="1">
        <v>16</v>
      </c>
      <c r="G595" s="1">
        <v>1337.59</v>
      </c>
      <c r="H595" s="1" t="s">
        <v>9</v>
      </c>
      <c r="I595" t="str">
        <f t="shared" si="9"/>
        <v>PINK HEARTS PAPER GARLAND [21190]</v>
      </c>
    </row>
    <row r="596" spans="1:9" x14ac:dyDescent="0.3">
      <c r="A596" s="1">
        <v>21191</v>
      </c>
      <c r="B596" t="s">
        <v>5548</v>
      </c>
      <c r="C596" s="1">
        <v>2.59</v>
      </c>
      <c r="D596" s="1">
        <v>20</v>
      </c>
      <c r="E596" s="1">
        <v>59.16</v>
      </c>
      <c r="F596" s="1">
        <v>25</v>
      </c>
      <c r="G596" s="1">
        <v>3408.61</v>
      </c>
      <c r="H596" s="1" t="s">
        <v>9</v>
      </c>
      <c r="I596" t="str">
        <f t="shared" si="9"/>
        <v>LARGE WHITE HONEYCOMB PAPER BELL [21191]</v>
      </c>
    </row>
    <row r="597" spans="1:9" x14ac:dyDescent="0.3">
      <c r="A597" s="1">
        <v>21192</v>
      </c>
      <c r="B597" t="s">
        <v>5547</v>
      </c>
      <c r="C597" s="1">
        <v>1.82</v>
      </c>
      <c r="D597" s="1">
        <v>29</v>
      </c>
      <c r="E597" s="2">
        <v>94.2173913043478</v>
      </c>
      <c r="F597" s="1">
        <v>23</v>
      </c>
      <c r="G597" s="1">
        <v>3885.64</v>
      </c>
      <c r="H597" s="1" t="s">
        <v>9</v>
      </c>
      <c r="I597" t="str">
        <f t="shared" si="9"/>
        <v>WHITE BELL HONEYCOMB PAPER [21192]</v>
      </c>
    </row>
    <row r="598" spans="1:9" x14ac:dyDescent="0.3">
      <c r="A598" s="1">
        <v>21193</v>
      </c>
      <c r="B598" t="s">
        <v>5546</v>
      </c>
      <c r="C598" s="1">
        <v>2.1</v>
      </c>
      <c r="D598" s="1">
        <v>14</v>
      </c>
      <c r="E598" s="1">
        <v>22.2</v>
      </c>
      <c r="F598" s="1">
        <v>5</v>
      </c>
      <c r="G598" s="1">
        <v>274.37</v>
      </c>
      <c r="H598" s="1" t="s">
        <v>9</v>
      </c>
      <c r="I598" t="str">
        <f t="shared" si="9"/>
        <v>WHITE HONEYCOMB PAPER FAN [21193]</v>
      </c>
    </row>
    <row r="599" spans="1:9" x14ac:dyDescent="0.3">
      <c r="A599" s="1">
        <v>21194</v>
      </c>
      <c r="B599" t="s">
        <v>5545</v>
      </c>
      <c r="C599" s="1">
        <v>2.1</v>
      </c>
      <c r="D599" s="1">
        <v>11.5</v>
      </c>
      <c r="E599" s="2">
        <v>24.0833333333333</v>
      </c>
      <c r="F599" s="1">
        <v>24</v>
      </c>
      <c r="G599" s="1">
        <v>751.5</v>
      </c>
      <c r="H599" s="1" t="s">
        <v>9</v>
      </c>
      <c r="I599" t="str">
        <f t="shared" si="9"/>
        <v>PINK  HONEYCOMB PAPER FAN [21194]</v>
      </c>
    </row>
    <row r="600" spans="1:9" x14ac:dyDescent="0.3">
      <c r="A600" s="1">
        <v>21195</v>
      </c>
      <c r="B600" t="s">
        <v>5544</v>
      </c>
      <c r="C600" s="2">
        <v>2.6549999999999998</v>
      </c>
      <c r="D600" s="1">
        <v>31.5</v>
      </c>
      <c r="E600" s="2">
        <v>55.3888888888888</v>
      </c>
      <c r="F600" s="1">
        <v>18</v>
      </c>
      <c r="G600" s="1">
        <v>2122.66</v>
      </c>
      <c r="H600" s="1" t="s">
        <v>9</v>
      </c>
      <c r="I600" t="str">
        <f t="shared" si="9"/>
        <v>PINK  HONEYCOMB PAPER BALL [21195]</v>
      </c>
    </row>
    <row r="601" spans="1:9" x14ac:dyDescent="0.3">
      <c r="A601" s="1">
        <v>21196</v>
      </c>
      <c r="B601" t="s">
        <v>5543</v>
      </c>
      <c r="C601" s="1">
        <v>1.65</v>
      </c>
      <c r="D601" s="1">
        <v>12</v>
      </c>
      <c r="E601" s="2">
        <v>10.4705882352941</v>
      </c>
      <c r="F601" s="1">
        <v>17</v>
      </c>
      <c r="G601" s="1">
        <v>306.89</v>
      </c>
      <c r="H601" s="1" t="s">
        <v>9</v>
      </c>
      <c r="I601" t="str">
        <f t="shared" si="9"/>
        <v>ROUND WHITE CONFETTI IN TUBE [21196]</v>
      </c>
    </row>
    <row r="602" spans="1:9" x14ac:dyDescent="0.3">
      <c r="A602" s="1">
        <v>21197</v>
      </c>
      <c r="B602" t="s">
        <v>5542</v>
      </c>
      <c r="C602" s="1">
        <v>1.65</v>
      </c>
      <c r="D602" s="1">
        <v>13.5</v>
      </c>
      <c r="E602" s="1">
        <v>22.65</v>
      </c>
      <c r="F602" s="1">
        <v>20</v>
      </c>
      <c r="G602" s="2">
        <v>661.81</v>
      </c>
      <c r="H602" s="1" t="s">
        <v>9</v>
      </c>
      <c r="I602" t="str">
        <f t="shared" si="9"/>
        <v>MULTICOLOUR  CONFETTI IN TUBE [21197]</v>
      </c>
    </row>
    <row r="603" spans="1:9" x14ac:dyDescent="0.3">
      <c r="A603" s="1">
        <v>21198</v>
      </c>
      <c r="B603" t="s">
        <v>5541</v>
      </c>
      <c r="C603" s="1">
        <v>1.65</v>
      </c>
      <c r="D603" s="1">
        <v>37</v>
      </c>
      <c r="E603" s="2">
        <v>49.4166666666666</v>
      </c>
      <c r="F603" s="1">
        <v>24</v>
      </c>
      <c r="G603" s="1">
        <v>1431.98</v>
      </c>
      <c r="H603" s="1" t="s">
        <v>9</v>
      </c>
      <c r="I603" t="str">
        <f t="shared" si="9"/>
        <v>WHITE HEART CONFETTI IN TUBE [21198]</v>
      </c>
    </row>
    <row r="604" spans="1:9" x14ac:dyDescent="0.3">
      <c r="A604" s="1">
        <v>21199</v>
      </c>
      <c r="B604" t="s">
        <v>5540</v>
      </c>
      <c r="C604" s="1">
        <v>1.6850000000000001</v>
      </c>
      <c r="D604" s="1">
        <v>35.5</v>
      </c>
      <c r="E604" s="1">
        <v>54.375</v>
      </c>
      <c r="F604" s="1">
        <v>24</v>
      </c>
      <c r="G604" s="1">
        <v>1495.7</v>
      </c>
      <c r="H604" s="1" t="s">
        <v>9</v>
      </c>
      <c r="I604" t="str">
        <f t="shared" si="9"/>
        <v>PINK  HEART CONFETTI IN TUBE [21199]</v>
      </c>
    </row>
    <row r="605" spans="1:9" x14ac:dyDescent="0.3">
      <c r="A605" s="1">
        <v>21200</v>
      </c>
      <c r="B605" t="s">
        <v>5539</v>
      </c>
      <c r="C605" s="1">
        <v>1.72</v>
      </c>
      <c r="D605" s="1">
        <v>18</v>
      </c>
      <c r="E605" s="1">
        <v>56.84</v>
      </c>
      <c r="F605" s="1">
        <v>25</v>
      </c>
      <c r="G605" s="1">
        <v>2065.16</v>
      </c>
      <c r="H605" s="1" t="s">
        <v>9</v>
      </c>
      <c r="I605" t="str">
        <f t="shared" si="9"/>
        <v>MULTICOLOUR HONEYCOMB PAPER GARLAND [21200]</v>
      </c>
    </row>
    <row r="606" spans="1:9" x14ac:dyDescent="0.3">
      <c r="A606" s="1">
        <v>21201</v>
      </c>
      <c r="B606" t="s">
        <v>5538</v>
      </c>
      <c r="C606" s="1">
        <v>2.42</v>
      </c>
      <c r="D606" s="1">
        <v>85</v>
      </c>
      <c r="E606" s="1">
        <v>109.64</v>
      </c>
      <c r="F606" s="1">
        <v>25</v>
      </c>
      <c r="G606" s="1">
        <v>6517.16</v>
      </c>
      <c r="H606" s="1" t="s">
        <v>10</v>
      </c>
      <c r="I606" t="str">
        <f t="shared" si="9"/>
        <v>TROPICAL  HONEYCOMB PAPER GARLAND [21201]</v>
      </c>
    </row>
    <row r="607" spans="1:9" x14ac:dyDescent="0.3">
      <c r="A607" s="1">
        <v>21202</v>
      </c>
      <c r="B607" t="s">
        <v>5537</v>
      </c>
      <c r="C607" s="1">
        <v>1.65</v>
      </c>
      <c r="D607" s="1">
        <v>14.5</v>
      </c>
      <c r="E607" s="2">
        <v>38.818181818181799</v>
      </c>
      <c r="F607" s="1">
        <v>22</v>
      </c>
      <c r="G607" s="1">
        <v>1103.48</v>
      </c>
      <c r="H607" s="1" t="s">
        <v>9</v>
      </c>
      <c r="I607" t="str">
        <f t="shared" si="9"/>
        <v>DOLLY HONEYCOMB GARLAND [21202]</v>
      </c>
    </row>
    <row r="608" spans="1:9" x14ac:dyDescent="0.3">
      <c r="A608" s="1">
        <v>21203</v>
      </c>
      <c r="B608" t="s">
        <v>5536</v>
      </c>
      <c r="C608" s="1">
        <v>1.74</v>
      </c>
      <c r="D608" s="1">
        <v>111</v>
      </c>
      <c r="E608" s="1">
        <v>171</v>
      </c>
      <c r="F608" s="1">
        <v>9</v>
      </c>
      <c r="G608" s="1">
        <v>2527</v>
      </c>
      <c r="H608" s="1" t="s">
        <v>10</v>
      </c>
      <c r="I608" t="str">
        <f t="shared" si="9"/>
        <v>BUTTERFLIES  HONEYCOMB GARLAND [21203]</v>
      </c>
    </row>
    <row r="609" spans="1:9" x14ac:dyDescent="0.3">
      <c r="A609" s="1">
        <v>21204</v>
      </c>
      <c r="B609" t="s">
        <v>5535</v>
      </c>
      <c r="C609" s="1">
        <v>1.74</v>
      </c>
      <c r="D609" s="1">
        <v>39</v>
      </c>
      <c r="E609" s="1">
        <v>64.319999999999993</v>
      </c>
      <c r="F609" s="1">
        <v>25</v>
      </c>
      <c r="G609" s="1">
        <v>2682.99</v>
      </c>
      <c r="H609" s="1" t="s">
        <v>9</v>
      </c>
      <c r="I609" t="str">
        <f t="shared" si="9"/>
        <v>DAISIES  HONEYCOMB GARLAND [21204]</v>
      </c>
    </row>
    <row r="610" spans="1:9" x14ac:dyDescent="0.3">
      <c r="A610" s="1">
        <v>21205</v>
      </c>
      <c r="B610" t="s">
        <v>5534</v>
      </c>
      <c r="C610" s="1">
        <v>2.5499999999999998</v>
      </c>
      <c r="D610" s="1">
        <v>19</v>
      </c>
      <c r="E610" s="1">
        <v>26.76</v>
      </c>
      <c r="F610" s="1">
        <v>25</v>
      </c>
      <c r="G610" s="1">
        <v>1746.97</v>
      </c>
      <c r="H610" s="1" t="s">
        <v>9</v>
      </c>
      <c r="I610" t="str">
        <f t="shared" si="9"/>
        <v>MULTICOLOUR 3D BALLS GARLAND [21205]</v>
      </c>
    </row>
    <row r="611" spans="1:9" x14ac:dyDescent="0.3">
      <c r="A611" s="1">
        <v>21206</v>
      </c>
      <c r="B611" t="s">
        <v>5533</v>
      </c>
      <c r="C611" s="1">
        <v>1.65</v>
      </c>
      <c r="D611" s="1">
        <v>67.5</v>
      </c>
      <c r="E611" s="2">
        <v>89.7916666666666</v>
      </c>
      <c r="F611" s="1">
        <v>24</v>
      </c>
      <c r="G611" s="1">
        <v>3067.9</v>
      </c>
      <c r="H611" s="1" t="s">
        <v>10</v>
      </c>
      <c r="I611" t="str">
        <f t="shared" si="9"/>
        <v>STRAWBERRY HONEYCOMB  GARLAND [21206]</v>
      </c>
    </row>
    <row r="612" spans="1:9" x14ac:dyDescent="0.3">
      <c r="A612" s="1">
        <v>21207</v>
      </c>
      <c r="B612" t="s">
        <v>5532</v>
      </c>
      <c r="C612" s="1">
        <v>1.62</v>
      </c>
      <c r="D612" s="1">
        <v>97</v>
      </c>
      <c r="E612" s="1">
        <v>144.04</v>
      </c>
      <c r="F612" s="1">
        <v>25</v>
      </c>
      <c r="G612" s="1">
        <v>5597.42</v>
      </c>
      <c r="H612" s="1" t="s">
        <v>10</v>
      </c>
      <c r="I612" t="str">
        <f t="shared" si="9"/>
        <v>SKULL AND CROSSBONES  GARLAND [21207]</v>
      </c>
    </row>
    <row r="613" spans="1:9" x14ac:dyDescent="0.3">
      <c r="A613" s="1">
        <v>21208</v>
      </c>
      <c r="B613" t="s">
        <v>5531</v>
      </c>
      <c r="C613" s="1">
        <v>2.2000000000000002</v>
      </c>
      <c r="D613" s="1">
        <v>10</v>
      </c>
      <c r="E613" s="2">
        <v>29.473684210526301</v>
      </c>
      <c r="F613" s="1">
        <v>19</v>
      </c>
      <c r="G613" s="2">
        <v>766.18999999999903</v>
      </c>
      <c r="H613" s="1" t="s">
        <v>8</v>
      </c>
      <c r="I613" t="str">
        <f t="shared" si="9"/>
        <v>PASTEL COLOUR HONEYCOMB FAN [21208]</v>
      </c>
    </row>
    <row r="614" spans="1:9" x14ac:dyDescent="0.3">
      <c r="A614" s="1">
        <v>21209</v>
      </c>
      <c r="B614" t="s">
        <v>5530</v>
      </c>
      <c r="C614" s="1">
        <v>1.8</v>
      </c>
      <c r="D614" s="1">
        <v>24</v>
      </c>
      <c r="E614" s="2">
        <v>36.736842105263101</v>
      </c>
      <c r="F614" s="1">
        <v>19</v>
      </c>
      <c r="G614" s="1">
        <v>1047.22</v>
      </c>
      <c r="H614" s="1" t="s">
        <v>9</v>
      </c>
      <c r="I614" t="str">
        <f t="shared" si="9"/>
        <v>MULTICOLOUR HONEYCOMB FAN [21209]</v>
      </c>
    </row>
    <row r="615" spans="1:9" x14ac:dyDescent="0.3">
      <c r="A615" s="1">
        <v>21210</v>
      </c>
      <c r="B615" t="s">
        <v>5529</v>
      </c>
      <c r="C615" s="1">
        <v>1.43</v>
      </c>
      <c r="D615" s="1">
        <v>592</v>
      </c>
      <c r="E615" s="2">
        <v>559.888888888888</v>
      </c>
      <c r="F615" s="1">
        <v>24</v>
      </c>
      <c r="G615" s="1">
        <v>21723.439999999999</v>
      </c>
      <c r="H615" s="1" t="s">
        <v>10</v>
      </c>
      <c r="I615" t="str">
        <f t="shared" si="9"/>
        <v>SET OF 72 RETRO SPOT PAPER  DOILIES [21210]</v>
      </c>
    </row>
    <row r="616" spans="1:9" x14ac:dyDescent="0.3">
      <c r="A616" s="1">
        <v>21211</v>
      </c>
      <c r="B616" t="s">
        <v>5528</v>
      </c>
      <c r="C616" s="1">
        <v>1.4750000000000001</v>
      </c>
      <c r="D616" s="1">
        <v>51.5</v>
      </c>
      <c r="E616" s="2">
        <v>100.208333333333</v>
      </c>
      <c r="F616" s="1">
        <v>24</v>
      </c>
      <c r="G616" s="1">
        <v>3365.64</v>
      </c>
      <c r="H616" s="1" t="s">
        <v>9</v>
      </c>
      <c r="I616" t="str">
        <f t="shared" si="9"/>
        <v>SET OF 72 SKULL PAPER  DOILIES [21211]</v>
      </c>
    </row>
    <row r="617" spans="1:9" x14ac:dyDescent="0.3">
      <c r="A617" s="1">
        <v>21212</v>
      </c>
      <c r="B617" t="s">
        <v>5527</v>
      </c>
      <c r="C617" s="1">
        <v>0.53500000000000003</v>
      </c>
      <c r="D617" s="1">
        <v>3693.5</v>
      </c>
      <c r="E617" s="2">
        <v>3388.7142857142799</v>
      </c>
      <c r="F617" s="1">
        <v>25</v>
      </c>
      <c r="G617" s="1">
        <v>51825.15</v>
      </c>
      <c r="H617" s="1" t="s">
        <v>10</v>
      </c>
      <c r="I617" t="str">
        <f t="shared" si="9"/>
        <v>PACK OF 72 RETRO SPOT CAKE CASES [21212]</v>
      </c>
    </row>
    <row r="618" spans="1:9" x14ac:dyDescent="0.3">
      <c r="A618" s="1">
        <v>21213</v>
      </c>
      <c r="B618" t="s">
        <v>5526</v>
      </c>
      <c r="C618" s="1">
        <v>0.52</v>
      </c>
      <c r="D618" s="1">
        <v>1422</v>
      </c>
      <c r="E618" s="1">
        <v>1610.52</v>
      </c>
      <c r="F618" s="1">
        <v>25</v>
      </c>
      <c r="G618" s="1">
        <v>21390.76</v>
      </c>
      <c r="H618" s="1" t="s">
        <v>10</v>
      </c>
      <c r="I618" t="str">
        <f t="shared" si="9"/>
        <v>PACK OF 72 SKULL CAKE CASES [21213]</v>
      </c>
    </row>
    <row r="619" spans="1:9" x14ac:dyDescent="0.3">
      <c r="A619" s="1">
        <v>21214</v>
      </c>
      <c r="B619" t="s">
        <v>5525</v>
      </c>
      <c r="C619" s="1">
        <v>1.4550000000000001</v>
      </c>
      <c r="D619" s="1">
        <v>174</v>
      </c>
      <c r="E619" s="1">
        <v>200.6</v>
      </c>
      <c r="F619" s="1">
        <v>10</v>
      </c>
      <c r="G619" s="2">
        <v>2920.8199999999902</v>
      </c>
      <c r="H619" s="1" t="s">
        <v>10</v>
      </c>
      <c r="I619" t="str">
        <f t="shared" si="9"/>
        <v>SET OF 72 IVORY PAPER DOILIES [21214]</v>
      </c>
    </row>
    <row r="620" spans="1:9" x14ac:dyDescent="0.3">
      <c r="A620" s="1">
        <v>21215</v>
      </c>
      <c r="B620" t="s">
        <v>5524</v>
      </c>
      <c r="C620" s="1">
        <v>0.59</v>
      </c>
      <c r="D620" s="1">
        <v>96</v>
      </c>
      <c r="E620" s="2">
        <v>149.96551724137899</v>
      </c>
      <c r="F620" s="1">
        <v>25</v>
      </c>
      <c r="G620" s="1">
        <v>2533.88</v>
      </c>
      <c r="H620" s="1" t="s">
        <v>10</v>
      </c>
      <c r="I620" t="str">
        <f t="shared" si="9"/>
        <v>IVORY PAPER CUP CAKE CASES [21215]</v>
      </c>
    </row>
    <row r="621" spans="1:9" x14ac:dyDescent="0.3">
      <c r="A621" s="1">
        <v>21216</v>
      </c>
      <c r="B621" t="s">
        <v>5523</v>
      </c>
      <c r="C621" s="1">
        <v>5.1349999999999998</v>
      </c>
      <c r="D621" s="1">
        <v>165.5</v>
      </c>
      <c r="E621" s="2">
        <v>149.38461538461499</v>
      </c>
      <c r="F621" s="1">
        <v>24</v>
      </c>
      <c r="G621" s="1">
        <v>20169</v>
      </c>
      <c r="H621" s="1" t="s">
        <v>10</v>
      </c>
      <c r="I621" t="str">
        <f t="shared" si="9"/>
        <v>SET 3 RED SPOT TIN TEA,COFFEE,SUGAR [21216]</v>
      </c>
    </row>
    <row r="622" spans="1:9" x14ac:dyDescent="0.3">
      <c r="A622" s="1">
        <v>21217</v>
      </c>
      <c r="B622" t="s">
        <v>5522</v>
      </c>
      <c r="C622" s="1">
        <v>10.154999999999999</v>
      </c>
      <c r="D622" s="1">
        <v>96</v>
      </c>
      <c r="E622" s="2">
        <v>103.714285714285</v>
      </c>
      <c r="F622" s="1">
        <v>25</v>
      </c>
      <c r="G622" s="1">
        <v>29769.24</v>
      </c>
      <c r="H622" s="1" t="s">
        <v>10</v>
      </c>
      <c r="I622" t="str">
        <f t="shared" si="9"/>
        <v>RED SPOTTY ROUND CAKE TINS [21217]</v>
      </c>
    </row>
    <row r="623" spans="1:9" x14ac:dyDescent="0.3">
      <c r="A623" s="1">
        <v>21218</v>
      </c>
      <c r="B623" t="s">
        <v>5521</v>
      </c>
      <c r="C623" s="1">
        <v>3.84</v>
      </c>
      <c r="D623" s="1">
        <v>208</v>
      </c>
      <c r="E623" s="1">
        <v>210.24</v>
      </c>
      <c r="F623" s="1">
        <v>25</v>
      </c>
      <c r="G623" s="1">
        <v>20800.310000000001</v>
      </c>
      <c r="H623" s="1" t="s">
        <v>10</v>
      </c>
      <c r="I623" t="str">
        <f t="shared" si="9"/>
        <v>RED SPOTTY BISCUIT TIN [21218]</v>
      </c>
    </row>
    <row r="624" spans="1:9" x14ac:dyDescent="0.3">
      <c r="A624" s="1">
        <v>21219</v>
      </c>
      <c r="B624" t="s">
        <v>5520</v>
      </c>
      <c r="C624" s="1">
        <v>1.34</v>
      </c>
      <c r="D624" s="1">
        <v>33</v>
      </c>
      <c r="E624" s="1">
        <v>40.520000000000003</v>
      </c>
      <c r="F624" s="1">
        <v>25</v>
      </c>
      <c r="G624" s="1">
        <v>1303.27</v>
      </c>
      <c r="H624" s="1" t="s">
        <v>9</v>
      </c>
      <c r="I624" t="str">
        <f t="shared" si="9"/>
        <v>SET/4 BADGES BALLOON GIRL [21219]</v>
      </c>
    </row>
    <row r="625" spans="1:9" x14ac:dyDescent="0.3">
      <c r="A625" s="1">
        <v>21220</v>
      </c>
      <c r="B625" t="s">
        <v>5519</v>
      </c>
      <c r="C625" s="1">
        <v>1.31</v>
      </c>
      <c r="D625" s="1">
        <v>23</v>
      </c>
      <c r="E625" s="1">
        <v>26.36</v>
      </c>
      <c r="F625" s="1">
        <v>25</v>
      </c>
      <c r="G625" s="2">
        <v>888.68</v>
      </c>
      <c r="H625" s="1" t="s">
        <v>9</v>
      </c>
      <c r="I625" t="str">
        <f t="shared" si="9"/>
        <v>SET/4 BADGES DOGS [21220]</v>
      </c>
    </row>
    <row r="626" spans="1:9" x14ac:dyDescent="0.3">
      <c r="A626" s="1">
        <v>21221</v>
      </c>
      <c r="B626" t="s">
        <v>5518</v>
      </c>
      <c r="C626" s="1">
        <v>1.3</v>
      </c>
      <c r="D626" s="1">
        <v>20</v>
      </c>
      <c r="E626" s="1">
        <v>21.4</v>
      </c>
      <c r="F626" s="1">
        <v>25</v>
      </c>
      <c r="G626" s="1">
        <v>709.66</v>
      </c>
      <c r="H626" s="1" t="s">
        <v>9</v>
      </c>
      <c r="I626" t="str">
        <f t="shared" si="9"/>
        <v>SET/4 BADGES CUTE CREATURES [21221]</v>
      </c>
    </row>
    <row r="627" spans="1:9" x14ac:dyDescent="0.3">
      <c r="A627" s="1">
        <v>21222</v>
      </c>
      <c r="B627" t="s">
        <v>5517</v>
      </c>
      <c r="C627" s="1">
        <v>1.25</v>
      </c>
      <c r="D627" s="1">
        <v>24</v>
      </c>
      <c r="E627" s="1">
        <v>24.84</v>
      </c>
      <c r="F627" s="1">
        <v>25</v>
      </c>
      <c r="G627" s="1">
        <v>804.65</v>
      </c>
      <c r="H627" s="1" t="s">
        <v>9</v>
      </c>
      <c r="I627" t="str">
        <f t="shared" si="9"/>
        <v>SET/4 BADGES BEETLES [21222]</v>
      </c>
    </row>
    <row r="628" spans="1:9" x14ac:dyDescent="0.3">
      <c r="A628" s="1">
        <v>21223</v>
      </c>
      <c r="B628" t="s">
        <v>5516</v>
      </c>
      <c r="C628" s="1">
        <v>1.27</v>
      </c>
      <c r="D628" s="1">
        <v>79</v>
      </c>
      <c r="E628" s="1">
        <v>98.4</v>
      </c>
      <c r="F628" s="1">
        <v>5</v>
      </c>
      <c r="G628" s="1">
        <v>587.08000000000004</v>
      </c>
      <c r="H628" s="1" t="s">
        <v>10</v>
      </c>
      <c r="I628" t="str">
        <f t="shared" si="9"/>
        <v>SET/4 BADGES WOODLAND ANIMAL [21223]</v>
      </c>
    </row>
    <row r="629" spans="1:9" x14ac:dyDescent="0.3">
      <c r="A629" s="1">
        <v>21224</v>
      </c>
      <c r="B629" t="s">
        <v>5515</v>
      </c>
      <c r="C629" s="1">
        <v>1.24</v>
      </c>
      <c r="D629" s="1">
        <v>87</v>
      </c>
      <c r="E629" s="1">
        <v>86.84</v>
      </c>
      <c r="F629" s="1">
        <v>25</v>
      </c>
      <c r="G629" s="1">
        <v>2691.91</v>
      </c>
      <c r="H629" s="1" t="s">
        <v>10</v>
      </c>
      <c r="I629" t="str">
        <f t="shared" si="9"/>
        <v>SET/4 SKULL BADGES [21224]</v>
      </c>
    </row>
    <row r="630" spans="1:9" x14ac:dyDescent="0.3">
      <c r="A630" s="1">
        <v>21225</v>
      </c>
      <c r="B630" t="s">
        <v>5514</v>
      </c>
      <c r="C630" s="1">
        <v>1.25</v>
      </c>
      <c r="D630" s="1">
        <v>2</v>
      </c>
      <c r="E630" s="1">
        <v>2</v>
      </c>
      <c r="F630" s="1">
        <v>1</v>
      </c>
      <c r="G630" s="1">
        <v>2.5</v>
      </c>
      <c r="H630" s="1" t="s">
        <v>8</v>
      </c>
      <c r="I630" t="str">
        <f t="shared" si="9"/>
        <v>POCKET MIRROR BUTTERFLY [21225]</v>
      </c>
    </row>
    <row r="631" spans="1:9" x14ac:dyDescent="0.3">
      <c r="A631" s="1">
        <v>21226</v>
      </c>
      <c r="B631" t="s">
        <v>5513</v>
      </c>
      <c r="C631" s="1">
        <v>1.25</v>
      </c>
      <c r="D631" s="1">
        <v>11.5</v>
      </c>
      <c r="E631" s="1">
        <v>13.3125</v>
      </c>
      <c r="F631" s="1">
        <v>16</v>
      </c>
      <c r="G631" s="1">
        <v>230.55</v>
      </c>
      <c r="H631" s="1" t="s">
        <v>9</v>
      </c>
      <c r="I631" t="str">
        <f t="shared" si="9"/>
        <v>POCKET MIRROR WOODLAND [21226]</v>
      </c>
    </row>
    <row r="632" spans="1:9" x14ac:dyDescent="0.3">
      <c r="A632" s="1">
        <v>21228</v>
      </c>
      <c r="B632" t="s">
        <v>5512</v>
      </c>
      <c r="C632" s="1">
        <v>1.25</v>
      </c>
      <c r="D632" s="1">
        <v>5</v>
      </c>
      <c r="E632" s="2">
        <v>7.4615384615384599</v>
      </c>
      <c r="F632" s="1">
        <v>13</v>
      </c>
      <c r="G632" s="1">
        <v>122.57</v>
      </c>
      <c r="H632" s="1" t="s">
        <v>8</v>
      </c>
      <c r="I632" t="str">
        <f t="shared" si="9"/>
        <v>POCKET MIRROR "GLAMOROUS" [21228]</v>
      </c>
    </row>
    <row r="633" spans="1:9" x14ac:dyDescent="0.3">
      <c r="A633" s="1">
        <v>21231</v>
      </c>
      <c r="B633" t="s">
        <v>5511</v>
      </c>
      <c r="C633" s="1">
        <v>1.23</v>
      </c>
      <c r="D633" s="1">
        <v>713</v>
      </c>
      <c r="E633" s="1">
        <v>809.5</v>
      </c>
      <c r="F633" s="1">
        <v>24</v>
      </c>
      <c r="G633" s="1">
        <v>24128.86</v>
      </c>
      <c r="H633" s="1" t="s">
        <v>10</v>
      </c>
      <c r="I633" t="str">
        <f t="shared" si="9"/>
        <v>SWEETHEART CERAMIC TRINKET BOX [21231]</v>
      </c>
    </row>
    <row r="634" spans="1:9" x14ac:dyDescent="0.3">
      <c r="A634" s="1">
        <v>21232</v>
      </c>
      <c r="B634" t="s">
        <v>5510</v>
      </c>
      <c r="C634" s="2">
        <v>1.2849999999999999</v>
      </c>
      <c r="D634" s="1">
        <v>1108</v>
      </c>
      <c r="E634" s="2">
        <v>1357.0357142857099</v>
      </c>
      <c r="F634" s="1">
        <v>25</v>
      </c>
      <c r="G634" s="1">
        <v>49300.57</v>
      </c>
      <c r="H634" s="1" t="s">
        <v>10</v>
      </c>
      <c r="I634" t="str">
        <f t="shared" si="9"/>
        <v>STRAWBERRY CERAMIC TRINKET BOX [21232]</v>
      </c>
    </row>
    <row r="635" spans="1:9" x14ac:dyDescent="0.3">
      <c r="A635" s="1">
        <v>21238</v>
      </c>
      <c r="B635" t="s">
        <v>5509</v>
      </c>
      <c r="C635" s="1">
        <v>0.85499999999999998</v>
      </c>
      <c r="D635" s="1">
        <v>350.5</v>
      </c>
      <c r="E635" s="2">
        <v>338.46428571428498</v>
      </c>
      <c r="F635" s="1">
        <v>25</v>
      </c>
      <c r="G635" s="1">
        <v>8164</v>
      </c>
      <c r="H635" s="1" t="s">
        <v>10</v>
      </c>
      <c r="I635" t="str">
        <f t="shared" si="9"/>
        <v>RED SPOTTY CUP [21238]</v>
      </c>
    </row>
    <row r="636" spans="1:9" x14ac:dyDescent="0.3">
      <c r="A636" s="1">
        <v>21239</v>
      </c>
      <c r="B636" t="s">
        <v>5508</v>
      </c>
      <c r="C636" s="1">
        <v>0.91</v>
      </c>
      <c r="D636" s="1">
        <v>275</v>
      </c>
      <c r="E636" s="2">
        <v>272.92592592592501</v>
      </c>
      <c r="F636" s="1">
        <v>25</v>
      </c>
      <c r="G636" s="1">
        <v>6438.39</v>
      </c>
      <c r="H636" s="1" t="s">
        <v>10</v>
      </c>
      <c r="I636" t="str">
        <f t="shared" si="9"/>
        <v>PINK  SPOTTY CUP [21239]</v>
      </c>
    </row>
    <row r="637" spans="1:9" x14ac:dyDescent="0.3">
      <c r="A637" s="1">
        <v>21240</v>
      </c>
      <c r="B637" t="s">
        <v>5507</v>
      </c>
      <c r="C637" s="1">
        <v>0.89</v>
      </c>
      <c r="D637" s="1">
        <v>243</v>
      </c>
      <c r="E637" s="2">
        <v>280.77777777777698</v>
      </c>
      <c r="F637" s="1">
        <v>25</v>
      </c>
      <c r="G637" s="1">
        <v>6535.74</v>
      </c>
      <c r="H637" s="1" t="s">
        <v>10</v>
      </c>
      <c r="I637" t="str">
        <f t="shared" si="9"/>
        <v>BLUE  SPOTTY CUP [21240]</v>
      </c>
    </row>
    <row r="638" spans="1:9" x14ac:dyDescent="0.3">
      <c r="A638" s="1">
        <v>21241</v>
      </c>
      <c r="B638" t="s">
        <v>5506</v>
      </c>
      <c r="C638" s="1">
        <v>0.85</v>
      </c>
      <c r="D638" s="1">
        <v>181</v>
      </c>
      <c r="E638" s="2">
        <v>170.230769230769</v>
      </c>
      <c r="F638" s="1">
        <v>11</v>
      </c>
      <c r="G638" s="1">
        <v>1869.07</v>
      </c>
      <c r="H638" s="1" t="s">
        <v>10</v>
      </c>
      <c r="I638" t="str">
        <f t="shared" si="9"/>
        <v>GREEN SPOTTY CUP [21241]</v>
      </c>
    </row>
    <row r="639" spans="1:9" x14ac:dyDescent="0.3">
      <c r="A639" s="1">
        <v>21242</v>
      </c>
      <c r="B639" t="s">
        <v>5505</v>
      </c>
      <c r="C639" s="1">
        <v>1.69</v>
      </c>
      <c r="D639" s="1">
        <v>250</v>
      </c>
      <c r="E639" s="2">
        <v>262.40740740740699</v>
      </c>
      <c r="F639" s="1">
        <v>25</v>
      </c>
      <c r="G639" s="1">
        <v>11917.73</v>
      </c>
      <c r="H639" s="1" t="s">
        <v>10</v>
      </c>
      <c r="I639" t="str">
        <f t="shared" si="9"/>
        <v>RED SPOTTY PLATE [21242]</v>
      </c>
    </row>
    <row r="640" spans="1:9" x14ac:dyDescent="0.3">
      <c r="A640" s="1">
        <v>21243</v>
      </c>
      <c r="B640" t="s">
        <v>5504</v>
      </c>
      <c r="C640" s="1">
        <v>1.66</v>
      </c>
      <c r="D640" s="1">
        <v>199</v>
      </c>
      <c r="E640" s="2">
        <v>208.74074074073999</v>
      </c>
      <c r="F640" s="1">
        <v>25</v>
      </c>
      <c r="G640" s="1">
        <v>9287.7000000000007</v>
      </c>
      <c r="H640" s="1" t="s">
        <v>10</v>
      </c>
      <c r="I640" t="str">
        <f t="shared" si="9"/>
        <v>PINK  SPOTTY PLATE [21243]</v>
      </c>
    </row>
    <row r="641" spans="1:9" x14ac:dyDescent="0.3">
      <c r="A641" s="1">
        <v>21244</v>
      </c>
      <c r="B641" t="s">
        <v>5503</v>
      </c>
      <c r="C641" s="1">
        <v>1.69</v>
      </c>
      <c r="D641" s="1">
        <v>191</v>
      </c>
      <c r="E641" s="2">
        <v>186.85185185185099</v>
      </c>
      <c r="F641" s="1">
        <v>25</v>
      </c>
      <c r="G641" s="1">
        <v>8279.07</v>
      </c>
      <c r="H641" s="1" t="s">
        <v>10</v>
      </c>
      <c r="I641" t="str">
        <f t="shared" si="9"/>
        <v>BLUE  SPOTTY PLATE [21244]</v>
      </c>
    </row>
    <row r="642" spans="1:9" x14ac:dyDescent="0.3">
      <c r="A642" s="1">
        <v>21245</v>
      </c>
      <c r="B642" t="s">
        <v>5502</v>
      </c>
      <c r="C642" s="1">
        <v>1.69</v>
      </c>
      <c r="D642" s="1">
        <v>67</v>
      </c>
      <c r="E642" s="2">
        <v>95.074074074074005</v>
      </c>
      <c r="F642" s="1">
        <v>25</v>
      </c>
      <c r="G642" s="1">
        <v>4268.3599999999997</v>
      </c>
      <c r="H642" s="1" t="s">
        <v>10</v>
      </c>
      <c r="I642" t="str">
        <f t="shared" si="9"/>
        <v>GREEN  SPOTTY PLATE [21245]</v>
      </c>
    </row>
    <row r="643" spans="1:9" x14ac:dyDescent="0.3">
      <c r="A643" s="1">
        <v>21246</v>
      </c>
      <c r="B643" t="s">
        <v>5501</v>
      </c>
      <c r="C643" s="1">
        <v>4.95</v>
      </c>
      <c r="D643" s="1">
        <v>33</v>
      </c>
      <c r="E643" s="2">
        <v>32.565217391304301</v>
      </c>
      <c r="F643" s="1">
        <v>22</v>
      </c>
      <c r="G643" s="1">
        <v>3685.63</v>
      </c>
      <c r="H643" s="1" t="s">
        <v>9</v>
      </c>
      <c r="I643" t="str">
        <f t="shared" ref="I643:I706" si="10">B643&amp;" ["&amp;A643&amp;"]"</f>
        <v>RED SPOTTY BIG BOWL [21246]</v>
      </c>
    </row>
    <row r="644" spans="1:9" x14ac:dyDescent="0.3">
      <c r="A644" s="1">
        <v>21247</v>
      </c>
      <c r="B644" t="s">
        <v>5500</v>
      </c>
      <c r="C644" s="1">
        <v>1.53</v>
      </c>
      <c r="D644" s="1">
        <v>40</v>
      </c>
      <c r="E644" s="2">
        <v>38.363636363636303</v>
      </c>
      <c r="F644" s="1">
        <v>11</v>
      </c>
      <c r="G644" s="1">
        <v>664.73</v>
      </c>
      <c r="H644" s="1" t="s">
        <v>9</v>
      </c>
      <c r="I644" t="str">
        <f t="shared" si="10"/>
        <v>SET OF RED SALAD SERVERS [21247]</v>
      </c>
    </row>
    <row r="645" spans="1:9" x14ac:dyDescent="0.3">
      <c r="A645" s="1">
        <v>21248</v>
      </c>
      <c r="B645" t="s">
        <v>5499</v>
      </c>
      <c r="C645" s="1">
        <v>1.45</v>
      </c>
      <c r="D645" s="1">
        <v>21</v>
      </c>
      <c r="E645" s="1">
        <v>41.72</v>
      </c>
      <c r="F645" s="1">
        <v>25</v>
      </c>
      <c r="G645" s="1">
        <v>1299.55</v>
      </c>
      <c r="H645" s="1" t="s">
        <v>9</v>
      </c>
      <c r="I645" t="str">
        <f t="shared" si="10"/>
        <v>DOOR HANGER  MUM + DADS ROOM [21248]</v>
      </c>
    </row>
    <row r="646" spans="1:9" x14ac:dyDescent="0.3">
      <c r="A646" s="1">
        <v>21249</v>
      </c>
      <c r="B646" t="s">
        <v>5498</v>
      </c>
      <c r="C646" s="1">
        <v>3.03</v>
      </c>
      <c r="D646" s="1">
        <v>54.5</v>
      </c>
      <c r="E646" s="2">
        <v>63.884615384615302</v>
      </c>
      <c r="F646" s="1">
        <v>25</v>
      </c>
      <c r="G646" s="1">
        <v>4770.53</v>
      </c>
      <c r="H646" s="1" t="s">
        <v>9</v>
      </c>
      <c r="I646" t="str">
        <f t="shared" si="10"/>
        <v>WOOD ANIMALS HEIGHT CHART STICKERS [21249]</v>
      </c>
    </row>
    <row r="647" spans="1:9" x14ac:dyDescent="0.3">
      <c r="A647" s="1">
        <v>21250</v>
      </c>
      <c r="B647" t="s">
        <v>5497</v>
      </c>
      <c r="C647" s="1">
        <v>2.95</v>
      </c>
      <c r="D647" s="1">
        <v>7</v>
      </c>
      <c r="E647" s="2">
        <v>18.272727272727199</v>
      </c>
      <c r="F647" s="1">
        <v>22</v>
      </c>
      <c r="G647" s="1">
        <v>997.55</v>
      </c>
      <c r="H647" s="1" t="s">
        <v>8</v>
      </c>
      <c r="I647" t="str">
        <f t="shared" si="10"/>
        <v>SET OF SKULL WALL STICKERS [21250]</v>
      </c>
    </row>
    <row r="648" spans="1:9" x14ac:dyDescent="0.3">
      <c r="A648" s="1">
        <v>21251</v>
      </c>
      <c r="B648" t="s">
        <v>5496</v>
      </c>
      <c r="C648" s="1">
        <v>2.95</v>
      </c>
      <c r="D648" s="1">
        <v>18</v>
      </c>
      <c r="E648" s="2">
        <v>24.7916666666666</v>
      </c>
      <c r="F648" s="1">
        <v>24</v>
      </c>
      <c r="G648" s="1">
        <v>1683.93</v>
      </c>
      <c r="H648" s="1" t="s">
        <v>9</v>
      </c>
      <c r="I648" t="str">
        <f t="shared" si="10"/>
        <v>DINOSAUR HEIGHT CHART STICKER SET [21251]</v>
      </c>
    </row>
    <row r="649" spans="1:9" x14ac:dyDescent="0.3">
      <c r="A649" s="1">
        <v>21252</v>
      </c>
      <c r="B649" t="s">
        <v>5495</v>
      </c>
      <c r="C649" s="2">
        <v>2.5149999999999899</v>
      </c>
      <c r="D649" s="1">
        <v>84</v>
      </c>
      <c r="E649" s="1">
        <v>84</v>
      </c>
      <c r="F649" s="1">
        <v>2</v>
      </c>
      <c r="G649" s="2">
        <v>408.659999999999</v>
      </c>
      <c r="H649" s="1" t="s">
        <v>10</v>
      </c>
      <c r="I649" t="str">
        <f t="shared" si="10"/>
        <v>SET OF MEADOW  FLOWER STICKERS [21252]</v>
      </c>
    </row>
    <row r="650" spans="1:9" x14ac:dyDescent="0.3">
      <c r="A650" s="1">
        <v>21253</v>
      </c>
      <c r="B650" t="s">
        <v>5494</v>
      </c>
      <c r="C650" s="1">
        <v>3.9</v>
      </c>
      <c r="D650" s="1">
        <v>9</v>
      </c>
      <c r="E650" s="1">
        <v>13.28</v>
      </c>
      <c r="F650" s="1">
        <v>25</v>
      </c>
      <c r="G650" s="1">
        <v>1225.17</v>
      </c>
      <c r="H650" s="1" t="s">
        <v>8</v>
      </c>
      <c r="I650" t="str">
        <f t="shared" si="10"/>
        <v>SET OF PICTURE FRAME  STICKERS [21253]</v>
      </c>
    </row>
    <row r="651" spans="1:9" x14ac:dyDescent="0.3">
      <c r="A651" s="1">
        <v>21255</v>
      </c>
      <c r="B651" t="s">
        <v>5493</v>
      </c>
      <c r="C651" s="1">
        <v>1.79</v>
      </c>
      <c r="D651" s="1">
        <v>124</v>
      </c>
      <c r="E651" s="1">
        <v>95.2</v>
      </c>
      <c r="F651" s="1">
        <v>5</v>
      </c>
      <c r="G651" s="1">
        <v>860.08</v>
      </c>
      <c r="H651" s="1" t="s">
        <v>10</v>
      </c>
      <c r="I651" t="str">
        <f t="shared" si="10"/>
        <v>FRENCH BOTTLE , LAVENDER [21255]</v>
      </c>
    </row>
    <row r="652" spans="1:9" x14ac:dyDescent="0.3">
      <c r="A652" s="1">
        <v>21256</v>
      </c>
      <c r="B652" t="s">
        <v>5492</v>
      </c>
      <c r="C652" s="1">
        <v>1.85</v>
      </c>
      <c r="D652" s="1">
        <v>119</v>
      </c>
      <c r="E652" s="2">
        <v>108.666666666666</v>
      </c>
      <c r="F652" s="1">
        <v>3</v>
      </c>
      <c r="G652" s="1">
        <v>588.64</v>
      </c>
      <c r="H652" s="1" t="s">
        <v>10</v>
      </c>
      <c r="I652" t="str">
        <f t="shared" si="10"/>
        <v>FRENCH BOTTLE, BRASSERIE DES ARTIST [21256]</v>
      </c>
    </row>
    <row r="653" spans="1:9" x14ac:dyDescent="0.3">
      <c r="A653" s="1">
        <v>21257</v>
      </c>
      <c r="B653" t="s">
        <v>5491</v>
      </c>
      <c r="C653" s="1">
        <v>8.91</v>
      </c>
      <c r="D653" s="1">
        <v>59</v>
      </c>
      <c r="E653" s="1">
        <v>61.96</v>
      </c>
      <c r="F653" s="1">
        <v>25</v>
      </c>
      <c r="G653" s="1">
        <v>13968.48</v>
      </c>
      <c r="H653" s="1" t="s">
        <v>9</v>
      </c>
      <c r="I653" t="str">
        <f t="shared" si="10"/>
        <v>VICTORIAN SEWING BOX MEDIUM [21257]</v>
      </c>
    </row>
    <row r="654" spans="1:9" x14ac:dyDescent="0.3">
      <c r="A654" s="1">
        <v>21258</v>
      </c>
      <c r="B654" t="s">
        <v>5490</v>
      </c>
      <c r="C654" s="1">
        <v>14.195</v>
      </c>
      <c r="D654" s="1">
        <v>43.5</v>
      </c>
      <c r="E654" s="1">
        <v>75.25</v>
      </c>
      <c r="F654" s="1">
        <v>20</v>
      </c>
      <c r="G654" s="1">
        <v>21386.560000000001</v>
      </c>
      <c r="H654" s="1" t="s">
        <v>9</v>
      </c>
      <c r="I654" t="str">
        <f t="shared" si="10"/>
        <v>VICTORIAN SEWING BOX LARGE [21258]</v>
      </c>
    </row>
    <row r="655" spans="1:9" x14ac:dyDescent="0.3">
      <c r="A655" s="1">
        <v>21259</v>
      </c>
      <c r="B655" t="s">
        <v>5489</v>
      </c>
      <c r="C655" s="1">
        <v>6.08</v>
      </c>
      <c r="D655" s="1">
        <v>79</v>
      </c>
      <c r="E655" s="1">
        <v>91.72</v>
      </c>
      <c r="F655" s="1">
        <v>25</v>
      </c>
      <c r="G655" s="1">
        <v>13843.92</v>
      </c>
      <c r="H655" s="1" t="s">
        <v>10</v>
      </c>
      <c r="I655" t="str">
        <f t="shared" si="10"/>
        <v>VICTORIAN SEWING BOX SMALL [21259]</v>
      </c>
    </row>
    <row r="656" spans="1:9" x14ac:dyDescent="0.3">
      <c r="A656" s="1">
        <v>21260</v>
      </c>
      <c r="B656" t="s">
        <v>5488</v>
      </c>
      <c r="C656" s="1">
        <v>3.25</v>
      </c>
      <c r="D656" s="1">
        <v>101</v>
      </c>
      <c r="E656" s="1">
        <v>140.47999999999999</v>
      </c>
      <c r="F656" s="1">
        <v>25</v>
      </c>
      <c r="G656" s="1">
        <v>11564.43</v>
      </c>
      <c r="H656" s="1" t="s">
        <v>10</v>
      </c>
      <c r="I656" t="str">
        <f t="shared" si="10"/>
        <v>FIRST AID TIN [21260]</v>
      </c>
    </row>
    <row r="657" spans="1:9" x14ac:dyDescent="0.3">
      <c r="A657" s="1">
        <v>21261</v>
      </c>
      <c r="B657" t="s">
        <v>5487</v>
      </c>
      <c r="C657" s="1">
        <v>4.68</v>
      </c>
      <c r="D657" s="1">
        <v>14</v>
      </c>
      <c r="E657" s="2">
        <v>18.8666666666666</v>
      </c>
      <c r="F657" s="1">
        <v>15</v>
      </c>
      <c r="G657" s="1">
        <v>1146.1199999999999</v>
      </c>
      <c r="H657" s="1" t="s">
        <v>9</v>
      </c>
      <c r="I657" t="str">
        <f t="shared" si="10"/>
        <v>GREEN GOOSE FEATHER CHRISTMAS TREE [21261]</v>
      </c>
    </row>
    <row r="658" spans="1:9" x14ac:dyDescent="0.3">
      <c r="A658" s="1">
        <v>21262</v>
      </c>
      <c r="B658" t="s">
        <v>5486</v>
      </c>
      <c r="C658" s="2">
        <v>3.09499999999999</v>
      </c>
      <c r="D658" s="1">
        <v>45.5</v>
      </c>
      <c r="E658" s="2">
        <v>41.571428571428498</v>
      </c>
      <c r="F658" s="1">
        <v>14</v>
      </c>
      <c r="G658" s="1">
        <v>2130.2399999999998</v>
      </c>
      <c r="H658" s="1" t="s">
        <v>9</v>
      </c>
      <c r="I658" t="str">
        <f t="shared" si="10"/>
        <v>WHITE GOOSE FEATHER CHRISTMAS TREE [21262]</v>
      </c>
    </row>
    <row r="659" spans="1:9" x14ac:dyDescent="0.3">
      <c r="A659" s="1">
        <v>21263</v>
      </c>
      <c r="B659" t="s">
        <v>5485</v>
      </c>
      <c r="C659" s="1">
        <v>2.0049999999999999</v>
      </c>
      <c r="D659" s="1">
        <v>31.5</v>
      </c>
      <c r="E659" s="1">
        <v>35.875</v>
      </c>
      <c r="F659" s="1">
        <v>8</v>
      </c>
      <c r="G659" s="1">
        <v>595.29</v>
      </c>
      <c r="H659" s="1" t="s">
        <v>9</v>
      </c>
      <c r="I659" t="str">
        <f t="shared" si="10"/>
        <v>GREEN GOOSE FEATHER TREE 60CM [21263]</v>
      </c>
    </row>
    <row r="660" spans="1:9" x14ac:dyDescent="0.3">
      <c r="A660" s="1">
        <v>21264</v>
      </c>
      <c r="B660" t="s">
        <v>5484</v>
      </c>
      <c r="C660" s="1">
        <v>1.95</v>
      </c>
      <c r="D660" s="1">
        <v>18</v>
      </c>
      <c r="E660" s="2">
        <v>34.727272727272698</v>
      </c>
      <c r="F660" s="1">
        <v>11</v>
      </c>
      <c r="G660" s="1">
        <v>848.5</v>
      </c>
      <c r="H660" s="1" t="s">
        <v>9</v>
      </c>
      <c r="I660" t="str">
        <f t="shared" si="10"/>
        <v>WHITE GOOSE FEATHER TREE 60CM [21264]</v>
      </c>
    </row>
    <row r="661" spans="1:9" x14ac:dyDescent="0.3">
      <c r="A661" s="1">
        <v>21265</v>
      </c>
      <c r="B661" t="s">
        <v>5483</v>
      </c>
      <c r="C661" s="1">
        <v>1.95</v>
      </c>
      <c r="D661" s="1">
        <v>18</v>
      </c>
      <c r="E661" s="2">
        <v>28.727272727272702</v>
      </c>
      <c r="F661" s="1">
        <v>11</v>
      </c>
      <c r="G661" s="1">
        <v>668.08</v>
      </c>
      <c r="H661" s="1" t="s">
        <v>9</v>
      </c>
      <c r="I661" t="str">
        <f t="shared" si="10"/>
        <v>PINK GOOSE FEATHER TREE 60CM [21265]</v>
      </c>
    </row>
    <row r="662" spans="1:9" x14ac:dyDescent="0.3">
      <c r="A662" s="1">
        <v>21266</v>
      </c>
      <c r="B662" t="s">
        <v>5482</v>
      </c>
      <c r="C662" s="1">
        <v>4.3</v>
      </c>
      <c r="D662" s="1">
        <v>23</v>
      </c>
      <c r="E662" s="1">
        <v>23</v>
      </c>
      <c r="F662" s="1">
        <v>1</v>
      </c>
      <c r="G662" s="1">
        <v>98.9</v>
      </c>
      <c r="H662" s="1" t="s">
        <v>9</v>
      </c>
      <c r="I662" t="str">
        <f t="shared" si="10"/>
        <v>VINTAGE SILVER TINSEL REEL [21266]</v>
      </c>
    </row>
    <row r="663" spans="1:9" x14ac:dyDescent="0.3">
      <c r="A663" s="1">
        <v>21267</v>
      </c>
      <c r="B663" t="s">
        <v>5481</v>
      </c>
      <c r="C663" s="1">
        <v>3.11</v>
      </c>
      <c r="D663" s="1">
        <v>24</v>
      </c>
      <c r="E663" s="1">
        <v>24</v>
      </c>
      <c r="F663" s="1">
        <v>1</v>
      </c>
      <c r="G663" s="1">
        <v>74.599999999999994</v>
      </c>
      <c r="H663" s="1" t="s">
        <v>9</v>
      </c>
      <c r="I663" t="str">
        <f t="shared" si="10"/>
        <v>VINTAGE PINK TINSEL REEL [21267]</v>
      </c>
    </row>
    <row r="664" spans="1:9" x14ac:dyDescent="0.3">
      <c r="A664" s="1">
        <v>21268</v>
      </c>
      <c r="B664" t="s">
        <v>5480</v>
      </c>
      <c r="C664" s="1">
        <v>0.44</v>
      </c>
      <c r="D664" s="1">
        <v>26.5</v>
      </c>
      <c r="E664" s="1">
        <v>37.200000000000003</v>
      </c>
      <c r="F664" s="1">
        <v>10</v>
      </c>
      <c r="G664" s="2">
        <v>206.95999999999901</v>
      </c>
      <c r="H664" s="1" t="s">
        <v>9</v>
      </c>
      <c r="I664" t="str">
        <f t="shared" si="10"/>
        <v>VINTAGE BLUE TINSEL REEL [21268]</v>
      </c>
    </row>
    <row r="665" spans="1:9" x14ac:dyDescent="0.3">
      <c r="A665" s="1">
        <v>21269</v>
      </c>
      <c r="B665" t="s">
        <v>5479</v>
      </c>
      <c r="C665" s="1">
        <v>8.5</v>
      </c>
      <c r="D665" s="1">
        <v>4</v>
      </c>
      <c r="E665" s="2">
        <v>5.1818181818181799</v>
      </c>
      <c r="F665" s="1">
        <v>22</v>
      </c>
      <c r="G665" s="1">
        <v>1036.8399999999999</v>
      </c>
      <c r="H665" s="1" t="s">
        <v>8</v>
      </c>
      <c r="I665" t="str">
        <f t="shared" si="10"/>
        <v>ANTIQUE CREAM CUTLERY SHELF [21269]</v>
      </c>
    </row>
    <row r="666" spans="1:9" x14ac:dyDescent="0.3">
      <c r="A666" s="1">
        <v>21270</v>
      </c>
      <c r="B666" t="s">
        <v>5478</v>
      </c>
      <c r="C666" s="1">
        <v>12.75</v>
      </c>
      <c r="D666" s="1">
        <v>1.5</v>
      </c>
      <c r="E666" s="2">
        <v>4.2222222222222197</v>
      </c>
      <c r="F666" s="1">
        <v>18</v>
      </c>
      <c r="G666" s="1">
        <v>874.43</v>
      </c>
      <c r="H666" s="1" t="s">
        <v>8</v>
      </c>
      <c r="I666" t="str">
        <f t="shared" si="10"/>
        <v>ANTIQUE CREAM CUTLERY CUPBOARD [21270]</v>
      </c>
    </row>
    <row r="667" spans="1:9" x14ac:dyDescent="0.3">
      <c r="A667" s="1">
        <v>21272</v>
      </c>
      <c r="B667" t="s">
        <v>5477</v>
      </c>
      <c r="C667" s="1">
        <v>1.36</v>
      </c>
      <c r="D667" s="1">
        <v>92</v>
      </c>
      <c r="E667" s="2">
        <v>111.809523809523</v>
      </c>
      <c r="F667" s="1">
        <v>21</v>
      </c>
      <c r="G667" s="1">
        <v>3109.83</v>
      </c>
      <c r="H667" s="1" t="s">
        <v>10</v>
      </c>
      <c r="I667" t="str">
        <f t="shared" si="10"/>
        <v>SALLE DE BAIN HOOK [21272]</v>
      </c>
    </row>
    <row r="668" spans="1:9" x14ac:dyDescent="0.3">
      <c r="A668" s="1">
        <v>21274</v>
      </c>
      <c r="B668" t="s">
        <v>5476</v>
      </c>
      <c r="C668" s="2">
        <v>13.885</v>
      </c>
      <c r="D668" s="1">
        <v>14.5</v>
      </c>
      <c r="E668" s="2">
        <v>14.5833333333333</v>
      </c>
      <c r="F668" s="1">
        <v>12</v>
      </c>
      <c r="G668" s="1">
        <v>2420.69</v>
      </c>
      <c r="H668" s="1" t="s">
        <v>9</v>
      </c>
      <c r="I668" t="str">
        <f t="shared" si="10"/>
        <v>EMBOSSED HEART 3 DRAWER SHELF [21274]</v>
      </c>
    </row>
    <row r="669" spans="1:9" x14ac:dyDescent="0.3">
      <c r="A669" s="1">
        <v>21275</v>
      </c>
      <c r="B669" t="s">
        <v>5475</v>
      </c>
      <c r="C669" s="1">
        <v>16.95</v>
      </c>
      <c r="D669" s="1">
        <v>2</v>
      </c>
      <c r="E669" s="2">
        <v>3.2666666666666599</v>
      </c>
      <c r="F669" s="1">
        <v>15</v>
      </c>
      <c r="G669" s="1">
        <v>924.48</v>
      </c>
      <c r="H669" s="1" t="s">
        <v>8</v>
      </c>
      <c r="I669" t="str">
        <f t="shared" si="10"/>
        <v>ZINC TOP  2 DOOR WOODEN SHELF [21275]</v>
      </c>
    </row>
    <row r="670" spans="1:9" x14ac:dyDescent="0.3">
      <c r="A670" s="1">
        <v>21276</v>
      </c>
      <c r="B670" t="s">
        <v>5474</v>
      </c>
      <c r="C670" s="1">
        <v>4.74</v>
      </c>
      <c r="D670" s="1">
        <v>128</v>
      </c>
      <c r="E670" s="1">
        <v>169.25</v>
      </c>
      <c r="F670" s="1">
        <v>4</v>
      </c>
      <c r="G670" s="1">
        <v>1558.94</v>
      </c>
      <c r="H670" s="1" t="s">
        <v>10</v>
      </c>
      <c r="I670" t="str">
        <f t="shared" si="10"/>
        <v>TWO EMBOSSED HEART MINI DRAWERS [21276]</v>
      </c>
    </row>
    <row r="671" spans="1:9" x14ac:dyDescent="0.3">
      <c r="A671" s="1">
        <v>21277</v>
      </c>
      <c r="B671" t="s">
        <v>5473</v>
      </c>
      <c r="C671" s="1">
        <v>21.95</v>
      </c>
      <c r="D671" s="1">
        <v>2</v>
      </c>
      <c r="E671" s="2">
        <v>2.4545454545454501</v>
      </c>
      <c r="F671" s="1">
        <v>22</v>
      </c>
      <c r="G671" s="2">
        <v>1309.3899999999901</v>
      </c>
      <c r="H671" s="1" t="s">
        <v>8</v>
      </c>
      <c r="I671" t="str">
        <f t="shared" si="10"/>
        <v>FRENCH STYLE EMBOSSED HEART CABINET [21277]</v>
      </c>
    </row>
    <row r="672" spans="1:9" x14ac:dyDescent="0.3">
      <c r="A672" s="1">
        <v>21278</v>
      </c>
      <c r="B672" t="s">
        <v>5472</v>
      </c>
      <c r="C672" s="1">
        <v>2.8250000000000002</v>
      </c>
      <c r="D672" s="1">
        <v>21</v>
      </c>
      <c r="E672" s="2">
        <v>22.6428571428571</v>
      </c>
      <c r="F672" s="1">
        <v>14</v>
      </c>
      <c r="G672" s="1">
        <v>932.33</v>
      </c>
      <c r="H672" s="1" t="s">
        <v>9</v>
      </c>
      <c r="I672" t="str">
        <f t="shared" si="10"/>
        <v>VINTAGE KITCHEN PRINT PUDDINGS [21278]</v>
      </c>
    </row>
    <row r="673" spans="1:9" x14ac:dyDescent="0.3">
      <c r="A673" s="1">
        <v>21279</v>
      </c>
      <c r="B673" t="s">
        <v>5471</v>
      </c>
      <c r="C673" s="1">
        <v>2.89</v>
      </c>
      <c r="D673" s="1">
        <v>13</v>
      </c>
      <c r="E673" s="2">
        <v>13.2105263157894</v>
      </c>
      <c r="F673" s="1">
        <v>19</v>
      </c>
      <c r="G673" s="1">
        <v>755.15</v>
      </c>
      <c r="H673" s="1" t="s">
        <v>9</v>
      </c>
      <c r="I673" t="str">
        <f t="shared" si="10"/>
        <v>VINTAGE KITCHEN PRINT FRUITS [21279]</v>
      </c>
    </row>
    <row r="674" spans="1:9" x14ac:dyDescent="0.3">
      <c r="A674" s="1">
        <v>21280</v>
      </c>
      <c r="B674" t="s">
        <v>5470</v>
      </c>
      <c r="C674" s="1">
        <v>2.5499999999999998</v>
      </c>
      <c r="D674" s="1">
        <v>10.5</v>
      </c>
      <c r="E674" s="2">
        <v>45.8888888888888</v>
      </c>
      <c r="F674" s="1">
        <v>18</v>
      </c>
      <c r="G674" s="1">
        <v>1143.3699999999999</v>
      </c>
      <c r="H674" s="1" t="s">
        <v>9</v>
      </c>
      <c r="I674" t="str">
        <f t="shared" si="10"/>
        <v>VINTAGE KITCHEN PRINT VEGETABLES [21280]</v>
      </c>
    </row>
    <row r="675" spans="1:9" x14ac:dyDescent="0.3">
      <c r="A675" s="1">
        <v>21281</v>
      </c>
      <c r="B675" t="s">
        <v>5469</v>
      </c>
      <c r="C675" s="2">
        <v>2.84499999999999</v>
      </c>
      <c r="D675" s="1">
        <v>11.5</v>
      </c>
      <c r="E675" s="2">
        <v>42.785714285714199</v>
      </c>
      <c r="F675" s="1">
        <v>14</v>
      </c>
      <c r="G675" s="1">
        <v>918.32</v>
      </c>
      <c r="H675" s="1" t="s">
        <v>9</v>
      </c>
      <c r="I675" t="str">
        <f t="shared" si="10"/>
        <v>VINTAGE KITCHEN PRINT SEAFOOD [21281]</v>
      </c>
    </row>
    <row r="676" spans="1:9" x14ac:dyDescent="0.3">
      <c r="A676" s="1">
        <v>21282</v>
      </c>
      <c r="B676" t="s">
        <v>5468</v>
      </c>
      <c r="C676" s="1">
        <v>4.25</v>
      </c>
      <c r="D676" s="1">
        <v>20</v>
      </c>
      <c r="E676" s="2">
        <v>29.6666666666666</v>
      </c>
      <c r="F676" s="1">
        <v>12</v>
      </c>
      <c r="G676" s="1">
        <v>1522.28</v>
      </c>
      <c r="H676" s="1" t="s">
        <v>9</v>
      </c>
      <c r="I676" t="str">
        <f t="shared" si="10"/>
        <v>NATURAL BARK CANDLE LARGE [21282]</v>
      </c>
    </row>
    <row r="677" spans="1:9" x14ac:dyDescent="0.3">
      <c r="A677" s="1">
        <v>21283</v>
      </c>
      <c r="B677" t="s">
        <v>5467</v>
      </c>
      <c r="C677" s="1">
        <v>3.18</v>
      </c>
      <c r="D677" s="1">
        <v>39</v>
      </c>
      <c r="E677" s="2">
        <v>42.6666666666666</v>
      </c>
      <c r="F677" s="1">
        <v>12</v>
      </c>
      <c r="G677" s="1">
        <v>1629.2</v>
      </c>
      <c r="H677" s="1" t="s">
        <v>9</v>
      </c>
      <c r="I677" t="str">
        <f t="shared" si="10"/>
        <v>NATURAL BARK CANDLE SMALL [21283]</v>
      </c>
    </row>
    <row r="678" spans="1:9" x14ac:dyDescent="0.3">
      <c r="A678" s="1">
        <v>21284</v>
      </c>
      <c r="B678" t="s">
        <v>5466</v>
      </c>
      <c r="C678" s="1">
        <v>1.8149999999999999</v>
      </c>
      <c r="D678" s="1">
        <v>25</v>
      </c>
      <c r="E678" s="2">
        <v>57.2916666666666</v>
      </c>
      <c r="F678" s="1">
        <v>24</v>
      </c>
      <c r="G678" s="1">
        <v>1590.04</v>
      </c>
      <c r="H678" s="1" t="s">
        <v>9</v>
      </c>
      <c r="I678" t="str">
        <f t="shared" si="10"/>
        <v>RETRO SPOT CANDLE  SMALL [21284]</v>
      </c>
    </row>
    <row r="679" spans="1:9" x14ac:dyDescent="0.3">
      <c r="A679" s="1">
        <v>21285</v>
      </c>
      <c r="B679" t="s">
        <v>5465</v>
      </c>
      <c r="C679" s="1">
        <v>2.1850000000000001</v>
      </c>
      <c r="D679" s="1">
        <v>20</v>
      </c>
      <c r="E679" s="1">
        <v>38.9</v>
      </c>
      <c r="F679" s="1">
        <v>20</v>
      </c>
      <c r="G679" s="1">
        <v>1273.31</v>
      </c>
      <c r="H679" s="1" t="s">
        <v>9</v>
      </c>
      <c r="I679" t="str">
        <f t="shared" si="10"/>
        <v>RETRO SPOT CANDLE  MEDIUM [21285]</v>
      </c>
    </row>
    <row r="680" spans="1:9" x14ac:dyDescent="0.3">
      <c r="A680" s="1">
        <v>21286</v>
      </c>
      <c r="B680" t="s">
        <v>5464</v>
      </c>
      <c r="C680" s="1">
        <v>2.68</v>
      </c>
      <c r="D680" s="1">
        <v>17</v>
      </c>
      <c r="E680" s="2">
        <v>44.631578947368403</v>
      </c>
      <c r="F680" s="1">
        <v>18</v>
      </c>
      <c r="G680" s="1">
        <v>1529.79</v>
      </c>
      <c r="H680" s="1" t="s">
        <v>9</v>
      </c>
      <c r="I680" t="str">
        <f t="shared" si="10"/>
        <v>RETRO SPOT CANDLE  LARGE [21286]</v>
      </c>
    </row>
    <row r="681" spans="1:9" x14ac:dyDescent="0.3">
      <c r="A681" s="1">
        <v>21287</v>
      </c>
      <c r="B681" t="s">
        <v>5463</v>
      </c>
      <c r="C681" s="1">
        <v>0.38</v>
      </c>
      <c r="D681" s="1">
        <v>144</v>
      </c>
      <c r="E681" s="2">
        <v>230.41176470588201</v>
      </c>
      <c r="F681" s="1">
        <v>17</v>
      </c>
      <c r="G681" s="1">
        <v>1607.38</v>
      </c>
      <c r="H681" s="1" t="s">
        <v>10</v>
      </c>
      <c r="I681" t="str">
        <f t="shared" si="10"/>
        <v>SCENTED VELVET LOUNGE CANDLE [21287]</v>
      </c>
    </row>
    <row r="682" spans="1:9" x14ac:dyDescent="0.3">
      <c r="A682" s="1">
        <v>21288</v>
      </c>
      <c r="B682" t="s">
        <v>5462</v>
      </c>
      <c r="C682" s="1">
        <v>3.05</v>
      </c>
      <c r="D682" s="1">
        <v>27</v>
      </c>
      <c r="E682" s="1">
        <v>39.28</v>
      </c>
      <c r="F682" s="1">
        <v>25</v>
      </c>
      <c r="G682" s="1">
        <v>2557.4699999999998</v>
      </c>
      <c r="H682" s="1" t="s">
        <v>9</v>
      </c>
      <c r="I682" t="str">
        <f t="shared" si="10"/>
        <v>STRIPEY CHOCOLATE NESTING BOXES [21288]</v>
      </c>
    </row>
    <row r="683" spans="1:9" x14ac:dyDescent="0.3">
      <c r="A683" s="1">
        <v>21289</v>
      </c>
      <c r="B683" t="s">
        <v>5461</v>
      </c>
      <c r="C683" s="1">
        <v>1.25</v>
      </c>
      <c r="D683" s="1">
        <v>32</v>
      </c>
      <c r="E683" s="1">
        <v>58.875</v>
      </c>
      <c r="F683" s="1">
        <v>24</v>
      </c>
      <c r="G683" s="1">
        <v>1549.31</v>
      </c>
      <c r="H683" s="1" t="s">
        <v>9</v>
      </c>
      <c r="I683" t="str">
        <f t="shared" si="10"/>
        <v>LARGE STRIPES CHOCOLATE GIFT BAG [21289]</v>
      </c>
    </row>
    <row r="684" spans="1:9" x14ac:dyDescent="0.3">
      <c r="A684" s="1">
        <v>21290</v>
      </c>
      <c r="B684" t="s">
        <v>5460</v>
      </c>
      <c r="C684" s="1">
        <v>1.25</v>
      </c>
      <c r="D684" s="1">
        <v>2</v>
      </c>
      <c r="E684" s="1">
        <v>2</v>
      </c>
      <c r="F684" s="1">
        <v>1</v>
      </c>
      <c r="G684" s="1">
        <v>2.5</v>
      </c>
      <c r="H684" s="1" t="s">
        <v>8</v>
      </c>
      <c r="I684" t="str">
        <f t="shared" si="10"/>
        <v>LARGE SPOTTY CHOCOLATE GIFT BAG [21290]</v>
      </c>
    </row>
    <row r="685" spans="1:9" x14ac:dyDescent="0.3">
      <c r="A685" s="1">
        <v>21291</v>
      </c>
      <c r="B685" t="s">
        <v>5459</v>
      </c>
      <c r="C685" s="1">
        <v>0.85</v>
      </c>
      <c r="D685" s="1">
        <v>80</v>
      </c>
      <c r="E685" s="2">
        <v>89.296296296296205</v>
      </c>
      <c r="F685" s="1">
        <v>24</v>
      </c>
      <c r="G685" s="1">
        <v>2077.9299999999998</v>
      </c>
      <c r="H685" s="1" t="s">
        <v>10</v>
      </c>
      <c r="I685" t="str">
        <f t="shared" si="10"/>
        <v>SMALL SPOTTY CHOCOLATE GIFT BAG [21291]</v>
      </c>
    </row>
    <row r="686" spans="1:9" x14ac:dyDescent="0.3">
      <c r="A686" s="1">
        <v>21292</v>
      </c>
      <c r="B686" t="s">
        <v>5458</v>
      </c>
      <c r="C686" s="1">
        <v>0.85</v>
      </c>
      <c r="D686" s="1">
        <v>67</v>
      </c>
      <c r="E686" s="2">
        <v>123.84210526315699</v>
      </c>
      <c r="F686" s="1">
        <v>19</v>
      </c>
      <c r="G686" s="2">
        <v>1408.87</v>
      </c>
      <c r="H686" s="1" t="s">
        <v>10</v>
      </c>
      <c r="I686" t="str">
        <f t="shared" si="10"/>
        <v>SMALL STRIPES CHOCOLATE GIFT BAG [21292]</v>
      </c>
    </row>
    <row r="687" spans="1:9" x14ac:dyDescent="0.3">
      <c r="A687" s="1">
        <v>21293</v>
      </c>
      <c r="B687" t="s">
        <v>5457</v>
      </c>
      <c r="C687" s="1">
        <v>2.56</v>
      </c>
      <c r="D687" s="1">
        <v>11</v>
      </c>
      <c r="E687" s="2">
        <v>16.3333333333333</v>
      </c>
      <c r="F687" s="1">
        <v>21</v>
      </c>
      <c r="G687" s="1">
        <v>872.34</v>
      </c>
      <c r="H687" s="1" t="s">
        <v>9</v>
      </c>
      <c r="I687" t="str">
        <f t="shared" si="10"/>
        <v>MIRRORED DOVE WALL DECORATION [21293]</v>
      </c>
    </row>
    <row r="688" spans="1:9" x14ac:dyDescent="0.3">
      <c r="A688" s="1">
        <v>21294</v>
      </c>
      <c r="B688" t="s">
        <v>5456</v>
      </c>
      <c r="C688" s="1">
        <v>1.25</v>
      </c>
      <c r="D688" s="1">
        <v>42</v>
      </c>
      <c r="E688" s="2">
        <v>97.652173913043399</v>
      </c>
      <c r="F688" s="1">
        <v>23</v>
      </c>
      <c r="G688" s="1">
        <v>1653.75</v>
      </c>
      <c r="H688" s="1" t="s">
        <v>9</v>
      </c>
      <c r="I688" t="str">
        <f t="shared" si="10"/>
        <v>ETCHED GLASS COASTER [21294]</v>
      </c>
    </row>
    <row r="689" spans="1:9" x14ac:dyDescent="0.3">
      <c r="A689" s="1">
        <v>21298</v>
      </c>
      <c r="B689" t="s">
        <v>5455</v>
      </c>
      <c r="C689" s="1">
        <v>16.059999999999999</v>
      </c>
      <c r="D689" s="1">
        <v>14</v>
      </c>
      <c r="E689" s="2">
        <v>17.3333333333333</v>
      </c>
      <c r="F689" s="1">
        <v>3</v>
      </c>
      <c r="G689" s="1">
        <v>755.8</v>
      </c>
      <c r="H689" s="1" t="s">
        <v>9</v>
      </c>
      <c r="I689" t="str">
        <f t="shared" si="10"/>
        <v>EDWARDIAN 2 DRAWER WALL CABINET [21298]</v>
      </c>
    </row>
    <row r="690" spans="1:9" x14ac:dyDescent="0.3">
      <c r="A690" s="1">
        <v>21299</v>
      </c>
      <c r="B690" t="s">
        <v>5454</v>
      </c>
      <c r="C690" s="2">
        <v>11.7549999999999</v>
      </c>
      <c r="D690" s="1">
        <v>14</v>
      </c>
      <c r="E690" s="1">
        <v>41.5</v>
      </c>
      <c r="F690" s="1">
        <v>4</v>
      </c>
      <c r="G690" s="1">
        <v>966.35</v>
      </c>
      <c r="H690" s="1" t="s">
        <v>9</v>
      </c>
      <c r="I690" t="str">
        <f t="shared" si="10"/>
        <v>EDWARDIAN TOILET ROLL UNIT [21299]</v>
      </c>
    </row>
    <row r="691" spans="1:9" x14ac:dyDescent="0.3">
      <c r="A691" s="1">
        <v>21300</v>
      </c>
      <c r="B691" t="s">
        <v>5453</v>
      </c>
      <c r="C691" s="1">
        <v>12.75</v>
      </c>
      <c r="D691" s="1">
        <v>25</v>
      </c>
      <c r="E691" s="1">
        <v>25</v>
      </c>
      <c r="F691" s="1">
        <v>2</v>
      </c>
      <c r="G691" s="1">
        <v>637.5</v>
      </c>
      <c r="H691" s="1" t="s">
        <v>9</v>
      </c>
      <c r="I691" t="str">
        <f t="shared" si="10"/>
        <v>ANTIQUE EDWARDIAN DRESSER [21300]</v>
      </c>
    </row>
    <row r="692" spans="1:9" x14ac:dyDescent="0.3">
      <c r="A692" s="1">
        <v>21303</v>
      </c>
      <c r="B692" t="s">
        <v>5452</v>
      </c>
      <c r="C692" s="1">
        <v>16.954999999999998</v>
      </c>
      <c r="D692" s="1">
        <v>13.5</v>
      </c>
      <c r="E692" s="1">
        <v>24</v>
      </c>
      <c r="F692" s="1">
        <v>4</v>
      </c>
      <c r="G692" s="1">
        <v>985.54</v>
      </c>
      <c r="H692" s="1" t="s">
        <v>9</v>
      </c>
      <c r="I692" t="str">
        <f t="shared" si="10"/>
        <v>FILIGREE WALL MIRROR  ANTIQUE WHITE [21303]</v>
      </c>
    </row>
    <row r="693" spans="1:9" x14ac:dyDescent="0.3">
      <c r="A693" s="1">
        <v>21304</v>
      </c>
      <c r="B693" t="s">
        <v>5451</v>
      </c>
      <c r="C693" s="1">
        <v>12.75</v>
      </c>
      <c r="D693" s="1">
        <v>7</v>
      </c>
      <c r="E693" s="1">
        <v>17.2</v>
      </c>
      <c r="F693" s="1">
        <v>5</v>
      </c>
      <c r="G693" s="1">
        <v>591.58000000000004</v>
      </c>
      <c r="H693" s="1" t="s">
        <v>8</v>
      </c>
      <c r="I693" t="str">
        <f t="shared" si="10"/>
        <v>ARCHED GREY MIRROR [21304]</v>
      </c>
    </row>
    <row r="694" spans="1:9" x14ac:dyDescent="0.3">
      <c r="A694" s="1">
        <v>21306</v>
      </c>
      <c r="B694" t="s">
        <v>5450</v>
      </c>
      <c r="C694" s="1">
        <v>2.1</v>
      </c>
      <c r="D694" s="1">
        <v>4</v>
      </c>
      <c r="E694" s="2">
        <v>4.4615384615384599</v>
      </c>
      <c r="F694" s="1">
        <v>13</v>
      </c>
      <c r="G694" s="1">
        <v>131.74</v>
      </c>
      <c r="H694" s="1" t="s">
        <v>8</v>
      </c>
      <c r="I694" t="str">
        <f t="shared" si="10"/>
        <v>SET/4 DAISY MIRROR MAGNETS [21306]</v>
      </c>
    </row>
    <row r="695" spans="1:9" x14ac:dyDescent="0.3">
      <c r="A695" s="1">
        <v>21307</v>
      </c>
      <c r="B695" t="s">
        <v>5449</v>
      </c>
      <c r="C695" s="1">
        <v>2.1</v>
      </c>
      <c r="D695" s="1">
        <v>4.5</v>
      </c>
      <c r="E695" s="1">
        <v>10.5</v>
      </c>
      <c r="F695" s="1">
        <v>16</v>
      </c>
      <c r="G695" s="1">
        <v>372.96</v>
      </c>
      <c r="H695" s="1" t="s">
        <v>8</v>
      </c>
      <c r="I695" t="str">
        <f t="shared" si="10"/>
        <v>SET/4 BUTTERFLY MIRROR MAGNETS [21307]</v>
      </c>
    </row>
    <row r="696" spans="1:9" x14ac:dyDescent="0.3">
      <c r="A696" s="1">
        <v>21308</v>
      </c>
      <c r="B696" t="s">
        <v>5448</v>
      </c>
      <c r="C696" s="1">
        <v>8.8249999999999993</v>
      </c>
      <c r="D696" s="1">
        <v>66</v>
      </c>
      <c r="E696" s="1">
        <v>66</v>
      </c>
      <c r="F696" s="1">
        <v>2</v>
      </c>
      <c r="G696" s="1">
        <v>705.9</v>
      </c>
      <c r="H696" s="1" t="s">
        <v>10</v>
      </c>
      <c r="I696" t="str">
        <f t="shared" si="10"/>
        <v>LOUVRE VANITY MIRROR [21308]</v>
      </c>
    </row>
    <row r="697" spans="1:9" x14ac:dyDescent="0.3">
      <c r="A697" s="1">
        <v>21309</v>
      </c>
      <c r="B697" t="s">
        <v>5447</v>
      </c>
      <c r="C697" s="1">
        <v>9.9499999999999993</v>
      </c>
      <c r="D697" s="1">
        <v>7</v>
      </c>
      <c r="E697" s="2">
        <v>16.3333333333333</v>
      </c>
      <c r="F697" s="1">
        <v>3</v>
      </c>
      <c r="G697" s="1">
        <v>325.60000000000002</v>
      </c>
      <c r="H697" s="1" t="s">
        <v>8</v>
      </c>
      <c r="I697" t="str">
        <f t="shared" si="10"/>
        <v>LOUVRE CHALKBOARD [21309]</v>
      </c>
    </row>
    <row r="698" spans="1:9" x14ac:dyDescent="0.3">
      <c r="A698" s="1">
        <v>21310</v>
      </c>
      <c r="B698" t="s">
        <v>5446</v>
      </c>
      <c r="C698" s="1">
        <v>29.95</v>
      </c>
      <c r="D698" s="1">
        <v>2</v>
      </c>
      <c r="E698" s="1">
        <v>2</v>
      </c>
      <c r="F698" s="1">
        <v>3</v>
      </c>
      <c r="G698" s="1">
        <v>179.7</v>
      </c>
      <c r="H698" s="1" t="s">
        <v>8</v>
      </c>
      <c r="I698" t="str">
        <f t="shared" si="10"/>
        <v>CAPIZ CHANDELIER [21310]</v>
      </c>
    </row>
    <row r="699" spans="1:9" x14ac:dyDescent="0.3">
      <c r="A699" s="1">
        <v>21311</v>
      </c>
      <c r="B699" t="s">
        <v>5445</v>
      </c>
      <c r="C699" s="1">
        <v>2.16</v>
      </c>
      <c r="D699" s="1">
        <v>6</v>
      </c>
      <c r="E699" s="2">
        <v>15.235294117646999</v>
      </c>
      <c r="F699" s="1">
        <v>17</v>
      </c>
      <c r="G699" s="1">
        <v>396.49</v>
      </c>
      <c r="H699" s="1" t="s">
        <v>8</v>
      </c>
      <c r="I699" t="str">
        <f t="shared" si="10"/>
        <v>SET/4 BIRD MIRROR MAGNETS [21311]</v>
      </c>
    </row>
    <row r="700" spans="1:9" x14ac:dyDescent="0.3">
      <c r="A700" s="1">
        <v>21312</v>
      </c>
      <c r="B700" t="s">
        <v>5444</v>
      </c>
      <c r="C700" s="1">
        <v>6.75</v>
      </c>
      <c r="D700" s="1">
        <v>3</v>
      </c>
      <c r="E700" s="2">
        <v>33.2222222222222</v>
      </c>
      <c r="F700" s="1">
        <v>9</v>
      </c>
      <c r="G700" s="2">
        <v>1179.1699999999901</v>
      </c>
      <c r="H700" s="1" t="s">
        <v>8</v>
      </c>
      <c r="I700" t="str">
        <f t="shared" si="10"/>
        <v>LARGE CHUNKY GLASS ROMAN BOWL [21312]</v>
      </c>
    </row>
    <row r="701" spans="1:9" x14ac:dyDescent="0.3">
      <c r="A701" s="1">
        <v>21313</v>
      </c>
      <c r="B701" t="s">
        <v>5443</v>
      </c>
      <c r="C701" s="1">
        <v>0.85</v>
      </c>
      <c r="D701" s="1">
        <v>266</v>
      </c>
      <c r="E701" s="1">
        <v>268.44</v>
      </c>
      <c r="F701" s="1">
        <v>25</v>
      </c>
      <c r="G701" s="1">
        <v>5771.11</v>
      </c>
      <c r="H701" s="1" t="s">
        <v>10</v>
      </c>
      <c r="I701" t="str">
        <f t="shared" si="10"/>
        <v>GLASS HEART T-LIGHT HOLDER [21313]</v>
      </c>
    </row>
    <row r="702" spans="1:9" x14ac:dyDescent="0.3">
      <c r="A702" s="1">
        <v>21314</v>
      </c>
      <c r="B702" t="s">
        <v>5442</v>
      </c>
      <c r="C702" s="1">
        <v>2.19</v>
      </c>
      <c r="D702" s="1">
        <v>337</v>
      </c>
      <c r="E702" s="1">
        <v>457.04</v>
      </c>
      <c r="F702" s="1">
        <v>25</v>
      </c>
      <c r="G702" s="1">
        <v>24641.39</v>
      </c>
      <c r="H702" s="1" t="s">
        <v>10</v>
      </c>
      <c r="I702" t="str">
        <f t="shared" si="10"/>
        <v>SMALL GLASS HEART TRINKET POT [21314]</v>
      </c>
    </row>
    <row r="703" spans="1:9" x14ac:dyDescent="0.3">
      <c r="A703" s="1">
        <v>21316</v>
      </c>
      <c r="B703" t="s">
        <v>5441</v>
      </c>
      <c r="C703" s="1">
        <v>3.28</v>
      </c>
      <c r="D703" s="1">
        <v>11</v>
      </c>
      <c r="E703" s="2">
        <v>22.1538461538461</v>
      </c>
      <c r="F703" s="1">
        <v>13</v>
      </c>
      <c r="G703" s="1">
        <v>799.6</v>
      </c>
      <c r="H703" s="1" t="s">
        <v>9</v>
      </c>
      <c r="I703" t="str">
        <f t="shared" si="10"/>
        <v>SMALL CHUNKY GLASS ROMAN  BOWL [21316]</v>
      </c>
    </row>
    <row r="704" spans="1:9" x14ac:dyDescent="0.3">
      <c r="A704" s="1">
        <v>21317</v>
      </c>
      <c r="B704" t="s">
        <v>5440</v>
      </c>
      <c r="C704" s="1">
        <v>5.45</v>
      </c>
      <c r="D704" s="1">
        <v>8</v>
      </c>
      <c r="E704" s="2">
        <v>11.095238095238001</v>
      </c>
      <c r="F704" s="1">
        <v>21</v>
      </c>
      <c r="G704" s="2">
        <v>1281.5999999999999</v>
      </c>
      <c r="H704" s="1" t="s">
        <v>8</v>
      </c>
      <c r="I704" t="str">
        <f t="shared" si="10"/>
        <v>GLASS SPHERE CANDLE STAND MEDIUM [21317]</v>
      </c>
    </row>
    <row r="705" spans="1:9" x14ac:dyDescent="0.3">
      <c r="A705" s="1">
        <v>21318</v>
      </c>
      <c r="B705" t="s">
        <v>5439</v>
      </c>
      <c r="C705" s="1">
        <v>1.76</v>
      </c>
      <c r="D705" s="1">
        <v>26</v>
      </c>
      <c r="E705" s="2">
        <v>24.933333333333302</v>
      </c>
      <c r="F705" s="1">
        <v>15</v>
      </c>
      <c r="G705" s="1">
        <v>658.5</v>
      </c>
      <c r="H705" s="1" t="s">
        <v>9</v>
      </c>
      <c r="I705" t="str">
        <f t="shared" si="10"/>
        <v>GLASS CHALICE BLUE SMALL [21318]</v>
      </c>
    </row>
    <row r="706" spans="1:9" x14ac:dyDescent="0.3">
      <c r="A706" s="1">
        <v>21319</v>
      </c>
      <c r="B706" t="s">
        <v>5438</v>
      </c>
      <c r="C706" s="1">
        <v>1.65</v>
      </c>
      <c r="D706" s="1">
        <v>18.5</v>
      </c>
      <c r="E706" s="1">
        <v>26.4375</v>
      </c>
      <c r="F706" s="1">
        <v>16</v>
      </c>
      <c r="G706" s="1">
        <v>707.56</v>
      </c>
      <c r="H706" s="1" t="s">
        <v>9</v>
      </c>
      <c r="I706" t="str">
        <f t="shared" si="10"/>
        <v>GLASS CHALICE GREEN  SMALL [21319]</v>
      </c>
    </row>
    <row r="707" spans="1:9" x14ac:dyDescent="0.3">
      <c r="A707" s="1">
        <v>21320</v>
      </c>
      <c r="B707" t="s">
        <v>5437</v>
      </c>
      <c r="C707" s="1">
        <v>2.5499999999999998</v>
      </c>
      <c r="D707" s="1">
        <v>10</v>
      </c>
      <c r="E707" s="1">
        <v>24.875</v>
      </c>
      <c r="F707" s="1">
        <v>16</v>
      </c>
      <c r="G707" s="1">
        <v>913.34</v>
      </c>
      <c r="H707" s="1" t="s">
        <v>8</v>
      </c>
      <c r="I707" t="str">
        <f t="shared" ref="I707:I770" si="11">B707&amp;" ["&amp;A707&amp;"]"</f>
        <v>GLASS CHALICE GREEN  LARGE [21320]</v>
      </c>
    </row>
    <row r="708" spans="1:9" x14ac:dyDescent="0.3">
      <c r="A708" s="1">
        <v>21321</v>
      </c>
      <c r="B708" t="s">
        <v>5436</v>
      </c>
      <c r="C708" s="1">
        <v>2.5499999999999998</v>
      </c>
      <c r="D708" s="1">
        <v>14</v>
      </c>
      <c r="E708" s="1">
        <v>24.4</v>
      </c>
      <c r="F708" s="1">
        <v>5</v>
      </c>
      <c r="G708" s="1">
        <v>301.8</v>
      </c>
      <c r="H708" s="1" t="s">
        <v>9</v>
      </c>
      <c r="I708" t="str">
        <f t="shared" si="11"/>
        <v>GLASS CHALICE BLUE  LARGE [21321]</v>
      </c>
    </row>
    <row r="709" spans="1:9" x14ac:dyDescent="0.3">
      <c r="A709" s="1">
        <v>21322</v>
      </c>
      <c r="B709" t="s">
        <v>5435</v>
      </c>
      <c r="C709" s="1">
        <v>4.33</v>
      </c>
      <c r="D709" s="1">
        <v>150.5</v>
      </c>
      <c r="E709" s="1">
        <v>150.5</v>
      </c>
      <c r="F709" s="1">
        <v>2</v>
      </c>
      <c r="G709" s="1">
        <v>590.45000000000005</v>
      </c>
      <c r="H709" s="1" t="s">
        <v>10</v>
      </c>
      <c r="I709" t="str">
        <f t="shared" si="11"/>
        <v>GLASS SPHERE CANDLE STAND LARGE [21322]</v>
      </c>
    </row>
    <row r="710" spans="1:9" x14ac:dyDescent="0.3">
      <c r="A710" s="1">
        <v>21323</v>
      </c>
      <c r="B710" t="s">
        <v>5434</v>
      </c>
      <c r="C710" s="1">
        <v>4.8</v>
      </c>
      <c r="D710" s="1">
        <v>38</v>
      </c>
      <c r="E710" s="1">
        <v>92.5</v>
      </c>
      <c r="F710" s="1">
        <v>8</v>
      </c>
      <c r="G710" s="1">
        <v>2506.89</v>
      </c>
      <c r="H710" s="1" t="s">
        <v>9</v>
      </c>
      <c r="I710" t="str">
        <f t="shared" si="11"/>
        <v>HANGING MEDINA LANTERN LARGE [21323]</v>
      </c>
    </row>
    <row r="711" spans="1:9" x14ac:dyDescent="0.3">
      <c r="A711" s="1">
        <v>21324</v>
      </c>
      <c r="B711" t="s">
        <v>5433</v>
      </c>
      <c r="C711" s="1">
        <v>3.17</v>
      </c>
      <c r="D711" s="1">
        <v>34</v>
      </c>
      <c r="E711" s="2">
        <v>56.3333333333333</v>
      </c>
      <c r="F711" s="1">
        <v>18</v>
      </c>
      <c r="G711" s="1">
        <v>2845.71</v>
      </c>
      <c r="H711" s="1" t="s">
        <v>9</v>
      </c>
      <c r="I711" t="str">
        <f t="shared" si="11"/>
        <v>HANGING MEDINA LANTERN SMALL [21324]</v>
      </c>
    </row>
    <row r="712" spans="1:9" x14ac:dyDescent="0.3">
      <c r="A712" s="1">
        <v>21326</v>
      </c>
      <c r="B712" t="s">
        <v>5432</v>
      </c>
      <c r="C712" s="1">
        <v>0.65</v>
      </c>
      <c r="D712" s="1">
        <v>583</v>
      </c>
      <c r="E712" s="1">
        <v>710.8</v>
      </c>
      <c r="F712" s="1">
        <v>25</v>
      </c>
      <c r="G712" s="1">
        <v>11593.86</v>
      </c>
      <c r="H712" s="1" t="s">
        <v>10</v>
      </c>
      <c r="I712" t="str">
        <f t="shared" si="11"/>
        <v>AGED GLASS SILVER T-LIGHT HOLDER [21326]</v>
      </c>
    </row>
    <row r="713" spans="1:9" x14ac:dyDescent="0.3">
      <c r="A713" s="1">
        <v>21327</v>
      </c>
      <c r="B713" t="s">
        <v>5431</v>
      </c>
      <c r="C713" s="1">
        <v>1.79</v>
      </c>
      <c r="D713" s="1">
        <v>59</v>
      </c>
      <c r="E713" s="1">
        <v>77.040000000000006</v>
      </c>
      <c r="F713" s="1">
        <v>25</v>
      </c>
      <c r="G713" s="1">
        <v>3378.51</v>
      </c>
      <c r="H713" s="1" t="s">
        <v>9</v>
      </c>
      <c r="I713" t="str">
        <f t="shared" si="11"/>
        <v>SKULLS WRITING SET [21327]</v>
      </c>
    </row>
    <row r="714" spans="1:9" x14ac:dyDescent="0.3">
      <c r="A714" s="1">
        <v>21328</v>
      </c>
      <c r="B714" t="s">
        <v>5430</v>
      </c>
      <c r="C714" s="1">
        <v>2.0099999999999998</v>
      </c>
      <c r="D714" s="1">
        <v>63</v>
      </c>
      <c r="E714" s="1">
        <v>97.64</v>
      </c>
      <c r="F714" s="1">
        <v>25</v>
      </c>
      <c r="G714" s="1">
        <v>4612.63</v>
      </c>
      <c r="H714" s="1" t="s">
        <v>10</v>
      </c>
      <c r="I714" t="str">
        <f t="shared" si="11"/>
        <v>BALLOONS  WRITING SET [21328]</v>
      </c>
    </row>
    <row r="715" spans="1:9" x14ac:dyDescent="0.3">
      <c r="A715" s="1">
        <v>21329</v>
      </c>
      <c r="B715" t="s">
        <v>5429</v>
      </c>
      <c r="C715" s="1">
        <v>1.86</v>
      </c>
      <c r="D715" s="1">
        <v>58</v>
      </c>
      <c r="E715" s="1">
        <v>83.28</v>
      </c>
      <c r="F715" s="1">
        <v>25</v>
      </c>
      <c r="G715" s="1">
        <v>3760.66</v>
      </c>
      <c r="H715" s="1" t="s">
        <v>9</v>
      </c>
      <c r="I715" t="str">
        <f t="shared" si="11"/>
        <v>DINOSAURS  WRITING SET [21329]</v>
      </c>
    </row>
    <row r="716" spans="1:9" x14ac:dyDescent="0.3">
      <c r="A716" s="1">
        <v>21330</v>
      </c>
      <c r="B716" t="s">
        <v>5428</v>
      </c>
      <c r="C716" s="2">
        <v>1.6749999999999901</v>
      </c>
      <c r="D716" s="1">
        <v>105</v>
      </c>
      <c r="E716" s="1">
        <v>145.19999999999999</v>
      </c>
      <c r="F716" s="1">
        <v>10</v>
      </c>
      <c r="G716" s="2">
        <v>2454.0699999999902</v>
      </c>
      <c r="H716" s="1" t="s">
        <v>10</v>
      </c>
      <c r="I716" t="str">
        <f t="shared" si="11"/>
        <v>WOODLAND ANIMAL  WRITING SET [21330]</v>
      </c>
    </row>
    <row r="717" spans="1:9" x14ac:dyDescent="0.3">
      <c r="A717" s="1">
        <v>21331</v>
      </c>
      <c r="B717" t="s">
        <v>5427</v>
      </c>
      <c r="C717" s="1">
        <v>12.75</v>
      </c>
      <c r="D717" s="1">
        <v>4</v>
      </c>
      <c r="E717" s="2">
        <v>7.3333333333333304</v>
      </c>
      <c r="F717" s="1">
        <v>15</v>
      </c>
      <c r="G717" s="1">
        <v>946.68</v>
      </c>
      <c r="H717" s="1" t="s">
        <v>8</v>
      </c>
      <c r="I717" t="str">
        <f t="shared" si="11"/>
        <v>MOROCCAN BEATEN METAL DISH LARGE [21331]</v>
      </c>
    </row>
    <row r="718" spans="1:9" x14ac:dyDescent="0.3">
      <c r="A718" s="1">
        <v>21332</v>
      </c>
      <c r="B718" t="s">
        <v>5426</v>
      </c>
      <c r="C718" s="1">
        <v>12.75</v>
      </c>
      <c r="D718" s="1">
        <v>3</v>
      </c>
      <c r="E718" s="2">
        <v>15.8823529411764</v>
      </c>
      <c r="F718" s="1">
        <v>17</v>
      </c>
      <c r="G718" s="1">
        <v>1644.17</v>
      </c>
      <c r="H718" s="1" t="s">
        <v>8</v>
      </c>
      <c r="I718" t="str">
        <f t="shared" si="11"/>
        <v>MOROCCAN BEATEN METAL MIRROR [21332]</v>
      </c>
    </row>
    <row r="719" spans="1:9" x14ac:dyDescent="0.3">
      <c r="A719" s="1">
        <v>21333</v>
      </c>
      <c r="B719" t="s">
        <v>5425</v>
      </c>
      <c r="C719" s="1">
        <v>3.01</v>
      </c>
      <c r="D719" s="1">
        <v>70</v>
      </c>
      <c r="E719" s="1">
        <v>62.176470588235297</v>
      </c>
      <c r="F719" s="1">
        <v>17</v>
      </c>
      <c r="G719" s="1">
        <v>3192.09</v>
      </c>
      <c r="H719" s="1" t="s">
        <v>10</v>
      </c>
      <c r="I719" t="str">
        <f t="shared" si="11"/>
        <v>CLASSIC WHITE FRAME [21333]</v>
      </c>
    </row>
    <row r="720" spans="1:9" x14ac:dyDescent="0.3">
      <c r="A720" s="1">
        <v>21335</v>
      </c>
      <c r="B720" t="s">
        <v>5424</v>
      </c>
      <c r="C720" s="2">
        <v>22.424999999999901</v>
      </c>
      <c r="D720" s="1">
        <v>7</v>
      </c>
      <c r="E720" s="1">
        <v>7</v>
      </c>
      <c r="F720" s="1">
        <v>6</v>
      </c>
      <c r="G720" s="1">
        <v>989.62</v>
      </c>
      <c r="H720" s="1" t="s">
        <v>8</v>
      </c>
      <c r="I720" t="str">
        <f t="shared" si="11"/>
        <v>LIBRARY LAMP [21335]</v>
      </c>
    </row>
    <row r="721" spans="1:9" x14ac:dyDescent="0.3">
      <c r="A721" s="1">
        <v>21336</v>
      </c>
      <c r="B721" t="s">
        <v>5423</v>
      </c>
      <c r="C721" s="1">
        <v>2.95</v>
      </c>
      <c r="D721" s="1">
        <v>6</v>
      </c>
      <c r="E721" s="1">
        <v>6</v>
      </c>
      <c r="F721" s="1">
        <v>12</v>
      </c>
      <c r="G721" s="1">
        <v>232.11</v>
      </c>
      <c r="H721" s="1" t="s">
        <v>8</v>
      </c>
      <c r="I721" t="str">
        <f t="shared" si="11"/>
        <v>GOLD WASHBAG [21336]</v>
      </c>
    </row>
    <row r="722" spans="1:9" x14ac:dyDescent="0.3">
      <c r="A722" s="1">
        <v>21337</v>
      </c>
      <c r="B722" t="s">
        <v>5422</v>
      </c>
      <c r="C722" s="1">
        <v>2.95</v>
      </c>
      <c r="D722" s="1">
        <v>3.5</v>
      </c>
      <c r="E722" s="1">
        <v>8.25</v>
      </c>
      <c r="F722" s="1">
        <v>4</v>
      </c>
      <c r="G722" s="1">
        <v>103.53</v>
      </c>
      <c r="H722" s="1" t="s">
        <v>8</v>
      </c>
      <c r="I722" t="str">
        <f t="shared" si="11"/>
        <v>SILVER WASHBAG [21337]</v>
      </c>
    </row>
    <row r="723" spans="1:9" x14ac:dyDescent="0.3">
      <c r="A723" s="1">
        <v>21338</v>
      </c>
      <c r="B723" t="s">
        <v>5421</v>
      </c>
      <c r="C723" s="1">
        <v>5.95</v>
      </c>
      <c r="D723" s="1">
        <v>4</v>
      </c>
      <c r="E723" s="1">
        <v>39.799999999999997</v>
      </c>
      <c r="F723" s="1">
        <v>5</v>
      </c>
      <c r="G723" s="1">
        <v>873.25</v>
      </c>
      <c r="H723" s="1" t="s">
        <v>8</v>
      </c>
      <c r="I723" t="str">
        <f t="shared" si="11"/>
        <v>MARAKESH LANTERN SMALL [21338]</v>
      </c>
    </row>
    <row r="724" spans="1:9" x14ac:dyDescent="0.3">
      <c r="A724" s="1">
        <v>21339</v>
      </c>
      <c r="B724" t="s">
        <v>5420</v>
      </c>
      <c r="C724" s="1">
        <v>19.95</v>
      </c>
      <c r="D724" s="1">
        <v>2</v>
      </c>
      <c r="E724" s="2">
        <v>4.2857142857142803</v>
      </c>
      <c r="F724" s="1">
        <v>7</v>
      </c>
      <c r="G724" s="1">
        <v>544.5</v>
      </c>
      <c r="H724" s="1" t="s">
        <v>8</v>
      </c>
      <c r="I724" t="str">
        <f t="shared" si="11"/>
        <v>MARAKESH LANTERN LARGE [21339]</v>
      </c>
    </row>
    <row r="725" spans="1:9" x14ac:dyDescent="0.3">
      <c r="A725" s="1">
        <v>21340</v>
      </c>
      <c r="B725" t="s">
        <v>5419</v>
      </c>
      <c r="C725" s="1">
        <v>11.24</v>
      </c>
      <c r="D725" s="1">
        <v>78</v>
      </c>
      <c r="E725" s="1">
        <v>79.909090909090907</v>
      </c>
      <c r="F725" s="1">
        <v>22</v>
      </c>
      <c r="G725" s="1">
        <v>19194.13</v>
      </c>
      <c r="H725" s="1" t="s">
        <v>10</v>
      </c>
      <c r="I725" t="str">
        <f t="shared" si="11"/>
        <v>CLASSIC METAL BIRDCAGE PLANT HOLDER [21340]</v>
      </c>
    </row>
    <row r="726" spans="1:9" x14ac:dyDescent="0.3">
      <c r="A726" s="1">
        <v>21341</v>
      </c>
      <c r="B726" t="s">
        <v>5418</v>
      </c>
      <c r="C726" s="1">
        <v>4.6500000000000004</v>
      </c>
      <c r="D726" s="1">
        <v>6</v>
      </c>
      <c r="E726" s="1">
        <v>14.4</v>
      </c>
      <c r="F726" s="1">
        <v>5</v>
      </c>
      <c r="G726" s="1">
        <v>410.64</v>
      </c>
      <c r="H726" s="1" t="s">
        <v>8</v>
      </c>
      <c r="I726" t="str">
        <f t="shared" si="11"/>
        <v>KASBAH LANTERN WITH GLASS [21341]</v>
      </c>
    </row>
    <row r="727" spans="1:9" x14ac:dyDescent="0.3">
      <c r="A727" s="1">
        <v>21343</v>
      </c>
      <c r="B727" t="s">
        <v>5417</v>
      </c>
      <c r="C727" s="1">
        <v>4.45</v>
      </c>
      <c r="D727" s="1">
        <v>10</v>
      </c>
      <c r="E727" s="1">
        <v>10</v>
      </c>
      <c r="F727" s="1">
        <v>2</v>
      </c>
      <c r="G727" s="1">
        <v>92</v>
      </c>
      <c r="H727" s="1" t="s">
        <v>8</v>
      </c>
      <c r="I727" t="str">
        <f t="shared" si="11"/>
        <v>GOLD JEWELERY BOX [21343]</v>
      </c>
    </row>
    <row r="728" spans="1:9" x14ac:dyDescent="0.3">
      <c r="A728" s="1">
        <v>21344</v>
      </c>
      <c r="B728" t="s">
        <v>5416</v>
      </c>
      <c r="C728" s="1">
        <v>9.9499999999999993</v>
      </c>
      <c r="D728" s="1">
        <v>3</v>
      </c>
      <c r="E728" s="2">
        <v>11.066666666666601</v>
      </c>
      <c r="F728" s="1">
        <v>15</v>
      </c>
      <c r="G728" s="2">
        <v>749.81999999999903</v>
      </c>
      <c r="H728" s="1" t="s">
        <v>8</v>
      </c>
      <c r="I728" t="str">
        <f t="shared" si="11"/>
        <v>MOROCCAN BEATEN METAL DISH [21344]</v>
      </c>
    </row>
    <row r="729" spans="1:9" x14ac:dyDescent="0.3">
      <c r="A729" s="1">
        <v>21347</v>
      </c>
      <c r="B729" t="s">
        <v>5415</v>
      </c>
      <c r="C729" s="1">
        <v>5.95</v>
      </c>
      <c r="D729" s="1">
        <v>1</v>
      </c>
      <c r="E729" s="2">
        <v>2.6666666666666599</v>
      </c>
      <c r="F729" s="1">
        <v>3</v>
      </c>
      <c r="G729" s="1">
        <v>47.6</v>
      </c>
      <c r="H729" s="1" t="s">
        <v>8</v>
      </c>
      <c r="I729" t="str">
        <f t="shared" si="11"/>
        <v>GOTHIC CARRIAGE LANTERN [21347]</v>
      </c>
    </row>
    <row r="730" spans="1:9" x14ac:dyDescent="0.3">
      <c r="A730" s="1">
        <v>21348</v>
      </c>
      <c r="B730" t="s">
        <v>5414</v>
      </c>
      <c r="C730" s="1">
        <v>2.915</v>
      </c>
      <c r="D730" s="1">
        <v>33.5</v>
      </c>
      <c r="E730" s="2">
        <v>60.142857142857103</v>
      </c>
      <c r="F730" s="1">
        <v>14</v>
      </c>
      <c r="G730" s="1">
        <v>2030.84</v>
      </c>
      <c r="H730" s="1" t="s">
        <v>9</v>
      </c>
      <c r="I730" t="str">
        <f t="shared" si="11"/>
        <v>PINK SPOTS CHOCOLATE NESTING BOXES [21348]</v>
      </c>
    </row>
    <row r="731" spans="1:9" x14ac:dyDescent="0.3">
      <c r="A731" s="1">
        <v>21349</v>
      </c>
      <c r="B731" t="s">
        <v>5413</v>
      </c>
      <c r="C731" s="1">
        <v>6.96</v>
      </c>
      <c r="D731" s="1">
        <v>26</v>
      </c>
      <c r="E731" s="2">
        <v>50.272727272727202</v>
      </c>
      <c r="F731" s="1">
        <v>11</v>
      </c>
      <c r="G731" s="1">
        <v>4010.73</v>
      </c>
      <c r="H731" s="1" t="s">
        <v>9</v>
      </c>
      <c r="I731" t="str">
        <f t="shared" si="11"/>
        <v>IVY HEART WREATH [21349]</v>
      </c>
    </row>
    <row r="732" spans="1:9" x14ac:dyDescent="0.3">
      <c r="A732" s="1">
        <v>21350</v>
      </c>
      <c r="B732" t="s">
        <v>5412</v>
      </c>
      <c r="C732" s="1">
        <v>2.95</v>
      </c>
      <c r="D732" s="1">
        <v>22.5</v>
      </c>
      <c r="E732" s="1">
        <v>37.5</v>
      </c>
      <c r="F732" s="1">
        <v>6</v>
      </c>
      <c r="G732" s="1">
        <v>647.75</v>
      </c>
      <c r="H732" s="1" t="s">
        <v>9</v>
      </c>
      <c r="I732" t="str">
        <f t="shared" si="11"/>
        <v>GINGHAM HEART WREATH [21350]</v>
      </c>
    </row>
    <row r="733" spans="1:9" x14ac:dyDescent="0.3">
      <c r="A733" s="1">
        <v>21351</v>
      </c>
      <c r="B733" t="s">
        <v>5411</v>
      </c>
      <c r="C733" s="1">
        <v>6.75</v>
      </c>
      <c r="D733" s="1">
        <v>16</v>
      </c>
      <c r="E733" s="2">
        <v>84.538461538461505</v>
      </c>
      <c r="F733" s="1">
        <v>13</v>
      </c>
      <c r="G733" s="1">
        <v>3702.75</v>
      </c>
      <c r="H733" s="1" t="s">
        <v>9</v>
      </c>
      <c r="I733" t="str">
        <f t="shared" si="11"/>
        <v>CINAMMON &amp; ORANGE WREATH [21351]</v>
      </c>
    </row>
    <row r="734" spans="1:9" x14ac:dyDescent="0.3">
      <c r="A734" s="1">
        <v>21352</v>
      </c>
      <c r="B734" t="s">
        <v>5410</v>
      </c>
      <c r="C734" s="1">
        <v>5.84</v>
      </c>
      <c r="D734" s="1">
        <v>11</v>
      </c>
      <c r="E734" s="2">
        <v>58.6666666666666</v>
      </c>
      <c r="F734" s="1">
        <v>15</v>
      </c>
      <c r="G734" s="1">
        <v>3110.28</v>
      </c>
      <c r="H734" s="1" t="s">
        <v>9</v>
      </c>
      <c r="I734" t="str">
        <f t="shared" si="11"/>
        <v>EUCALYPTUS &amp; PINECONE  WREATH [21352]</v>
      </c>
    </row>
    <row r="735" spans="1:9" x14ac:dyDescent="0.3">
      <c r="A735" s="1">
        <v>21353</v>
      </c>
      <c r="B735" t="s">
        <v>5409</v>
      </c>
      <c r="C735" s="1">
        <v>8.44</v>
      </c>
      <c r="D735" s="1">
        <v>19</v>
      </c>
      <c r="E735" s="1">
        <v>19</v>
      </c>
      <c r="F735" s="1">
        <v>1</v>
      </c>
      <c r="G735" s="1">
        <v>160.44999999999999</v>
      </c>
      <c r="H735" s="1" t="s">
        <v>9</v>
      </c>
      <c r="I735" t="str">
        <f t="shared" si="11"/>
        <v>SILVER SLEIGHBELL  WREATH [21353]</v>
      </c>
    </row>
    <row r="736" spans="1:9" x14ac:dyDescent="0.3">
      <c r="A736" s="1">
        <v>21354</v>
      </c>
      <c r="B736" t="s">
        <v>5408</v>
      </c>
      <c r="C736" s="2">
        <v>1.2349999999999901</v>
      </c>
      <c r="D736" s="1">
        <v>53</v>
      </c>
      <c r="E736" s="2">
        <v>103.166666666666</v>
      </c>
      <c r="F736" s="1">
        <v>24</v>
      </c>
      <c r="G736" s="1">
        <v>2979.46</v>
      </c>
      <c r="H736" s="1" t="s">
        <v>9</v>
      </c>
      <c r="I736" t="str">
        <f t="shared" si="11"/>
        <v>TOAST ITS - BEST MUM [21354]</v>
      </c>
    </row>
    <row r="737" spans="1:9" x14ac:dyDescent="0.3">
      <c r="A737" s="1">
        <v>21355</v>
      </c>
      <c r="B737" t="s">
        <v>5407</v>
      </c>
      <c r="C737" s="1">
        <v>1.25</v>
      </c>
      <c r="D737" s="1">
        <v>77.5</v>
      </c>
      <c r="E737" s="2">
        <v>143.833333333333</v>
      </c>
      <c r="F737" s="1">
        <v>24</v>
      </c>
      <c r="G737" s="1">
        <v>4218.05</v>
      </c>
      <c r="H737" s="1" t="s">
        <v>10</v>
      </c>
      <c r="I737" t="str">
        <f t="shared" si="11"/>
        <v>TOAST ITS - I LOVE YOU [21355]</v>
      </c>
    </row>
    <row r="738" spans="1:9" x14ac:dyDescent="0.3">
      <c r="A738" s="1">
        <v>21356</v>
      </c>
      <c r="B738" t="s">
        <v>5406</v>
      </c>
      <c r="C738" s="1">
        <v>1.3</v>
      </c>
      <c r="D738" s="1">
        <v>67</v>
      </c>
      <c r="E738" s="1">
        <v>63.68</v>
      </c>
      <c r="F738" s="1">
        <v>25</v>
      </c>
      <c r="G738" s="1">
        <v>2014.16</v>
      </c>
      <c r="H738" s="1" t="s">
        <v>10</v>
      </c>
      <c r="I738" t="str">
        <f t="shared" si="11"/>
        <v>TOAST ITS - FAIRY FLOWER [21356]</v>
      </c>
    </row>
    <row r="739" spans="1:9" x14ac:dyDescent="0.3">
      <c r="A739" s="1">
        <v>21357</v>
      </c>
      <c r="B739" t="s">
        <v>5405</v>
      </c>
      <c r="C739" s="1">
        <v>1.26</v>
      </c>
      <c r="D739" s="1">
        <v>59</v>
      </c>
      <c r="E739" s="2">
        <v>92.533333333333303</v>
      </c>
      <c r="F739" s="1">
        <v>15</v>
      </c>
      <c r="G739" s="1">
        <v>1827.76</v>
      </c>
      <c r="H739" s="1" t="s">
        <v>9</v>
      </c>
      <c r="I739" t="str">
        <f t="shared" si="11"/>
        <v>TOAST ITS - DINOSAUR [21357]</v>
      </c>
    </row>
    <row r="740" spans="1:9" x14ac:dyDescent="0.3">
      <c r="A740" s="1">
        <v>21358</v>
      </c>
      <c r="B740" t="s">
        <v>5404</v>
      </c>
      <c r="C740" s="1">
        <v>1.26</v>
      </c>
      <c r="D740" s="1">
        <v>42</v>
      </c>
      <c r="E740" s="1">
        <v>45.16</v>
      </c>
      <c r="F740" s="1">
        <v>25</v>
      </c>
      <c r="G740" s="1">
        <v>1398.71</v>
      </c>
      <c r="H740" s="1" t="s">
        <v>9</v>
      </c>
      <c r="I740" t="str">
        <f t="shared" si="11"/>
        <v>TOAST ITS - HAPPY BIRTHDAY [21358]</v>
      </c>
    </row>
    <row r="741" spans="1:9" x14ac:dyDescent="0.3">
      <c r="A741" s="1">
        <v>21359</v>
      </c>
      <c r="B741" t="s">
        <v>5403</v>
      </c>
      <c r="C741" s="1">
        <v>15.95</v>
      </c>
      <c r="D741" s="1">
        <v>4</v>
      </c>
      <c r="E741" s="2">
        <v>6.23529411764705</v>
      </c>
      <c r="F741" s="1">
        <v>17</v>
      </c>
      <c r="G741" s="1">
        <v>1713.58</v>
      </c>
      <c r="H741" s="1" t="s">
        <v>8</v>
      </c>
      <c r="I741" t="str">
        <f t="shared" si="11"/>
        <v>RELAX LARGE WOOD LETTERS [21359]</v>
      </c>
    </row>
    <row r="742" spans="1:9" x14ac:dyDescent="0.3">
      <c r="A742" s="1">
        <v>21360</v>
      </c>
      <c r="B742" t="s">
        <v>5402</v>
      </c>
      <c r="C742" s="1">
        <v>9.9499999999999993</v>
      </c>
      <c r="D742" s="1">
        <v>7</v>
      </c>
      <c r="E742" s="2">
        <v>23.210526315789402</v>
      </c>
      <c r="F742" s="1">
        <v>19</v>
      </c>
      <c r="G742" s="1">
        <v>2790.41</v>
      </c>
      <c r="H742" s="1" t="s">
        <v>8</v>
      </c>
      <c r="I742" t="str">
        <f t="shared" si="11"/>
        <v>JOY LARGE WOOD LETTERS [21360]</v>
      </c>
    </row>
    <row r="743" spans="1:9" x14ac:dyDescent="0.3">
      <c r="A743" s="1">
        <v>21361</v>
      </c>
      <c r="B743" t="s">
        <v>5401</v>
      </c>
      <c r="C743" s="1">
        <v>12.95</v>
      </c>
      <c r="D743" s="1">
        <v>31.5</v>
      </c>
      <c r="E743" s="2">
        <v>30.8888888888888</v>
      </c>
      <c r="F743" s="1">
        <v>18</v>
      </c>
      <c r="G743" s="1">
        <v>7361.74</v>
      </c>
      <c r="H743" s="1" t="s">
        <v>9</v>
      </c>
      <c r="I743" t="str">
        <f t="shared" si="11"/>
        <v>LOVE LARGE WOOD LETTERS [21361]</v>
      </c>
    </row>
    <row r="744" spans="1:9" x14ac:dyDescent="0.3">
      <c r="A744" s="1">
        <v>21363</v>
      </c>
      <c r="B744" t="s">
        <v>5400</v>
      </c>
      <c r="C744" s="1">
        <v>5.27</v>
      </c>
      <c r="D744" s="1">
        <v>52</v>
      </c>
      <c r="E744" s="2">
        <v>46.857142857142797</v>
      </c>
      <c r="F744" s="1">
        <v>21</v>
      </c>
      <c r="G744" s="1">
        <v>5296.48</v>
      </c>
      <c r="H744" s="1" t="s">
        <v>9</v>
      </c>
      <c r="I744" t="str">
        <f t="shared" si="11"/>
        <v>HOME SMALL WOOD LETTERS [21363]</v>
      </c>
    </row>
    <row r="745" spans="1:9" x14ac:dyDescent="0.3">
      <c r="A745" s="1">
        <v>21364</v>
      </c>
      <c r="B745" t="s">
        <v>5399</v>
      </c>
      <c r="C745" s="1">
        <v>6.91</v>
      </c>
      <c r="D745" s="1">
        <v>6</v>
      </c>
      <c r="E745" s="2">
        <v>21.272727272727199</v>
      </c>
      <c r="F745" s="1">
        <v>22</v>
      </c>
      <c r="G745" s="2">
        <v>3407.72</v>
      </c>
      <c r="H745" s="1" t="s">
        <v>8</v>
      </c>
      <c r="I745" t="str">
        <f t="shared" si="11"/>
        <v>PEACE SMALL WOOD LETTERS [21364]</v>
      </c>
    </row>
    <row r="746" spans="1:9" x14ac:dyDescent="0.3">
      <c r="A746" s="1">
        <v>21365</v>
      </c>
      <c r="B746" t="s">
        <v>5398</v>
      </c>
      <c r="C746" s="1">
        <v>3.23</v>
      </c>
      <c r="D746" s="1">
        <v>8</v>
      </c>
      <c r="E746" s="2">
        <v>17.9411764705882</v>
      </c>
      <c r="F746" s="1">
        <v>17</v>
      </c>
      <c r="G746" s="1">
        <v>584.91999999999996</v>
      </c>
      <c r="H746" s="1" t="s">
        <v>8</v>
      </c>
      <c r="I746" t="str">
        <f t="shared" si="11"/>
        <v>MIRRORED WALL ART STARS [21365]</v>
      </c>
    </row>
    <row r="747" spans="1:9" x14ac:dyDescent="0.3">
      <c r="A747" s="1">
        <v>21366</v>
      </c>
      <c r="B747" t="s">
        <v>5397</v>
      </c>
      <c r="C747" s="1">
        <v>6.27</v>
      </c>
      <c r="D747" s="1">
        <v>5</v>
      </c>
      <c r="E747" s="2">
        <v>10.3478260869565</v>
      </c>
      <c r="F747" s="1">
        <v>23</v>
      </c>
      <c r="G747" s="1">
        <v>1140</v>
      </c>
      <c r="H747" s="1" t="s">
        <v>8</v>
      </c>
      <c r="I747" t="str">
        <f t="shared" si="11"/>
        <v>MIRRORED WALL ART PHOTO FRAMES [21366]</v>
      </c>
    </row>
    <row r="748" spans="1:9" x14ac:dyDescent="0.3">
      <c r="A748" s="1">
        <v>21367</v>
      </c>
      <c r="B748" t="s">
        <v>5396</v>
      </c>
      <c r="C748" s="1">
        <v>2.5499999999999998</v>
      </c>
      <c r="D748" s="1">
        <v>4</v>
      </c>
      <c r="E748" s="1">
        <v>10.55</v>
      </c>
      <c r="F748" s="1">
        <v>20</v>
      </c>
      <c r="G748" s="1">
        <v>278.48</v>
      </c>
      <c r="H748" s="1" t="s">
        <v>8</v>
      </c>
      <c r="I748" t="str">
        <f t="shared" si="11"/>
        <v>MIRRORED WALL ART GENTS [21367]</v>
      </c>
    </row>
    <row r="749" spans="1:9" x14ac:dyDescent="0.3">
      <c r="A749" s="1">
        <v>21368</v>
      </c>
      <c r="B749" t="s">
        <v>5395</v>
      </c>
      <c r="C749" s="1">
        <v>2.5499999999999998</v>
      </c>
      <c r="D749" s="1">
        <v>2</v>
      </c>
      <c r="E749" s="2">
        <v>9.5714285714285694</v>
      </c>
      <c r="F749" s="1">
        <v>21</v>
      </c>
      <c r="G749" s="1">
        <v>212.04</v>
      </c>
      <c r="H749" s="1" t="s">
        <v>8</v>
      </c>
      <c r="I749" t="str">
        <f t="shared" si="11"/>
        <v>MIRRORED WALL ART LADIES [21368]</v>
      </c>
    </row>
    <row r="750" spans="1:9" x14ac:dyDescent="0.3">
      <c r="A750" s="1">
        <v>21369</v>
      </c>
      <c r="B750" t="s">
        <v>5394</v>
      </c>
      <c r="C750" s="1">
        <v>3.75</v>
      </c>
      <c r="D750" s="1">
        <v>4</v>
      </c>
      <c r="E750" s="2">
        <v>7.8235294117647003</v>
      </c>
      <c r="F750" s="1">
        <v>17</v>
      </c>
      <c r="G750" s="1">
        <v>225.36</v>
      </c>
      <c r="H750" s="1" t="s">
        <v>8</v>
      </c>
      <c r="I750" t="str">
        <f t="shared" si="11"/>
        <v>MIRRORED WALL ART SPLODGES [21369]</v>
      </c>
    </row>
    <row r="751" spans="1:9" x14ac:dyDescent="0.3">
      <c r="A751" s="1">
        <v>21370</v>
      </c>
      <c r="B751" t="s">
        <v>5393</v>
      </c>
      <c r="C751" s="1">
        <v>6.35</v>
      </c>
      <c r="D751" s="1">
        <v>1</v>
      </c>
      <c r="E751" s="2">
        <v>2.63636363636363</v>
      </c>
      <c r="F751" s="1">
        <v>11</v>
      </c>
      <c r="G751" s="1">
        <v>215.62</v>
      </c>
      <c r="H751" s="1" t="s">
        <v>8</v>
      </c>
      <c r="I751" t="str">
        <f t="shared" si="11"/>
        <v>MIRRORED WALL ART FOXY [21370]</v>
      </c>
    </row>
    <row r="752" spans="1:9" x14ac:dyDescent="0.3">
      <c r="A752" s="1">
        <v>21371</v>
      </c>
      <c r="B752" t="s">
        <v>5392</v>
      </c>
      <c r="C752" s="1">
        <v>2.5499999999999998</v>
      </c>
      <c r="D752" s="1">
        <v>7</v>
      </c>
      <c r="E752" s="2">
        <v>17.565217391304301</v>
      </c>
      <c r="F752" s="1">
        <v>23</v>
      </c>
      <c r="G752" s="1">
        <v>556.01</v>
      </c>
      <c r="H752" s="1" t="s">
        <v>8</v>
      </c>
      <c r="I752" t="str">
        <f t="shared" si="11"/>
        <v>MIRRORED WALL ART POPPIES [21371]</v>
      </c>
    </row>
    <row r="753" spans="1:9" x14ac:dyDescent="0.3">
      <c r="A753" s="1">
        <v>21372</v>
      </c>
      <c r="B753" t="s">
        <v>5391</v>
      </c>
      <c r="C753" s="1">
        <v>3.4849999999999999</v>
      </c>
      <c r="D753" s="1">
        <v>7</v>
      </c>
      <c r="E753" s="2">
        <v>9.5833333333333304</v>
      </c>
      <c r="F753" s="1">
        <v>12</v>
      </c>
      <c r="G753" s="1">
        <v>236.26</v>
      </c>
      <c r="H753" s="1" t="s">
        <v>8</v>
      </c>
      <c r="I753" t="str">
        <f t="shared" si="11"/>
        <v>MIRRORED WALL ART TABLE LAMP [21372]</v>
      </c>
    </row>
    <row r="754" spans="1:9" x14ac:dyDescent="0.3">
      <c r="A754" s="1">
        <v>21373</v>
      </c>
      <c r="B754" t="s">
        <v>5390</v>
      </c>
      <c r="C754" s="1">
        <v>0.75</v>
      </c>
      <c r="D754" s="1">
        <v>72</v>
      </c>
      <c r="E754" s="2">
        <v>69.8888888888888</v>
      </c>
      <c r="F754" s="1">
        <v>9</v>
      </c>
      <c r="G754" s="1">
        <v>524.19000000000005</v>
      </c>
      <c r="H754" s="1" t="s">
        <v>10</v>
      </c>
      <c r="I754" t="str">
        <f t="shared" si="11"/>
        <v>MIRRORED WALL ART SNOWFLAKES [21373]</v>
      </c>
    </row>
    <row r="755" spans="1:9" x14ac:dyDescent="0.3">
      <c r="A755" s="1">
        <v>21374</v>
      </c>
      <c r="B755" t="s">
        <v>5389</v>
      </c>
      <c r="C755" s="1">
        <v>3.2749999999999999</v>
      </c>
      <c r="D755" s="1">
        <v>9</v>
      </c>
      <c r="E755" s="1">
        <v>23.5</v>
      </c>
      <c r="F755" s="1">
        <v>20</v>
      </c>
      <c r="G755" s="1">
        <v>809.67</v>
      </c>
      <c r="H755" s="1" t="s">
        <v>8</v>
      </c>
      <c r="I755" t="str">
        <f t="shared" si="11"/>
        <v>MIRRORED WALL ART SKULLS [21374]</v>
      </c>
    </row>
    <row r="756" spans="1:9" x14ac:dyDescent="0.3">
      <c r="A756" s="1">
        <v>21375</v>
      </c>
      <c r="B756" t="s">
        <v>5388</v>
      </c>
      <c r="C756" s="1">
        <v>7.39</v>
      </c>
      <c r="D756" s="1">
        <v>3</v>
      </c>
      <c r="E756" s="2">
        <v>5.6956521739130404</v>
      </c>
      <c r="F756" s="1">
        <v>23</v>
      </c>
      <c r="G756" s="1">
        <v>813.85</v>
      </c>
      <c r="H756" s="1" t="s">
        <v>8</v>
      </c>
      <c r="I756" t="str">
        <f t="shared" si="11"/>
        <v>LARGE CAMPHOR WOOD FIELD MUSHROOM [21375]</v>
      </c>
    </row>
    <row r="757" spans="1:9" x14ac:dyDescent="0.3">
      <c r="A757" s="1">
        <v>21376</v>
      </c>
      <c r="B757" t="s">
        <v>5387</v>
      </c>
      <c r="C757" s="1">
        <v>5.45</v>
      </c>
      <c r="D757" s="1">
        <v>4</v>
      </c>
      <c r="E757" s="2">
        <v>8.6190476190476097</v>
      </c>
      <c r="F757" s="1">
        <v>21</v>
      </c>
      <c r="G757" s="1">
        <v>847.41</v>
      </c>
      <c r="H757" s="1" t="s">
        <v>8</v>
      </c>
      <c r="I757" t="str">
        <f t="shared" si="11"/>
        <v>LARGE  TALL CAMPHOR WOOD TOADSTOOL [21376]</v>
      </c>
    </row>
    <row r="758" spans="1:9" x14ac:dyDescent="0.3">
      <c r="A758" s="1">
        <v>21377</v>
      </c>
      <c r="B758" t="s">
        <v>5386</v>
      </c>
      <c r="C758" s="1">
        <v>2.2000000000000002</v>
      </c>
      <c r="D758" s="1">
        <v>10</v>
      </c>
      <c r="E758" s="2">
        <v>21.434782608695599</v>
      </c>
      <c r="F758" s="1">
        <v>23</v>
      </c>
      <c r="G758" s="1">
        <v>729.91</v>
      </c>
      <c r="H758" s="1" t="s">
        <v>8</v>
      </c>
      <c r="I758" t="str">
        <f t="shared" si="11"/>
        <v>SMALL CAMPHOR WOOD FIELD  MUSHROOM [21377]</v>
      </c>
    </row>
    <row r="759" spans="1:9" x14ac:dyDescent="0.3">
      <c r="A759" s="1">
        <v>21378</v>
      </c>
      <c r="B759" t="s">
        <v>5385</v>
      </c>
      <c r="C759" s="1">
        <v>1.65</v>
      </c>
      <c r="D759" s="1">
        <v>14</v>
      </c>
      <c r="E759" s="2">
        <v>23.3333333333333</v>
      </c>
      <c r="F759" s="1">
        <v>24</v>
      </c>
      <c r="G759" s="1">
        <v>728.97</v>
      </c>
      <c r="H759" s="1" t="s">
        <v>9</v>
      </c>
      <c r="I759" t="str">
        <f t="shared" si="11"/>
        <v>SMALL TALL CAMPHOR WOOD TOADSTOOL [21378]</v>
      </c>
    </row>
    <row r="760" spans="1:9" x14ac:dyDescent="0.3">
      <c r="A760" s="1">
        <v>21379</v>
      </c>
      <c r="B760" t="s">
        <v>5384</v>
      </c>
      <c r="C760" s="1">
        <v>1.55</v>
      </c>
      <c r="D760" s="1">
        <v>13</v>
      </c>
      <c r="E760" s="2">
        <v>24.6538461538461</v>
      </c>
      <c r="F760" s="1">
        <v>25</v>
      </c>
      <c r="G760" s="1">
        <v>705.46</v>
      </c>
      <c r="H760" s="1" t="s">
        <v>9</v>
      </c>
      <c r="I760" t="str">
        <f t="shared" si="11"/>
        <v>CAMPHOR WOOD PORTOBELLO MUSHROOM [21379]</v>
      </c>
    </row>
    <row r="761" spans="1:9" x14ac:dyDescent="0.3">
      <c r="A761" s="1">
        <v>21380</v>
      </c>
      <c r="B761" t="s">
        <v>5383</v>
      </c>
      <c r="C761" s="1">
        <v>3.03</v>
      </c>
      <c r="D761" s="1">
        <v>145</v>
      </c>
      <c r="E761" s="1">
        <v>201.24</v>
      </c>
      <c r="F761" s="1">
        <v>25</v>
      </c>
      <c r="G761" s="1">
        <v>14593.32</v>
      </c>
      <c r="H761" s="1" t="s">
        <v>10</v>
      </c>
      <c r="I761" t="str">
        <f t="shared" si="11"/>
        <v>WOODEN HAPPY BIRTHDAY GARLAND [21380]</v>
      </c>
    </row>
    <row r="762" spans="1:9" x14ac:dyDescent="0.3">
      <c r="A762" s="1">
        <v>21381</v>
      </c>
      <c r="B762" t="s">
        <v>5382</v>
      </c>
      <c r="C762" s="1">
        <v>1.78</v>
      </c>
      <c r="D762" s="1">
        <v>153</v>
      </c>
      <c r="E762" s="1">
        <v>204.16</v>
      </c>
      <c r="F762" s="1">
        <v>25</v>
      </c>
      <c r="G762" s="1">
        <v>8568</v>
      </c>
      <c r="H762" s="1" t="s">
        <v>10</v>
      </c>
      <c r="I762" t="str">
        <f t="shared" si="11"/>
        <v>MINI WOODEN HAPPY BIRTHDAY GARLAND [21381]</v>
      </c>
    </row>
    <row r="763" spans="1:9" x14ac:dyDescent="0.3">
      <c r="A763" s="1">
        <v>21382</v>
      </c>
      <c r="B763" t="s">
        <v>5381</v>
      </c>
      <c r="C763" s="1">
        <v>2.99</v>
      </c>
      <c r="D763" s="1">
        <v>21.5</v>
      </c>
      <c r="E763" s="2">
        <v>52.714285714285701</v>
      </c>
      <c r="F763" s="1">
        <v>14</v>
      </c>
      <c r="G763" s="1">
        <v>1280.58</v>
      </c>
      <c r="H763" s="1" t="s">
        <v>9</v>
      </c>
      <c r="I763" t="str">
        <f t="shared" si="11"/>
        <v>SET/4 SPRING FLOWER DECORATION [21382]</v>
      </c>
    </row>
    <row r="764" spans="1:9" x14ac:dyDescent="0.3">
      <c r="A764" s="1">
        <v>21383</v>
      </c>
      <c r="B764" t="s">
        <v>5380</v>
      </c>
      <c r="C764" s="1">
        <v>0.76</v>
      </c>
      <c r="D764" s="1">
        <v>25</v>
      </c>
      <c r="E764" s="1">
        <v>88.16</v>
      </c>
      <c r="F764" s="1">
        <v>25</v>
      </c>
      <c r="G764" s="1">
        <v>1590.43</v>
      </c>
      <c r="H764" s="1" t="s">
        <v>9</v>
      </c>
      <c r="I764" t="str">
        <f t="shared" si="11"/>
        <v>PACK OF 12 STICKY BUNNIES [21383]</v>
      </c>
    </row>
    <row r="765" spans="1:9" x14ac:dyDescent="0.3">
      <c r="A765" s="1">
        <v>21384</v>
      </c>
      <c r="B765" t="s">
        <v>5379</v>
      </c>
      <c r="C765" s="1">
        <v>0.875</v>
      </c>
      <c r="D765" s="1">
        <v>313</v>
      </c>
      <c r="E765" s="1">
        <v>319.5</v>
      </c>
      <c r="F765" s="1">
        <v>6</v>
      </c>
      <c r="G765" s="1">
        <v>1810.19</v>
      </c>
      <c r="H765" s="1" t="s">
        <v>10</v>
      </c>
      <c r="I765" t="str">
        <f t="shared" si="11"/>
        <v>IVORY HANGING DECORATION  BUTTERFLY [21384]</v>
      </c>
    </row>
    <row r="766" spans="1:9" x14ac:dyDescent="0.3">
      <c r="A766" s="1">
        <v>21385</v>
      </c>
      <c r="B766" t="s">
        <v>5378</v>
      </c>
      <c r="C766" s="1">
        <v>0.9</v>
      </c>
      <c r="D766" s="1">
        <v>399</v>
      </c>
      <c r="E766" s="2">
        <v>451.33333333333297</v>
      </c>
      <c r="F766" s="1">
        <v>24</v>
      </c>
      <c r="G766" s="1">
        <v>9358.94</v>
      </c>
      <c r="H766" s="1" t="s">
        <v>10</v>
      </c>
      <c r="I766" t="str">
        <f t="shared" si="11"/>
        <v>IVORY HANGING DECORATION  HEART [21385]</v>
      </c>
    </row>
    <row r="767" spans="1:9" x14ac:dyDescent="0.3">
      <c r="A767" s="1">
        <v>21386</v>
      </c>
      <c r="B767" t="s">
        <v>5377</v>
      </c>
      <c r="C767" s="1">
        <v>0.89</v>
      </c>
      <c r="D767" s="1">
        <v>29</v>
      </c>
      <c r="E767" s="1">
        <v>46</v>
      </c>
      <c r="F767" s="1">
        <v>14</v>
      </c>
      <c r="G767" s="1">
        <v>585.02</v>
      </c>
      <c r="H767" s="1" t="s">
        <v>9</v>
      </c>
      <c r="I767" t="str">
        <f t="shared" si="11"/>
        <v>IVORY HANGING DECORATION  EGG [21386]</v>
      </c>
    </row>
    <row r="768" spans="1:9" x14ac:dyDescent="0.3">
      <c r="A768" s="1">
        <v>21387</v>
      </c>
      <c r="B768" t="s">
        <v>5376</v>
      </c>
      <c r="C768" s="1">
        <v>0.85</v>
      </c>
      <c r="D768" s="1">
        <v>12.5</v>
      </c>
      <c r="E768" s="1">
        <v>12.5</v>
      </c>
      <c r="F768" s="1">
        <v>2</v>
      </c>
      <c r="G768" s="1">
        <v>21.25</v>
      </c>
      <c r="H768" s="1" t="s">
        <v>9</v>
      </c>
      <c r="I768" t="str">
        <f t="shared" si="11"/>
        <v>IVORY HANGING DECORATION  RABBIT [21387]</v>
      </c>
    </row>
    <row r="769" spans="1:9" x14ac:dyDescent="0.3">
      <c r="A769" s="1">
        <v>21388</v>
      </c>
      <c r="B769" t="s">
        <v>5375</v>
      </c>
      <c r="C769" s="1">
        <v>0.85</v>
      </c>
      <c r="D769" s="1">
        <v>58.5</v>
      </c>
      <c r="E769" s="1">
        <v>77.75</v>
      </c>
      <c r="F769" s="1">
        <v>4</v>
      </c>
      <c r="G769" s="2">
        <v>290.16999999999899</v>
      </c>
      <c r="H769" s="1" t="s">
        <v>9</v>
      </c>
      <c r="I769" t="str">
        <f t="shared" si="11"/>
        <v>IVORY HANGING DECORATION  CHICKEN [21388]</v>
      </c>
    </row>
    <row r="770" spans="1:9" x14ac:dyDescent="0.3">
      <c r="A770" s="1">
        <v>21389</v>
      </c>
      <c r="B770" t="s">
        <v>5374</v>
      </c>
      <c r="C770" s="1">
        <v>0.87</v>
      </c>
      <c r="D770" s="1">
        <v>65</v>
      </c>
      <c r="E770" s="1">
        <v>91.96</v>
      </c>
      <c r="F770" s="1">
        <v>25</v>
      </c>
      <c r="G770" s="1">
        <v>2008.09</v>
      </c>
      <c r="H770" s="1" t="s">
        <v>10</v>
      </c>
      <c r="I770" t="str">
        <f t="shared" si="11"/>
        <v>IVORY HANGING DECORATION  BIRD [21389]</v>
      </c>
    </row>
    <row r="771" spans="1:9" x14ac:dyDescent="0.3">
      <c r="A771" s="1">
        <v>21390</v>
      </c>
      <c r="B771" t="s">
        <v>5373</v>
      </c>
      <c r="C771" s="1">
        <v>1.26</v>
      </c>
      <c r="D771" s="1">
        <v>480</v>
      </c>
      <c r="E771" s="1">
        <v>437.48</v>
      </c>
      <c r="F771" s="1">
        <v>25</v>
      </c>
      <c r="G771" s="1">
        <v>13552.97</v>
      </c>
      <c r="H771" s="1" t="s">
        <v>10</v>
      </c>
      <c r="I771" t="str">
        <f t="shared" ref="I771:I834" si="12">B771&amp;" ["&amp;A771&amp;"]"</f>
        <v>FILIGRIS HEART WITH BUTTERFLY [21390]</v>
      </c>
    </row>
    <row r="772" spans="1:9" x14ac:dyDescent="0.3">
      <c r="A772" s="1">
        <v>21391</v>
      </c>
      <c r="B772" t="s">
        <v>5372</v>
      </c>
      <c r="C772" s="1">
        <v>2.14</v>
      </c>
      <c r="D772" s="1">
        <v>21</v>
      </c>
      <c r="E772" s="1">
        <v>56.68</v>
      </c>
      <c r="F772" s="1">
        <v>24</v>
      </c>
      <c r="G772" s="2">
        <v>1811.8899999999901</v>
      </c>
      <c r="H772" s="1" t="s">
        <v>9</v>
      </c>
      <c r="I772" t="str">
        <f t="shared" si="12"/>
        <v>FRENCH EMROIDR LAVENDER SCENT HEART [21391]</v>
      </c>
    </row>
    <row r="773" spans="1:9" x14ac:dyDescent="0.3">
      <c r="A773" s="1">
        <v>21392</v>
      </c>
      <c r="B773" t="s">
        <v>5371</v>
      </c>
      <c r="C773" s="1">
        <v>2.23</v>
      </c>
      <c r="D773" s="1">
        <v>16</v>
      </c>
      <c r="E773" s="2">
        <v>16.923076923076898</v>
      </c>
      <c r="F773" s="1">
        <v>13</v>
      </c>
      <c r="G773" s="1">
        <v>497.82</v>
      </c>
      <c r="H773" s="1" t="s">
        <v>9</v>
      </c>
      <c r="I773" t="str">
        <f t="shared" si="12"/>
        <v>RED SPOTTY PUDDING BOWL [21392]</v>
      </c>
    </row>
    <row r="774" spans="1:9" x14ac:dyDescent="0.3">
      <c r="A774" s="1">
        <v>21393</v>
      </c>
      <c r="B774" t="s">
        <v>5370</v>
      </c>
      <c r="C774" s="1">
        <v>2.1</v>
      </c>
      <c r="D774" s="1">
        <v>19.5</v>
      </c>
      <c r="E774" s="1">
        <v>22.7</v>
      </c>
      <c r="F774" s="1">
        <v>10</v>
      </c>
      <c r="G774" s="1">
        <v>493.58</v>
      </c>
      <c r="H774" s="1" t="s">
        <v>9</v>
      </c>
      <c r="I774" t="str">
        <f t="shared" si="12"/>
        <v>BLUE  SPOTTY PUDDING BOWL [21393]</v>
      </c>
    </row>
    <row r="775" spans="1:9" x14ac:dyDescent="0.3">
      <c r="A775" s="1">
        <v>21394</v>
      </c>
      <c r="B775" t="s">
        <v>5369</v>
      </c>
      <c r="C775" s="1">
        <v>1.95</v>
      </c>
      <c r="D775" s="1">
        <v>6.5</v>
      </c>
      <c r="E775" s="1">
        <v>12.25</v>
      </c>
      <c r="F775" s="1">
        <v>12</v>
      </c>
      <c r="G775" s="1">
        <v>276.69</v>
      </c>
      <c r="H775" s="1" t="s">
        <v>8</v>
      </c>
      <c r="I775" t="str">
        <f t="shared" si="12"/>
        <v>RED SPOTTY BEAKER [21394]</v>
      </c>
    </row>
    <row r="776" spans="1:9" x14ac:dyDescent="0.3">
      <c r="A776" s="1">
        <v>21395</v>
      </c>
      <c r="B776" t="s">
        <v>5368</v>
      </c>
      <c r="C776" s="1">
        <v>1.95</v>
      </c>
      <c r="D776" s="1">
        <v>9</v>
      </c>
      <c r="E776" s="2">
        <v>10.8333333333333</v>
      </c>
      <c r="F776" s="1">
        <v>11</v>
      </c>
      <c r="G776" s="1">
        <v>262.54000000000002</v>
      </c>
      <c r="H776" s="1" t="s">
        <v>8</v>
      </c>
      <c r="I776" t="str">
        <f t="shared" si="12"/>
        <v>BLUE SPOTTY BEAKER [21395]</v>
      </c>
    </row>
    <row r="777" spans="1:9" x14ac:dyDescent="0.3">
      <c r="A777" s="1">
        <v>21396</v>
      </c>
      <c r="B777" t="s">
        <v>5367</v>
      </c>
      <c r="C777" s="1">
        <v>1.25</v>
      </c>
      <c r="D777" s="1">
        <v>203.5</v>
      </c>
      <c r="E777" s="1">
        <v>158</v>
      </c>
      <c r="F777" s="1">
        <v>6</v>
      </c>
      <c r="G777" s="1">
        <v>1205.25</v>
      </c>
      <c r="H777" s="1" t="s">
        <v>10</v>
      </c>
      <c r="I777" t="str">
        <f t="shared" si="12"/>
        <v>RED SPOTTY EGG CUP [21396]</v>
      </c>
    </row>
    <row r="778" spans="1:9" x14ac:dyDescent="0.3">
      <c r="A778" s="1">
        <v>21397</v>
      </c>
      <c r="B778" t="s">
        <v>5366</v>
      </c>
      <c r="C778" s="1">
        <v>1.35</v>
      </c>
      <c r="D778" s="1">
        <v>49</v>
      </c>
      <c r="E778" s="2">
        <v>113.526315789473</v>
      </c>
      <c r="F778" s="1">
        <v>18</v>
      </c>
      <c r="G778" s="1">
        <v>2017.74</v>
      </c>
      <c r="H778" s="1" t="s">
        <v>9</v>
      </c>
      <c r="I778" t="str">
        <f t="shared" si="12"/>
        <v>BLUE  SPOTTY EGG CUP [21397]</v>
      </c>
    </row>
    <row r="779" spans="1:9" x14ac:dyDescent="0.3">
      <c r="A779" s="1">
        <v>21398</v>
      </c>
      <c r="B779" t="s">
        <v>5365</v>
      </c>
      <c r="C779" s="1">
        <v>2.1749999999999998</v>
      </c>
      <c r="D779" s="1">
        <v>23.5</v>
      </c>
      <c r="E779" s="1">
        <v>50.5</v>
      </c>
      <c r="F779" s="1">
        <v>15</v>
      </c>
      <c r="G779" s="1">
        <v>1619.69</v>
      </c>
      <c r="H779" s="1" t="s">
        <v>9</v>
      </c>
      <c r="I779" t="str">
        <f t="shared" si="12"/>
        <v>RED  SPOTTY COFFEE  MUG [21398]</v>
      </c>
    </row>
    <row r="780" spans="1:9" x14ac:dyDescent="0.3">
      <c r="A780" s="1">
        <v>21399</v>
      </c>
      <c r="B780" t="s">
        <v>5364</v>
      </c>
      <c r="C780" s="1">
        <v>2.15</v>
      </c>
      <c r="D780" s="1">
        <v>14</v>
      </c>
      <c r="E780" s="2">
        <v>23.733333333333299</v>
      </c>
      <c r="F780" s="1">
        <v>15</v>
      </c>
      <c r="G780" s="1">
        <v>739.5</v>
      </c>
      <c r="H780" s="1" t="s">
        <v>9</v>
      </c>
      <c r="I780" t="str">
        <f t="shared" si="12"/>
        <v>BLUE  SPOTTY  COFFEE MUG [21399]</v>
      </c>
    </row>
    <row r="781" spans="1:9" x14ac:dyDescent="0.3">
      <c r="A781" s="1">
        <v>21400</v>
      </c>
      <c r="B781" t="s">
        <v>5363</v>
      </c>
      <c r="C781" s="1">
        <v>0.42</v>
      </c>
      <c r="D781" s="1">
        <v>27</v>
      </c>
      <c r="E781" s="1">
        <v>49</v>
      </c>
      <c r="F781" s="1">
        <v>22</v>
      </c>
      <c r="G781" s="1">
        <v>213.07</v>
      </c>
      <c r="H781" s="1" t="s">
        <v>9</v>
      </c>
      <c r="I781" t="str">
        <f t="shared" si="12"/>
        <v>RED PUDDING SPOON [21400]</v>
      </c>
    </row>
    <row r="782" spans="1:9" x14ac:dyDescent="0.3">
      <c r="A782" s="1">
        <v>21401</v>
      </c>
      <c r="B782" t="s">
        <v>5362</v>
      </c>
      <c r="C782" s="1">
        <v>0.42</v>
      </c>
      <c r="D782" s="1">
        <v>37</v>
      </c>
      <c r="E782" s="1">
        <v>57.48</v>
      </c>
      <c r="F782" s="1">
        <v>25</v>
      </c>
      <c r="G782" s="1">
        <v>315.7</v>
      </c>
      <c r="H782" s="1" t="s">
        <v>9</v>
      </c>
      <c r="I782" t="str">
        <f t="shared" si="12"/>
        <v>BLUE PUDDING SPOON [21401]</v>
      </c>
    </row>
    <row r="783" spans="1:9" x14ac:dyDescent="0.3">
      <c r="A783" s="1">
        <v>21402</v>
      </c>
      <c r="B783" t="s">
        <v>5361</v>
      </c>
      <c r="C783" s="1">
        <v>0.42</v>
      </c>
      <c r="D783" s="1">
        <v>33</v>
      </c>
      <c r="E783" s="1">
        <v>67.92</v>
      </c>
      <c r="F783" s="1">
        <v>25</v>
      </c>
      <c r="G783" s="1">
        <v>333.42</v>
      </c>
      <c r="H783" s="1" t="s">
        <v>9</v>
      </c>
      <c r="I783" t="str">
        <f t="shared" si="12"/>
        <v>RED  EGG  SPOON [21402]</v>
      </c>
    </row>
    <row r="784" spans="1:9" x14ac:dyDescent="0.3">
      <c r="A784" s="1">
        <v>21403</v>
      </c>
      <c r="B784" t="s">
        <v>5360</v>
      </c>
      <c r="C784" s="1">
        <v>0.42</v>
      </c>
      <c r="D784" s="1">
        <v>69</v>
      </c>
      <c r="E784" s="1">
        <v>96.625</v>
      </c>
      <c r="F784" s="1">
        <v>24</v>
      </c>
      <c r="G784" s="1">
        <v>523.07000000000005</v>
      </c>
      <c r="H784" s="1" t="s">
        <v>10</v>
      </c>
      <c r="I784" t="str">
        <f t="shared" si="12"/>
        <v>BLUE EGG  SPOON [21403]</v>
      </c>
    </row>
    <row r="785" spans="1:9" x14ac:dyDescent="0.3">
      <c r="A785" s="1">
        <v>21406</v>
      </c>
      <c r="B785" t="s">
        <v>5359</v>
      </c>
      <c r="C785" s="1">
        <v>8.65</v>
      </c>
      <c r="D785" s="1">
        <v>1</v>
      </c>
      <c r="E785" s="1">
        <v>1</v>
      </c>
      <c r="F785" s="1">
        <v>1</v>
      </c>
      <c r="G785" s="1">
        <v>8.65</v>
      </c>
      <c r="H785" s="1" t="s">
        <v>8</v>
      </c>
      <c r="I785" t="str">
        <f t="shared" si="12"/>
        <v>SPOTTY CAT DOORSTOP [21406]</v>
      </c>
    </row>
    <row r="786" spans="1:9" x14ac:dyDescent="0.3">
      <c r="A786" s="1">
        <v>21407</v>
      </c>
      <c r="B786" t="s">
        <v>5358</v>
      </c>
      <c r="C786" s="1">
        <v>4.6150000000000002</v>
      </c>
      <c r="D786" s="1">
        <v>40</v>
      </c>
      <c r="E786" s="2">
        <v>53.9166666666666</v>
      </c>
      <c r="F786" s="1">
        <v>24</v>
      </c>
      <c r="G786" s="1">
        <v>5883.33</v>
      </c>
      <c r="H786" s="1" t="s">
        <v>9</v>
      </c>
      <c r="I786" t="str">
        <f t="shared" si="12"/>
        <v>BROWN CHECK CAT DOORSTOP [21407]</v>
      </c>
    </row>
    <row r="787" spans="1:9" x14ac:dyDescent="0.3">
      <c r="A787" s="1">
        <v>21408</v>
      </c>
      <c r="B787" t="s">
        <v>5357</v>
      </c>
      <c r="C787" s="1">
        <v>5.19</v>
      </c>
      <c r="D787" s="1">
        <v>20</v>
      </c>
      <c r="E787" s="1">
        <v>28.12</v>
      </c>
      <c r="F787" s="1">
        <v>25</v>
      </c>
      <c r="G787" s="1">
        <v>3045.31</v>
      </c>
      <c r="H787" s="1" t="s">
        <v>9</v>
      </c>
      <c r="I787" t="str">
        <f t="shared" si="12"/>
        <v>SPOTTY PINK DUCK DOORSTOP [21408]</v>
      </c>
    </row>
    <row r="788" spans="1:9" x14ac:dyDescent="0.3">
      <c r="A788" s="1">
        <v>21409</v>
      </c>
      <c r="B788" t="s">
        <v>5356</v>
      </c>
      <c r="C788" s="1">
        <v>4.25</v>
      </c>
      <c r="D788" s="1">
        <v>1</v>
      </c>
      <c r="E788" s="1">
        <v>1</v>
      </c>
      <c r="F788" s="1">
        <v>1</v>
      </c>
      <c r="G788" s="1">
        <v>4.25</v>
      </c>
      <c r="H788" s="1" t="s">
        <v>8</v>
      </c>
      <c r="I788" t="str">
        <f t="shared" si="12"/>
        <v>SPOTTY COCKEREL DOORSTOP [21409]</v>
      </c>
    </row>
    <row r="789" spans="1:9" x14ac:dyDescent="0.3">
      <c r="A789" s="1">
        <v>21410</v>
      </c>
      <c r="B789" t="s">
        <v>5355</v>
      </c>
      <c r="C789" s="1">
        <v>4.75</v>
      </c>
      <c r="D789" s="1">
        <v>23</v>
      </c>
      <c r="E789" s="1">
        <v>24</v>
      </c>
      <c r="F789" s="1">
        <v>13</v>
      </c>
      <c r="G789" s="1">
        <v>1458.28</v>
      </c>
      <c r="H789" s="1" t="s">
        <v>9</v>
      </c>
      <c r="I789" t="str">
        <f t="shared" si="12"/>
        <v>COUNTRY COTTAGE  DOORSTOP GREEN [21410]</v>
      </c>
    </row>
    <row r="790" spans="1:9" x14ac:dyDescent="0.3">
      <c r="A790" s="1">
        <v>21411</v>
      </c>
      <c r="B790" t="s">
        <v>5354</v>
      </c>
      <c r="C790" s="1">
        <v>4.4000000000000004</v>
      </c>
      <c r="D790" s="1">
        <v>63</v>
      </c>
      <c r="E790" s="1">
        <v>83.6</v>
      </c>
      <c r="F790" s="1">
        <v>25</v>
      </c>
      <c r="G790" s="1">
        <v>8352.94</v>
      </c>
      <c r="H790" s="1" t="s">
        <v>10</v>
      </c>
      <c r="I790" t="str">
        <f t="shared" si="12"/>
        <v>GINGHAM HEART  DOORSTOP RED [21411]</v>
      </c>
    </row>
    <row r="791" spans="1:9" x14ac:dyDescent="0.3">
      <c r="A791" s="1">
        <v>21412</v>
      </c>
      <c r="B791" t="s">
        <v>5353</v>
      </c>
      <c r="C791" s="1">
        <v>0.51</v>
      </c>
      <c r="D791" s="1">
        <v>25</v>
      </c>
      <c r="E791" s="1">
        <v>39.200000000000003</v>
      </c>
      <c r="F791" s="1">
        <v>5</v>
      </c>
      <c r="G791" s="1">
        <v>120.22</v>
      </c>
      <c r="H791" s="1" t="s">
        <v>9</v>
      </c>
      <c r="I791" t="str">
        <f t="shared" si="12"/>
        <v>VINTAGE GOLD TINSEL REEL [21412]</v>
      </c>
    </row>
    <row r="792" spans="1:9" x14ac:dyDescent="0.3">
      <c r="A792" s="1">
        <v>21413</v>
      </c>
      <c r="B792" t="s">
        <v>5352</v>
      </c>
      <c r="C792" s="1">
        <v>1.32</v>
      </c>
      <c r="D792" s="1">
        <v>7</v>
      </c>
      <c r="E792" s="2">
        <v>10.9333333333333</v>
      </c>
      <c r="F792" s="1">
        <v>15</v>
      </c>
      <c r="G792" s="1">
        <v>232.74</v>
      </c>
      <c r="H792" s="1" t="s">
        <v>8</v>
      </c>
      <c r="I792" t="str">
        <f t="shared" si="12"/>
        <v>PERIWINKLE T-LIGHT HOLDER [21413]</v>
      </c>
    </row>
    <row r="793" spans="1:9" x14ac:dyDescent="0.3">
      <c r="A793" s="1">
        <v>21414</v>
      </c>
      <c r="B793" t="s">
        <v>5351</v>
      </c>
      <c r="C793" s="1">
        <v>2.17</v>
      </c>
      <c r="D793" s="1">
        <v>2</v>
      </c>
      <c r="E793" s="2">
        <v>12.4545454545454</v>
      </c>
      <c r="F793" s="1">
        <v>11</v>
      </c>
      <c r="G793" s="1">
        <v>330.89</v>
      </c>
      <c r="H793" s="1" t="s">
        <v>8</v>
      </c>
      <c r="I793" t="str">
        <f t="shared" si="12"/>
        <v>SCALLOP SHELL SOAP DISH [21414]</v>
      </c>
    </row>
    <row r="794" spans="1:9" x14ac:dyDescent="0.3">
      <c r="A794" s="1">
        <v>21415</v>
      </c>
      <c r="B794" t="s">
        <v>5350</v>
      </c>
      <c r="C794" s="1">
        <v>2.19</v>
      </c>
      <c r="D794" s="1">
        <v>13</v>
      </c>
      <c r="E794" s="1">
        <v>13.92</v>
      </c>
      <c r="F794" s="1">
        <v>25</v>
      </c>
      <c r="G794" s="1">
        <v>726.16</v>
      </c>
      <c r="H794" s="1" t="s">
        <v>9</v>
      </c>
      <c r="I794" t="str">
        <f t="shared" si="12"/>
        <v>CLAM SHELL SMALL [21415]</v>
      </c>
    </row>
    <row r="795" spans="1:9" x14ac:dyDescent="0.3">
      <c r="A795" s="1">
        <v>21416</v>
      </c>
      <c r="B795" t="s">
        <v>5349</v>
      </c>
      <c r="C795" s="1">
        <v>3.75</v>
      </c>
      <c r="D795" s="1">
        <v>1</v>
      </c>
      <c r="E795" s="2">
        <v>2.1666666666666599</v>
      </c>
      <c r="F795" s="1">
        <v>12</v>
      </c>
      <c r="G795" s="1">
        <v>105.24</v>
      </c>
      <c r="H795" s="1" t="s">
        <v>8</v>
      </c>
      <c r="I795" t="str">
        <f t="shared" si="12"/>
        <v>CLAM SHELL LARGE [21416]</v>
      </c>
    </row>
    <row r="796" spans="1:9" x14ac:dyDescent="0.3">
      <c r="A796" s="1">
        <v>21417</v>
      </c>
      <c r="B796" t="s">
        <v>5348</v>
      </c>
      <c r="C796" s="1">
        <v>2.63</v>
      </c>
      <c r="D796" s="1">
        <v>11</v>
      </c>
      <c r="E796" s="1">
        <v>20.079999999999998</v>
      </c>
      <c r="F796" s="1">
        <v>25</v>
      </c>
      <c r="G796" s="1">
        <v>1023.9</v>
      </c>
      <c r="H796" s="1" t="s">
        <v>9</v>
      </c>
      <c r="I796" t="str">
        <f t="shared" si="12"/>
        <v>COCKLE SHELL DISH [21417]</v>
      </c>
    </row>
    <row r="797" spans="1:9" x14ac:dyDescent="0.3">
      <c r="A797" s="1">
        <v>21418</v>
      </c>
      <c r="B797" t="s">
        <v>5347</v>
      </c>
      <c r="C797" s="1">
        <v>2.91</v>
      </c>
      <c r="D797" s="1">
        <v>7</v>
      </c>
      <c r="E797" s="2">
        <v>7.9090909090909003</v>
      </c>
      <c r="F797" s="1">
        <v>22</v>
      </c>
      <c r="G797" s="1">
        <v>518.04</v>
      </c>
      <c r="H797" s="1" t="s">
        <v>8</v>
      </c>
      <c r="I797" t="str">
        <f t="shared" si="12"/>
        <v>STARFISH SOAP DISH [21418]</v>
      </c>
    </row>
    <row r="798" spans="1:9" x14ac:dyDescent="0.3">
      <c r="A798" s="1">
        <v>21419</v>
      </c>
      <c r="B798" t="s">
        <v>5346</v>
      </c>
      <c r="C798" s="2">
        <v>4.2349999999999897</v>
      </c>
      <c r="D798" s="1">
        <v>3</v>
      </c>
      <c r="E798" s="1">
        <v>8</v>
      </c>
      <c r="F798" s="1">
        <v>6</v>
      </c>
      <c r="G798" s="1">
        <v>187.45</v>
      </c>
      <c r="H798" s="1" t="s">
        <v>8</v>
      </c>
      <c r="I798" t="str">
        <f t="shared" si="12"/>
        <v>CONCH SHELL [21419]</v>
      </c>
    </row>
    <row r="799" spans="1:9" x14ac:dyDescent="0.3">
      <c r="A799" s="1">
        <v>21420</v>
      </c>
      <c r="B799" t="s">
        <v>5345</v>
      </c>
      <c r="C799" s="1">
        <v>3.25</v>
      </c>
      <c r="D799" s="1">
        <v>3</v>
      </c>
      <c r="E799" s="2">
        <v>4.8421052631578902</v>
      </c>
      <c r="F799" s="1">
        <v>19</v>
      </c>
      <c r="G799" s="1">
        <v>310.04000000000002</v>
      </c>
      <c r="H799" s="1" t="s">
        <v>8</v>
      </c>
      <c r="I799" t="str">
        <f t="shared" si="12"/>
        <v>OYSTER TRINKET BOX [21420]</v>
      </c>
    </row>
    <row r="800" spans="1:9" x14ac:dyDescent="0.3">
      <c r="A800" s="1">
        <v>21421</v>
      </c>
      <c r="B800" t="s">
        <v>5344</v>
      </c>
      <c r="C800" s="1">
        <v>1.25</v>
      </c>
      <c r="D800" s="1">
        <v>66</v>
      </c>
      <c r="E800" s="2">
        <v>99.5555555555555</v>
      </c>
      <c r="F800" s="1">
        <v>18</v>
      </c>
      <c r="G800" s="1">
        <v>2144.48</v>
      </c>
      <c r="H800" s="1" t="s">
        <v>10</v>
      </c>
      <c r="I800" t="str">
        <f t="shared" si="12"/>
        <v>PORCELAIN ROSE LARGE [21421]</v>
      </c>
    </row>
    <row r="801" spans="1:9" x14ac:dyDescent="0.3">
      <c r="A801" s="1">
        <v>21422</v>
      </c>
      <c r="B801" t="s">
        <v>5343</v>
      </c>
      <c r="C801" s="1">
        <v>0.86499999999999999</v>
      </c>
      <c r="D801" s="1">
        <v>87</v>
      </c>
      <c r="E801" s="2">
        <v>131.666666666666</v>
      </c>
      <c r="F801" s="1">
        <v>24</v>
      </c>
      <c r="G801" s="1">
        <v>2619.17</v>
      </c>
      <c r="H801" s="1" t="s">
        <v>10</v>
      </c>
      <c r="I801" t="str">
        <f t="shared" si="12"/>
        <v>PORCELAIN ROSE SMALL [21422]</v>
      </c>
    </row>
    <row r="802" spans="1:9" x14ac:dyDescent="0.3">
      <c r="A802" s="1">
        <v>21424</v>
      </c>
      <c r="B802" t="s">
        <v>5342</v>
      </c>
      <c r="C802" s="1">
        <v>3.56</v>
      </c>
      <c r="D802" s="1">
        <v>25</v>
      </c>
      <c r="E802" s="2">
        <v>41.521739130434703</v>
      </c>
      <c r="F802" s="1">
        <v>23</v>
      </c>
      <c r="G802" s="1">
        <v>2861.64</v>
      </c>
      <c r="H802" s="1" t="s">
        <v>9</v>
      </c>
      <c r="I802" t="str">
        <f t="shared" si="12"/>
        <v>WOODLAND STORAGE BOX LARGE [21424]</v>
      </c>
    </row>
    <row r="803" spans="1:9" x14ac:dyDescent="0.3">
      <c r="A803" s="1">
        <v>21425</v>
      </c>
      <c r="B803" t="s">
        <v>5341</v>
      </c>
      <c r="C803" s="1">
        <v>3.48</v>
      </c>
      <c r="D803" s="1">
        <v>7</v>
      </c>
      <c r="E803" s="2">
        <v>21.956521739130402</v>
      </c>
      <c r="F803" s="1">
        <v>23</v>
      </c>
      <c r="G803" s="1">
        <v>1274.93</v>
      </c>
      <c r="H803" s="1" t="s">
        <v>8</v>
      </c>
      <c r="I803" t="str">
        <f t="shared" si="12"/>
        <v>SKULLS STORAGE BOX LARGE [21425]</v>
      </c>
    </row>
    <row r="804" spans="1:9" x14ac:dyDescent="0.3">
      <c r="A804" s="1">
        <v>21426</v>
      </c>
      <c r="B804" t="s">
        <v>5340</v>
      </c>
      <c r="C804" s="1">
        <v>2.25</v>
      </c>
      <c r="D804" s="1">
        <v>15</v>
      </c>
      <c r="E804" s="2">
        <v>42.8333333333333</v>
      </c>
      <c r="F804" s="1">
        <v>24</v>
      </c>
      <c r="G804" s="1">
        <v>1647.07</v>
      </c>
      <c r="H804" s="1" t="s">
        <v>9</v>
      </c>
      <c r="I804" t="str">
        <f t="shared" si="12"/>
        <v>WOODLAND STORAGE BOX SMALL [21426]</v>
      </c>
    </row>
    <row r="805" spans="1:9" x14ac:dyDescent="0.3">
      <c r="A805" s="1">
        <v>21427</v>
      </c>
      <c r="B805" t="s">
        <v>5339</v>
      </c>
      <c r="C805" s="1">
        <v>2.4500000000000002</v>
      </c>
      <c r="D805" s="1">
        <v>12</v>
      </c>
      <c r="E805" s="2">
        <v>22.043478260869499</v>
      </c>
      <c r="F805" s="1">
        <v>23</v>
      </c>
      <c r="G805" s="1">
        <v>999.06</v>
      </c>
      <c r="H805" s="1" t="s">
        <v>9</v>
      </c>
      <c r="I805" t="str">
        <f t="shared" si="12"/>
        <v>SKULLS STORAGE BOX SMALL [21427]</v>
      </c>
    </row>
    <row r="806" spans="1:9" x14ac:dyDescent="0.3">
      <c r="A806" s="1">
        <v>21428</v>
      </c>
      <c r="B806" t="s">
        <v>5338</v>
      </c>
      <c r="C806" s="1">
        <v>4.2300000000000004</v>
      </c>
      <c r="D806" s="1">
        <v>104.5</v>
      </c>
      <c r="E806" s="2">
        <v>131.04545454545399</v>
      </c>
      <c r="F806" s="1">
        <v>22</v>
      </c>
      <c r="G806" s="1">
        <v>11762.93</v>
      </c>
      <c r="H806" s="1" t="s">
        <v>10</v>
      </c>
      <c r="I806" t="str">
        <f t="shared" si="12"/>
        <v>SET3 BOOK BOX GREEN GINGHAM FLOWER [21428]</v>
      </c>
    </row>
    <row r="807" spans="1:9" x14ac:dyDescent="0.3">
      <c r="A807" s="1">
        <v>21429</v>
      </c>
      <c r="B807" t="s">
        <v>5337</v>
      </c>
      <c r="C807" s="1">
        <v>1.81</v>
      </c>
      <c r="D807" s="1">
        <v>220</v>
      </c>
      <c r="E807" s="2">
        <v>276.47826086956502</v>
      </c>
      <c r="F807" s="1">
        <v>23</v>
      </c>
      <c r="G807" s="1">
        <v>11342.25</v>
      </c>
      <c r="H807" s="1" t="s">
        <v>10</v>
      </c>
      <c r="I807" t="str">
        <f t="shared" si="12"/>
        <v>RED GINGHAM ROSE JEWELLERY BOX [21429]</v>
      </c>
    </row>
    <row r="808" spans="1:9" x14ac:dyDescent="0.3">
      <c r="A808" s="1">
        <v>21430</v>
      </c>
      <c r="B808" t="s">
        <v>5336</v>
      </c>
      <c r="C808" s="2">
        <v>3.9449999999999998</v>
      </c>
      <c r="D808" s="1">
        <v>216</v>
      </c>
      <c r="E808" s="1">
        <v>231.05</v>
      </c>
      <c r="F808" s="1">
        <v>20</v>
      </c>
      <c r="G808" s="1">
        <v>18044.97</v>
      </c>
      <c r="H808" s="1" t="s">
        <v>10</v>
      </c>
      <c r="I808" t="str">
        <f t="shared" si="12"/>
        <v>SET/3 RED GINGHAM ROSE STORAGE BOX [21430]</v>
      </c>
    </row>
    <row r="809" spans="1:9" x14ac:dyDescent="0.3">
      <c r="A809" s="1">
        <v>21431</v>
      </c>
      <c r="B809" t="s">
        <v>5335</v>
      </c>
      <c r="C809" s="1">
        <v>1.7</v>
      </c>
      <c r="D809" s="1">
        <v>98</v>
      </c>
      <c r="E809" s="2">
        <v>123.583333333333</v>
      </c>
      <c r="F809" s="1">
        <v>12</v>
      </c>
      <c r="G809" s="1">
        <v>2511.36</v>
      </c>
      <c r="H809" s="1" t="s">
        <v>10</v>
      </c>
      <c r="I809" t="str">
        <f t="shared" si="12"/>
        <v>GREEN GINGHAM FLOWER JEWELLERY BOX [21431]</v>
      </c>
    </row>
    <row r="810" spans="1:9" x14ac:dyDescent="0.3">
      <c r="A810" s="1">
        <v>21432</v>
      </c>
      <c r="B810" t="s">
        <v>5334</v>
      </c>
      <c r="C810" s="1">
        <v>5.7850000000000001</v>
      </c>
      <c r="D810" s="1">
        <v>66.5</v>
      </c>
      <c r="E810" s="1">
        <v>78.5</v>
      </c>
      <c r="F810" s="1">
        <v>12</v>
      </c>
      <c r="G810" s="1">
        <v>5435.91</v>
      </c>
      <c r="H810" s="1" t="s">
        <v>10</v>
      </c>
      <c r="I810" t="str">
        <f t="shared" si="12"/>
        <v>SET OF 3 CASES WOODLAND DESIGN [21432]</v>
      </c>
    </row>
    <row r="811" spans="1:9" x14ac:dyDescent="0.3">
      <c r="A811" s="1">
        <v>21437</v>
      </c>
      <c r="B811" t="s">
        <v>5333</v>
      </c>
      <c r="C811" s="1">
        <v>3.6</v>
      </c>
      <c r="D811" s="1">
        <v>175</v>
      </c>
      <c r="E811" s="1">
        <v>169.25</v>
      </c>
      <c r="F811" s="1">
        <v>4</v>
      </c>
      <c r="G811" s="1">
        <v>2350.92</v>
      </c>
      <c r="H811" s="1" t="s">
        <v>10</v>
      </c>
      <c r="I811" t="str">
        <f t="shared" si="12"/>
        <v>24 HANGING EASTER EGGS FLORAL TUB [21437]</v>
      </c>
    </row>
    <row r="812" spans="1:9" x14ac:dyDescent="0.3">
      <c r="A812" s="1">
        <v>21438</v>
      </c>
      <c r="B812" t="s">
        <v>5332</v>
      </c>
      <c r="C812" s="1">
        <v>3.75</v>
      </c>
      <c r="D812" s="1">
        <v>24</v>
      </c>
      <c r="E812" s="1">
        <v>93.25</v>
      </c>
      <c r="F812" s="1">
        <v>4</v>
      </c>
      <c r="G812" s="1">
        <v>1229.82</v>
      </c>
      <c r="H812" s="1" t="s">
        <v>9</v>
      </c>
      <c r="I812" t="str">
        <f t="shared" si="12"/>
        <v>TUB 24 HANGING EASTER EGGS SPOTTY [21438]</v>
      </c>
    </row>
    <row r="813" spans="1:9" x14ac:dyDescent="0.3">
      <c r="A813" s="1">
        <v>21439</v>
      </c>
      <c r="B813" t="s">
        <v>5331</v>
      </c>
      <c r="C813" s="1">
        <v>1.3</v>
      </c>
      <c r="D813" s="1">
        <v>64</v>
      </c>
      <c r="E813" s="1">
        <v>90.36</v>
      </c>
      <c r="F813" s="1">
        <v>25</v>
      </c>
      <c r="G813" s="1">
        <v>2837.54</v>
      </c>
      <c r="H813" s="1" t="s">
        <v>10</v>
      </c>
      <c r="I813" t="str">
        <f t="shared" si="12"/>
        <v>BASKET OF TOADSTOOLS [21439]</v>
      </c>
    </row>
    <row r="814" spans="1:9" x14ac:dyDescent="0.3">
      <c r="A814" s="1">
        <v>21440</v>
      </c>
      <c r="B814" t="s">
        <v>5330</v>
      </c>
      <c r="C814" s="1">
        <v>1.2549999999999999</v>
      </c>
      <c r="D814" s="1">
        <v>52.5</v>
      </c>
      <c r="E814" s="1">
        <v>59</v>
      </c>
      <c r="F814" s="1">
        <v>8</v>
      </c>
      <c r="G814" s="2">
        <v>597.55999999999995</v>
      </c>
      <c r="H814" s="1" t="s">
        <v>9</v>
      </c>
      <c r="I814" t="str">
        <f t="shared" si="12"/>
        <v>12 MINI TOADSTOOL PEGS [21440]</v>
      </c>
    </row>
    <row r="815" spans="1:9" x14ac:dyDescent="0.3">
      <c r="A815" s="1">
        <v>21441</v>
      </c>
      <c r="B815" t="s">
        <v>5329</v>
      </c>
      <c r="C815" s="1">
        <v>0.93</v>
      </c>
      <c r="D815" s="1">
        <v>19</v>
      </c>
      <c r="E815" s="2">
        <v>34.260869565217298</v>
      </c>
      <c r="F815" s="1">
        <v>23</v>
      </c>
      <c r="G815" s="1">
        <v>628.86</v>
      </c>
      <c r="H815" s="1" t="s">
        <v>9</v>
      </c>
      <c r="I815" t="str">
        <f t="shared" si="12"/>
        <v>BLUE BIRDHOUSE DECORATION [21441]</v>
      </c>
    </row>
    <row r="816" spans="1:9" x14ac:dyDescent="0.3">
      <c r="A816" s="1">
        <v>21442</v>
      </c>
      <c r="B816" t="s">
        <v>5328</v>
      </c>
      <c r="C816" s="1">
        <v>0.94</v>
      </c>
      <c r="D816" s="1">
        <v>23.5</v>
      </c>
      <c r="E816" s="2">
        <v>34.7083333333333</v>
      </c>
      <c r="F816" s="1">
        <v>24</v>
      </c>
      <c r="G816" s="1">
        <v>678.37</v>
      </c>
      <c r="H816" s="1" t="s">
        <v>9</v>
      </c>
      <c r="I816" t="str">
        <f t="shared" si="12"/>
        <v>GREEN BIRDHOUSE DECORATION [21442]</v>
      </c>
    </row>
    <row r="817" spans="1:9" x14ac:dyDescent="0.3">
      <c r="A817" s="1">
        <v>21443</v>
      </c>
      <c r="B817" t="s">
        <v>5327</v>
      </c>
      <c r="C817" s="1">
        <v>3.75</v>
      </c>
      <c r="D817" s="1">
        <v>14</v>
      </c>
      <c r="E817" s="1">
        <v>64.25</v>
      </c>
      <c r="F817" s="1">
        <v>4</v>
      </c>
      <c r="G817" s="2">
        <v>727.93</v>
      </c>
      <c r="H817" s="1" t="s">
        <v>9</v>
      </c>
      <c r="I817" t="str">
        <f t="shared" si="12"/>
        <v>OLIVE CHALET BIRDFEEDER [21443]</v>
      </c>
    </row>
    <row r="818" spans="1:9" x14ac:dyDescent="0.3">
      <c r="A818" s="1">
        <v>21444</v>
      </c>
      <c r="B818" t="s">
        <v>5326</v>
      </c>
      <c r="C818" s="1">
        <v>4.76</v>
      </c>
      <c r="D818" s="1">
        <v>17</v>
      </c>
      <c r="E818" s="1">
        <v>58.2</v>
      </c>
      <c r="F818" s="1">
        <v>5</v>
      </c>
      <c r="G818" s="1">
        <v>902.03</v>
      </c>
      <c r="H818" s="1" t="s">
        <v>9</v>
      </c>
      <c r="I818" t="str">
        <f t="shared" si="12"/>
        <v>BLUE CHALET BIRDFEEDER [21444]</v>
      </c>
    </row>
    <row r="819" spans="1:9" x14ac:dyDescent="0.3">
      <c r="A819" s="1">
        <v>21445</v>
      </c>
      <c r="B819" t="s">
        <v>5325</v>
      </c>
      <c r="C819" s="1">
        <v>1.25</v>
      </c>
      <c r="D819" s="1">
        <v>41.5</v>
      </c>
      <c r="E819" s="2">
        <v>84.3888888888888</v>
      </c>
      <c r="F819" s="1">
        <v>18</v>
      </c>
      <c r="G819" s="1">
        <v>1887.23</v>
      </c>
      <c r="H819" s="1" t="s">
        <v>9</v>
      </c>
      <c r="I819" t="str">
        <f t="shared" si="12"/>
        <v>12 PINK ROSE PEG PLACE SETTINGS [21445]</v>
      </c>
    </row>
    <row r="820" spans="1:9" x14ac:dyDescent="0.3">
      <c r="A820" s="1">
        <v>21446</v>
      </c>
      <c r="B820" t="s">
        <v>5324</v>
      </c>
      <c r="C820" s="1">
        <v>1.32</v>
      </c>
      <c r="D820" s="1">
        <v>50</v>
      </c>
      <c r="E820" s="1">
        <v>50.32</v>
      </c>
      <c r="F820" s="1">
        <v>25</v>
      </c>
      <c r="G820" s="1">
        <v>1669.83</v>
      </c>
      <c r="H820" s="1" t="s">
        <v>9</v>
      </c>
      <c r="I820" t="str">
        <f t="shared" si="12"/>
        <v>12 RED ROSE PEG PLACE SETTINGS [21446]</v>
      </c>
    </row>
    <row r="821" spans="1:9" x14ac:dyDescent="0.3">
      <c r="A821" s="1">
        <v>21447</v>
      </c>
      <c r="B821" t="s">
        <v>5323</v>
      </c>
      <c r="C821" s="1">
        <v>1.46</v>
      </c>
      <c r="D821" s="1">
        <v>115</v>
      </c>
      <c r="E821" s="2">
        <v>126.181818181818</v>
      </c>
      <c r="F821" s="1">
        <v>22</v>
      </c>
      <c r="G821" s="1">
        <v>3842.63</v>
      </c>
      <c r="H821" s="1" t="s">
        <v>10</v>
      </c>
      <c r="I821" t="str">
        <f t="shared" si="12"/>
        <v>12 IVORY ROSE PEG PLACE SETTINGS [21447]</v>
      </c>
    </row>
    <row r="822" spans="1:9" x14ac:dyDescent="0.3">
      <c r="A822" s="1">
        <v>21448</v>
      </c>
      <c r="B822" t="s">
        <v>5322</v>
      </c>
      <c r="C822" s="1">
        <v>1.68</v>
      </c>
      <c r="D822" s="1">
        <v>35</v>
      </c>
      <c r="E822" s="2">
        <v>41.521739130434703</v>
      </c>
      <c r="F822" s="1">
        <v>23</v>
      </c>
      <c r="G822" s="1">
        <v>1640.17</v>
      </c>
      <c r="H822" s="1" t="s">
        <v>9</v>
      </c>
      <c r="I822" t="str">
        <f t="shared" si="12"/>
        <v>12 DAISY PEGS IN WOOD BOX [21448]</v>
      </c>
    </row>
    <row r="823" spans="1:9" x14ac:dyDescent="0.3">
      <c r="A823" s="1">
        <v>21450</v>
      </c>
      <c r="B823" t="s">
        <v>5321</v>
      </c>
      <c r="C823" s="1">
        <v>5.95</v>
      </c>
      <c r="D823" s="1">
        <v>13</v>
      </c>
      <c r="E823" s="1">
        <v>13</v>
      </c>
      <c r="F823" s="1">
        <v>1</v>
      </c>
      <c r="G823" s="1">
        <v>77.349999999999994</v>
      </c>
      <c r="H823" s="1" t="s">
        <v>9</v>
      </c>
      <c r="I823" t="str">
        <f t="shared" si="12"/>
        <v>DISTRESSED CANDLE STICK WHITE [21450]</v>
      </c>
    </row>
    <row r="824" spans="1:9" x14ac:dyDescent="0.3">
      <c r="A824" s="1">
        <v>21452</v>
      </c>
      <c r="B824" t="s">
        <v>5320</v>
      </c>
      <c r="C824" s="1">
        <v>3.07</v>
      </c>
      <c r="D824" s="1">
        <v>77</v>
      </c>
      <c r="E824" s="2">
        <v>85.227272727272705</v>
      </c>
      <c r="F824" s="1">
        <v>22</v>
      </c>
      <c r="G824" s="1">
        <v>5731.33</v>
      </c>
      <c r="H824" s="1" t="s">
        <v>10</v>
      </c>
      <c r="I824" t="str">
        <f t="shared" si="12"/>
        <v>TOADSTOOL MONEY BOX [21452]</v>
      </c>
    </row>
    <row r="825" spans="1:9" x14ac:dyDescent="0.3">
      <c r="A825" s="1">
        <v>21454</v>
      </c>
      <c r="B825" t="s">
        <v>5319</v>
      </c>
      <c r="C825" s="1">
        <v>0.85</v>
      </c>
      <c r="D825" s="1">
        <v>10</v>
      </c>
      <c r="E825" s="2">
        <v>42.590909090909001</v>
      </c>
      <c r="F825" s="1">
        <v>22</v>
      </c>
      <c r="G825" s="1">
        <v>807.6</v>
      </c>
      <c r="H825" s="1" t="s">
        <v>9</v>
      </c>
      <c r="I825" t="str">
        <f t="shared" si="12"/>
        <v>PAINTED PINK RABBIT [21454]</v>
      </c>
    </row>
    <row r="826" spans="1:9" x14ac:dyDescent="0.3">
      <c r="A826" s="1">
        <v>21455</v>
      </c>
      <c r="B826" t="s">
        <v>5318</v>
      </c>
      <c r="C826" s="1">
        <v>0.85</v>
      </c>
      <c r="D826" s="1">
        <v>13</v>
      </c>
      <c r="E826" s="2">
        <v>39.173913043478201</v>
      </c>
      <c r="F826" s="1">
        <v>23</v>
      </c>
      <c r="G826" s="1">
        <v>797.27</v>
      </c>
      <c r="H826" s="1" t="s">
        <v>9</v>
      </c>
      <c r="I826" t="str">
        <f t="shared" si="12"/>
        <v>PAINTED YELLOW WOODEN DAISY [21455]</v>
      </c>
    </row>
    <row r="827" spans="1:9" x14ac:dyDescent="0.3">
      <c r="A827" s="1">
        <v>21456</v>
      </c>
      <c r="B827" t="s">
        <v>5317</v>
      </c>
      <c r="C827" s="1">
        <v>1.25</v>
      </c>
      <c r="D827" s="1">
        <v>14</v>
      </c>
      <c r="E827" s="1">
        <v>67.090909090909093</v>
      </c>
      <c r="F827" s="1">
        <v>11</v>
      </c>
      <c r="G827" s="1">
        <v>776.05</v>
      </c>
      <c r="H827" s="1" t="s">
        <v>9</v>
      </c>
      <c r="I827" t="str">
        <f t="shared" si="12"/>
        <v>2 PICTURE BOOK EGGS EASTER CHICKS [21456]</v>
      </c>
    </row>
    <row r="828" spans="1:9" x14ac:dyDescent="0.3">
      <c r="A828" s="1">
        <v>21457</v>
      </c>
      <c r="B828" t="s">
        <v>5316</v>
      </c>
      <c r="C828" s="1">
        <v>1.25</v>
      </c>
      <c r="D828" s="1">
        <v>24</v>
      </c>
      <c r="E828" s="2">
        <v>62.272727272727202</v>
      </c>
      <c r="F828" s="1">
        <v>11</v>
      </c>
      <c r="G828" s="1">
        <v>716</v>
      </c>
      <c r="H828" s="1" t="s">
        <v>9</v>
      </c>
      <c r="I828" t="str">
        <f t="shared" si="12"/>
        <v>2 PICTURE BOOK EGGS EASTER DUCKS [21457]</v>
      </c>
    </row>
    <row r="829" spans="1:9" x14ac:dyDescent="0.3">
      <c r="A829" s="1">
        <v>21458</v>
      </c>
      <c r="B829" t="s">
        <v>5315</v>
      </c>
      <c r="C829" s="2">
        <v>1.325</v>
      </c>
      <c r="D829" s="1">
        <v>25</v>
      </c>
      <c r="E829" s="1">
        <v>64</v>
      </c>
      <c r="F829" s="1">
        <v>12</v>
      </c>
      <c r="G829" s="1">
        <v>849.24</v>
      </c>
      <c r="H829" s="1" t="s">
        <v>9</v>
      </c>
      <c r="I829" t="str">
        <f t="shared" si="12"/>
        <v>2 PICTURE BOOK EGGS EASTER BUNNY [21458]</v>
      </c>
    </row>
    <row r="830" spans="1:9" x14ac:dyDescent="0.3">
      <c r="A830" s="1">
        <v>21459</v>
      </c>
      <c r="B830" t="s">
        <v>5314</v>
      </c>
      <c r="C830" s="1">
        <v>1.95</v>
      </c>
      <c r="D830" s="1">
        <v>14.5</v>
      </c>
      <c r="E830" s="1">
        <v>32.875</v>
      </c>
      <c r="F830" s="1">
        <v>8</v>
      </c>
      <c r="G830" s="2">
        <v>520.54999999999995</v>
      </c>
      <c r="H830" s="1" t="s">
        <v>9</v>
      </c>
      <c r="I830" t="str">
        <f t="shared" si="12"/>
        <v>YELLOW EASTER EGG HUNT START POST [21459]</v>
      </c>
    </row>
    <row r="831" spans="1:9" x14ac:dyDescent="0.3">
      <c r="A831" s="1">
        <v>21460</v>
      </c>
      <c r="B831" t="s">
        <v>5313</v>
      </c>
      <c r="C831" s="1">
        <v>2.17</v>
      </c>
      <c r="D831" s="1">
        <v>8</v>
      </c>
      <c r="E831" s="2">
        <v>16.1428571428571</v>
      </c>
      <c r="F831" s="1">
        <v>7</v>
      </c>
      <c r="G831" s="2">
        <v>249.64999999999901</v>
      </c>
      <c r="H831" s="1" t="s">
        <v>8</v>
      </c>
      <c r="I831" t="str">
        <f t="shared" si="12"/>
        <v>GREEN EASTER EGG HUNT START POST [21460]</v>
      </c>
    </row>
    <row r="832" spans="1:9" x14ac:dyDescent="0.3">
      <c r="A832" s="1">
        <v>21461</v>
      </c>
      <c r="B832" t="s">
        <v>5312</v>
      </c>
      <c r="C832" s="1">
        <v>2.0550000000000002</v>
      </c>
      <c r="D832" s="1">
        <v>4.5</v>
      </c>
      <c r="E832" s="1">
        <v>10.25</v>
      </c>
      <c r="F832" s="1">
        <v>8</v>
      </c>
      <c r="G832" s="1">
        <v>171.04</v>
      </c>
      <c r="H832" s="1" t="s">
        <v>8</v>
      </c>
      <c r="I832" t="str">
        <f t="shared" si="12"/>
        <v>BLUE EASTER EGG HUNT START POST [21461]</v>
      </c>
    </row>
    <row r="833" spans="1:9" x14ac:dyDescent="0.3">
      <c r="A833" s="1">
        <v>21462</v>
      </c>
      <c r="B833" t="s">
        <v>5311</v>
      </c>
      <c r="C833" s="1">
        <v>6.75</v>
      </c>
      <c r="D833" s="1">
        <v>14</v>
      </c>
      <c r="E833" s="2">
        <v>17.2083333333333</v>
      </c>
      <c r="F833" s="1">
        <v>24</v>
      </c>
      <c r="G833" s="1">
        <v>2425.41</v>
      </c>
      <c r="H833" s="1" t="s">
        <v>9</v>
      </c>
      <c r="I833" t="str">
        <f t="shared" si="12"/>
        <v>NURSERY A,B,C PAINTED LETTERS [21462]</v>
      </c>
    </row>
    <row r="834" spans="1:9" x14ac:dyDescent="0.3">
      <c r="A834" s="1">
        <v>21463</v>
      </c>
      <c r="B834" t="s">
        <v>5310</v>
      </c>
      <c r="C834" s="1">
        <v>5.55</v>
      </c>
      <c r="D834" s="1">
        <v>38</v>
      </c>
      <c r="E834" s="1">
        <v>53.96</v>
      </c>
      <c r="F834" s="1">
        <v>25</v>
      </c>
      <c r="G834" s="2">
        <v>7484.8099999999904</v>
      </c>
      <c r="H834" s="1" t="s">
        <v>9</v>
      </c>
      <c r="I834" t="str">
        <f t="shared" si="12"/>
        <v>MIRRORED DISCO BALL [21463]</v>
      </c>
    </row>
    <row r="835" spans="1:9" x14ac:dyDescent="0.3">
      <c r="A835" s="1">
        <v>21464</v>
      </c>
      <c r="B835" t="s">
        <v>5309</v>
      </c>
      <c r="C835" s="1">
        <v>4.25</v>
      </c>
      <c r="D835" s="1">
        <v>17</v>
      </c>
      <c r="E835" s="1">
        <v>21.56</v>
      </c>
      <c r="F835" s="1">
        <v>25</v>
      </c>
      <c r="G835" s="1">
        <v>2286.75</v>
      </c>
      <c r="H835" s="1" t="s">
        <v>9</v>
      </c>
      <c r="I835" t="str">
        <f t="shared" ref="I835:I898" si="13">B835&amp;" ["&amp;A835&amp;"]"</f>
        <v>DISCO BALL ROTATOR BATTERY OPERATED [21464]</v>
      </c>
    </row>
    <row r="836" spans="1:9" x14ac:dyDescent="0.3">
      <c r="A836" s="1">
        <v>21465</v>
      </c>
      <c r="B836" t="s">
        <v>5308</v>
      </c>
      <c r="C836" s="1">
        <v>3.75</v>
      </c>
      <c r="D836" s="1">
        <v>18</v>
      </c>
      <c r="E836" s="1">
        <v>31.72</v>
      </c>
      <c r="F836" s="1">
        <v>25</v>
      </c>
      <c r="G836" s="1">
        <v>2875.64</v>
      </c>
      <c r="H836" s="1" t="s">
        <v>9</v>
      </c>
      <c r="I836" t="str">
        <f t="shared" si="13"/>
        <v>PINK FLOWER CROCHET FOOD COVER [21465]</v>
      </c>
    </row>
    <row r="837" spans="1:9" x14ac:dyDescent="0.3">
      <c r="A837" s="1">
        <v>21466</v>
      </c>
      <c r="B837" t="s">
        <v>5307</v>
      </c>
      <c r="C837" s="1">
        <v>3.75</v>
      </c>
      <c r="D837" s="1">
        <v>27</v>
      </c>
      <c r="E837" s="1">
        <v>37.08</v>
      </c>
      <c r="F837" s="1">
        <v>25</v>
      </c>
      <c r="G837" s="1">
        <v>3479.79</v>
      </c>
      <c r="H837" s="1" t="s">
        <v>9</v>
      </c>
      <c r="I837" t="str">
        <f t="shared" si="13"/>
        <v>RED FLOWER CROCHET FOOD COVER [21466]</v>
      </c>
    </row>
    <row r="838" spans="1:9" x14ac:dyDescent="0.3">
      <c r="A838" s="1">
        <v>21467</v>
      </c>
      <c r="B838" t="s">
        <v>5306</v>
      </c>
      <c r="C838" s="1">
        <v>3.82</v>
      </c>
      <c r="D838" s="1">
        <v>20</v>
      </c>
      <c r="E838" s="1">
        <v>41</v>
      </c>
      <c r="F838" s="1">
        <v>25</v>
      </c>
      <c r="G838" s="1">
        <v>3263.75</v>
      </c>
      <c r="H838" s="1" t="s">
        <v>9</v>
      </c>
      <c r="I838" t="str">
        <f t="shared" si="13"/>
        <v>CHERRY CROCHET FOOD COVER [21467]</v>
      </c>
    </row>
    <row r="839" spans="1:9" x14ac:dyDescent="0.3">
      <c r="A839" s="1">
        <v>21468</v>
      </c>
      <c r="B839" t="s">
        <v>5305</v>
      </c>
      <c r="C839" s="1">
        <v>3.75</v>
      </c>
      <c r="D839" s="1">
        <v>14</v>
      </c>
      <c r="E839" s="2">
        <v>29.086956521739101</v>
      </c>
      <c r="F839" s="1">
        <v>23</v>
      </c>
      <c r="G839" s="1">
        <v>2361.39</v>
      </c>
      <c r="H839" s="1" t="s">
        <v>9</v>
      </c>
      <c r="I839" t="str">
        <f t="shared" si="13"/>
        <v>BUTTERFLY CROCHET FOOD COVER [21468]</v>
      </c>
    </row>
    <row r="840" spans="1:9" x14ac:dyDescent="0.3">
      <c r="A840" s="1">
        <v>21469</v>
      </c>
      <c r="B840" t="s">
        <v>5304</v>
      </c>
      <c r="C840" s="1">
        <v>3.75</v>
      </c>
      <c r="D840" s="1">
        <v>21</v>
      </c>
      <c r="E840" s="1">
        <v>46.6</v>
      </c>
      <c r="F840" s="1">
        <v>25</v>
      </c>
      <c r="G840" s="1">
        <v>3482.01</v>
      </c>
      <c r="H840" s="1" t="s">
        <v>9</v>
      </c>
      <c r="I840" t="str">
        <f t="shared" si="13"/>
        <v>POLKA DOT RAFFIA FOOD COVER [21469]</v>
      </c>
    </row>
    <row r="841" spans="1:9" x14ac:dyDescent="0.3">
      <c r="A841" s="1">
        <v>21470</v>
      </c>
      <c r="B841" t="s">
        <v>5303</v>
      </c>
      <c r="C841" s="1">
        <v>3.96</v>
      </c>
      <c r="D841" s="1">
        <v>34</v>
      </c>
      <c r="E841" s="1">
        <v>44.08</v>
      </c>
      <c r="F841" s="1">
        <v>25</v>
      </c>
      <c r="G841" s="1">
        <v>4190.93</v>
      </c>
      <c r="H841" s="1" t="s">
        <v>9</v>
      </c>
      <c r="I841" t="str">
        <f t="shared" si="13"/>
        <v>FLOWER VINE RAFFIA FOOD COVER [21470]</v>
      </c>
    </row>
    <row r="842" spans="1:9" x14ac:dyDescent="0.3">
      <c r="A842" s="1">
        <v>21471</v>
      </c>
      <c r="B842" t="s">
        <v>5302</v>
      </c>
      <c r="C842" s="1">
        <v>3.75</v>
      </c>
      <c r="D842" s="1">
        <v>55</v>
      </c>
      <c r="E842" s="1">
        <v>56.24</v>
      </c>
      <c r="F842" s="1">
        <v>25</v>
      </c>
      <c r="G842" s="1">
        <v>5095.63</v>
      </c>
      <c r="H842" s="1" t="s">
        <v>9</v>
      </c>
      <c r="I842" t="str">
        <f t="shared" si="13"/>
        <v>STRAWBERRY RAFFIA FOOD COVER [21471]</v>
      </c>
    </row>
    <row r="843" spans="1:9" x14ac:dyDescent="0.3">
      <c r="A843" s="1">
        <v>21472</v>
      </c>
      <c r="B843" t="s">
        <v>5301</v>
      </c>
      <c r="C843" s="2">
        <v>3.94</v>
      </c>
      <c r="D843" s="1">
        <v>38</v>
      </c>
      <c r="E843" s="2">
        <v>58.6666666666666</v>
      </c>
      <c r="F843" s="1">
        <v>18</v>
      </c>
      <c r="G843" s="1">
        <v>4077.82</v>
      </c>
      <c r="H843" s="1" t="s">
        <v>9</v>
      </c>
      <c r="I843" t="str">
        <f t="shared" si="13"/>
        <v>LADYBIRD + BEE RAFFIA FOOD COVER [21472]</v>
      </c>
    </row>
    <row r="844" spans="1:9" x14ac:dyDescent="0.3">
      <c r="A844" s="1">
        <v>21473</v>
      </c>
      <c r="B844" t="s">
        <v>5300</v>
      </c>
      <c r="C844" s="1">
        <v>19.95</v>
      </c>
      <c r="D844" s="1">
        <v>2.5</v>
      </c>
      <c r="E844" s="2">
        <v>7.1363636363636296</v>
      </c>
      <c r="F844" s="1">
        <v>22</v>
      </c>
      <c r="G844" s="1">
        <v>3212.16</v>
      </c>
      <c r="H844" s="1" t="s">
        <v>8</v>
      </c>
      <c r="I844" t="str">
        <f t="shared" si="13"/>
        <v>SWEETHEART CREAM STEEL TABLE RECT [21473]</v>
      </c>
    </row>
    <row r="845" spans="1:9" x14ac:dyDescent="0.3">
      <c r="A845" s="1">
        <v>21474</v>
      </c>
      <c r="B845" t="s">
        <v>5299</v>
      </c>
      <c r="C845" s="1">
        <v>19.95</v>
      </c>
      <c r="D845" s="1">
        <v>11</v>
      </c>
      <c r="E845" s="2">
        <v>23.3333333333333</v>
      </c>
      <c r="F845" s="1">
        <v>9</v>
      </c>
      <c r="G845" s="1">
        <v>4189.5</v>
      </c>
      <c r="H845" s="1" t="s">
        <v>9</v>
      </c>
      <c r="I845" t="str">
        <f t="shared" si="13"/>
        <v>SWEETHEART CREAM STEEL FOLDIN BENCH [21474]</v>
      </c>
    </row>
    <row r="846" spans="1:9" x14ac:dyDescent="0.3">
      <c r="A846" s="1">
        <v>21475</v>
      </c>
      <c r="B846" t="s">
        <v>5298</v>
      </c>
      <c r="C846" s="1">
        <v>14.95</v>
      </c>
      <c r="D846" s="1">
        <v>1</v>
      </c>
      <c r="E846" s="1">
        <v>1</v>
      </c>
      <c r="F846" s="1">
        <v>1</v>
      </c>
      <c r="G846" s="1">
        <v>14.95</v>
      </c>
      <c r="H846" s="1" t="s">
        <v>8</v>
      </c>
      <c r="I846" t="str">
        <f t="shared" si="13"/>
        <v>SWEETHEART CREAM STEEL FOLDIN CHAIR [21475]</v>
      </c>
    </row>
    <row r="847" spans="1:9" x14ac:dyDescent="0.3">
      <c r="A847" s="1">
        <v>21476</v>
      </c>
      <c r="B847" t="s">
        <v>5297</v>
      </c>
      <c r="C847" s="1">
        <v>14.95</v>
      </c>
      <c r="D847" s="1">
        <v>5</v>
      </c>
      <c r="E847" s="2">
        <v>7.4736842105263097</v>
      </c>
      <c r="F847" s="1">
        <v>19</v>
      </c>
      <c r="G847" s="2">
        <v>2219.5099999999902</v>
      </c>
      <c r="H847" s="1" t="s">
        <v>8</v>
      </c>
      <c r="I847" t="str">
        <f t="shared" si="13"/>
        <v>STEEL SWEETHEART ROUND TABLE CREAM [21476]</v>
      </c>
    </row>
    <row r="848" spans="1:9" x14ac:dyDescent="0.3">
      <c r="A848" s="1">
        <v>21477</v>
      </c>
      <c r="B848" t="s">
        <v>5296</v>
      </c>
      <c r="C848" s="1">
        <v>12.75</v>
      </c>
      <c r="D848" s="1">
        <v>54.5</v>
      </c>
      <c r="E848" s="1">
        <v>68.25</v>
      </c>
      <c r="F848" s="1">
        <v>4</v>
      </c>
      <c r="G848" s="2">
        <v>3248.9399999999901</v>
      </c>
      <c r="H848" s="1" t="s">
        <v>9</v>
      </c>
      <c r="I848" t="str">
        <f t="shared" si="13"/>
        <v>STRING OF 20 ROSE LIGHTS [21477]</v>
      </c>
    </row>
    <row r="849" spans="1:9" x14ac:dyDescent="0.3">
      <c r="A849" s="1">
        <v>21478</v>
      </c>
      <c r="B849" t="s">
        <v>5295</v>
      </c>
      <c r="C849" s="1">
        <v>3.75</v>
      </c>
      <c r="D849" s="1">
        <v>10</v>
      </c>
      <c r="E849" s="2">
        <v>18.545454545454501</v>
      </c>
      <c r="F849" s="1">
        <v>11</v>
      </c>
      <c r="G849" s="1">
        <v>854.23</v>
      </c>
      <c r="H849" s="1" t="s">
        <v>9</v>
      </c>
      <c r="I849" t="str">
        <f t="shared" si="13"/>
        <v>SILVER SKULL HOT WATER BOTTLE [21478]</v>
      </c>
    </row>
    <row r="850" spans="1:9" x14ac:dyDescent="0.3">
      <c r="A850" s="1">
        <v>21479</v>
      </c>
      <c r="B850" t="s">
        <v>5294</v>
      </c>
      <c r="C850" s="1">
        <v>4.66</v>
      </c>
      <c r="D850" s="1">
        <v>238</v>
      </c>
      <c r="E850" s="2">
        <v>365.82352941176401</v>
      </c>
      <c r="F850" s="1">
        <v>17</v>
      </c>
      <c r="G850" s="1">
        <v>31079.8</v>
      </c>
      <c r="H850" s="1" t="s">
        <v>10</v>
      </c>
      <c r="I850" t="str">
        <f t="shared" si="13"/>
        <v>WHITE SKULL HOT WATER BOTTLE [21479]</v>
      </c>
    </row>
    <row r="851" spans="1:9" x14ac:dyDescent="0.3">
      <c r="A851" s="1">
        <v>21480</v>
      </c>
      <c r="B851" t="s">
        <v>5293</v>
      </c>
      <c r="C851" s="1">
        <v>3.16</v>
      </c>
      <c r="D851" s="1">
        <v>285</v>
      </c>
      <c r="E851" s="1">
        <v>285</v>
      </c>
      <c r="F851" s="1">
        <v>1</v>
      </c>
      <c r="G851" s="1">
        <v>899.52</v>
      </c>
      <c r="H851" s="1" t="s">
        <v>10</v>
      </c>
      <c r="I851" t="str">
        <f t="shared" si="13"/>
        <v>PINK STRIPE HOT WATER BOTTLE [21480]</v>
      </c>
    </row>
    <row r="852" spans="1:9" x14ac:dyDescent="0.3">
      <c r="A852" s="1">
        <v>21481</v>
      </c>
      <c r="B852" t="s">
        <v>5292</v>
      </c>
      <c r="C852" s="1">
        <v>3.1</v>
      </c>
      <c r="D852" s="1">
        <v>189</v>
      </c>
      <c r="E852" s="1">
        <v>326.95999999999998</v>
      </c>
      <c r="F852" s="1">
        <v>25</v>
      </c>
      <c r="G852" s="1">
        <v>25613.45</v>
      </c>
      <c r="H852" s="1" t="s">
        <v>10</v>
      </c>
      <c r="I852" t="str">
        <f t="shared" si="13"/>
        <v>FAWN BLUE HOT WATER BOTTLE [21481]</v>
      </c>
    </row>
    <row r="853" spans="1:9" x14ac:dyDescent="0.3">
      <c r="A853" s="1">
        <v>21482</v>
      </c>
      <c r="B853" t="s">
        <v>5291</v>
      </c>
      <c r="C853" s="1">
        <v>3.08</v>
      </c>
      <c r="D853" s="1">
        <v>33</v>
      </c>
      <c r="E853" s="1">
        <v>74</v>
      </c>
      <c r="F853" s="1">
        <v>10</v>
      </c>
      <c r="G853" s="1">
        <v>2296.7600000000002</v>
      </c>
      <c r="H853" s="1" t="s">
        <v>9</v>
      </c>
      <c r="I853" t="str">
        <f t="shared" si="13"/>
        <v>MUSHROOM BLUE HOT WATER BOTTLE [21482]</v>
      </c>
    </row>
    <row r="854" spans="1:9" x14ac:dyDescent="0.3">
      <c r="A854" s="1">
        <v>21484</v>
      </c>
      <c r="B854" t="s">
        <v>5290</v>
      </c>
      <c r="C854" s="1">
        <v>4.3899999999999997</v>
      </c>
      <c r="D854" s="1">
        <v>91</v>
      </c>
      <c r="E854" s="1">
        <v>183.36</v>
      </c>
      <c r="F854" s="1">
        <v>25</v>
      </c>
      <c r="G854" s="1">
        <v>18171.14</v>
      </c>
      <c r="H854" s="1" t="s">
        <v>10</v>
      </c>
      <c r="I854" t="str">
        <f t="shared" si="13"/>
        <v>CHICK GREY HOT WATER BOTTLE [21484]</v>
      </c>
    </row>
    <row r="855" spans="1:9" x14ac:dyDescent="0.3">
      <c r="A855" s="1">
        <v>21485</v>
      </c>
      <c r="B855" t="s">
        <v>5289</v>
      </c>
      <c r="C855" s="1">
        <v>4.87</v>
      </c>
      <c r="D855" s="1">
        <v>122.5</v>
      </c>
      <c r="E855" s="2">
        <v>271.17857142857099</v>
      </c>
      <c r="F855" s="1">
        <v>25</v>
      </c>
      <c r="G855" s="1">
        <v>37078.67</v>
      </c>
      <c r="H855" s="1" t="s">
        <v>10</v>
      </c>
      <c r="I855" t="str">
        <f t="shared" si="13"/>
        <v>RED SPOT HEART HOT WATER BOTTLE [21485]</v>
      </c>
    </row>
    <row r="856" spans="1:9" x14ac:dyDescent="0.3">
      <c r="A856" s="1">
        <v>21486</v>
      </c>
      <c r="B856" t="s">
        <v>5288</v>
      </c>
      <c r="C856" s="1">
        <v>3.95</v>
      </c>
      <c r="D856" s="1">
        <v>36</v>
      </c>
      <c r="E856" s="2">
        <v>85.846153846153797</v>
      </c>
      <c r="F856" s="1">
        <v>13</v>
      </c>
      <c r="G856" s="2">
        <v>3638.6699999999901</v>
      </c>
      <c r="H856" s="1" t="s">
        <v>9</v>
      </c>
      <c r="I856" t="str">
        <f t="shared" si="13"/>
        <v>PINK HEART DOTS HOT WATER BOTTLE [21486]</v>
      </c>
    </row>
    <row r="857" spans="1:9" x14ac:dyDescent="0.3">
      <c r="A857" s="1">
        <v>21488</v>
      </c>
      <c r="B857" t="s">
        <v>5287</v>
      </c>
      <c r="C857" s="1">
        <v>3.97</v>
      </c>
      <c r="D857" s="1">
        <v>45</v>
      </c>
      <c r="E857" s="2">
        <v>183.38461538461499</v>
      </c>
      <c r="F857" s="1">
        <v>13</v>
      </c>
      <c r="G857" s="1">
        <v>9784.58</v>
      </c>
      <c r="H857" s="1" t="s">
        <v>9</v>
      </c>
      <c r="I857" t="str">
        <f t="shared" si="13"/>
        <v>RED WHITE SCARF  HOT WATER BOTTLE [21488]</v>
      </c>
    </row>
    <row r="858" spans="1:9" x14ac:dyDescent="0.3">
      <c r="A858" s="1">
        <v>21489</v>
      </c>
      <c r="B858" t="s">
        <v>5286</v>
      </c>
      <c r="C858" s="1">
        <v>4.82</v>
      </c>
      <c r="D858" s="1">
        <v>14</v>
      </c>
      <c r="E858" s="1">
        <v>14</v>
      </c>
      <c r="F858" s="1">
        <v>2</v>
      </c>
      <c r="G858" s="1">
        <v>157.6</v>
      </c>
      <c r="H858" s="1" t="s">
        <v>9</v>
      </c>
      <c r="I858" t="str">
        <f t="shared" si="13"/>
        <v>BLUE WHITE SCARF HOT WATER BOTTLE [21489]</v>
      </c>
    </row>
    <row r="859" spans="1:9" x14ac:dyDescent="0.3">
      <c r="A859" s="1">
        <v>21490</v>
      </c>
      <c r="B859" t="s">
        <v>5285</v>
      </c>
      <c r="C859" s="2">
        <v>1.9249999999999901</v>
      </c>
      <c r="D859" s="1">
        <v>318.5</v>
      </c>
      <c r="E859" s="1">
        <v>318.5</v>
      </c>
      <c r="F859" s="1">
        <v>2</v>
      </c>
      <c r="G859" s="1">
        <v>1210.5999999999999</v>
      </c>
      <c r="H859" s="1" t="s">
        <v>10</v>
      </c>
      <c r="I859" t="str">
        <f t="shared" si="13"/>
        <v>SET OF THREE 50'S GIFT WRAPS [21490]</v>
      </c>
    </row>
    <row r="860" spans="1:9" x14ac:dyDescent="0.3">
      <c r="A860" s="1">
        <v>21491</v>
      </c>
      <c r="B860" t="s">
        <v>5284</v>
      </c>
      <c r="C860" s="1">
        <v>1.88</v>
      </c>
      <c r="D860" s="1">
        <v>167</v>
      </c>
      <c r="E860" s="2">
        <v>319.77777777777698</v>
      </c>
      <c r="F860" s="1">
        <v>9</v>
      </c>
      <c r="G860" s="1">
        <v>5367.01</v>
      </c>
      <c r="H860" s="1" t="s">
        <v>10</v>
      </c>
      <c r="I860" t="str">
        <f t="shared" si="13"/>
        <v>SET OF THREE VINTAGE GIFT WRAPS [21491]</v>
      </c>
    </row>
    <row r="861" spans="1:9" x14ac:dyDescent="0.3">
      <c r="A861" s="1">
        <v>21493</v>
      </c>
      <c r="B861" t="s">
        <v>5283</v>
      </c>
      <c r="C861" s="1">
        <v>0.89</v>
      </c>
      <c r="D861" s="1">
        <v>136</v>
      </c>
      <c r="E861" s="1">
        <v>136</v>
      </c>
      <c r="F861" s="1">
        <v>2</v>
      </c>
      <c r="G861" s="2">
        <v>252.45</v>
      </c>
      <c r="H861" s="1" t="s">
        <v>10</v>
      </c>
      <c r="I861" t="str">
        <f t="shared" si="13"/>
        <v>VINTAGE DESIGN GIFT TAGS [21493]</v>
      </c>
    </row>
    <row r="862" spans="1:9" x14ac:dyDescent="0.3">
      <c r="A862" s="1">
        <v>21494</v>
      </c>
      <c r="B862" t="s">
        <v>5282</v>
      </c>
      <c r="C862" s="1">
        <v>1.7</v>
      </c>
      <c r="D862" s="1">
        <v>99</v>
      </c>
      <c r="E862" s="2">
        <v>158.958333333333</v>
      </c>
      <c r="F862" s="1">
        <v>24</v>
      </c>
      <c r="G862" s="1">
        <v>6360.43</v>
      </c>
      <c r="H862" s="1" t="s">
        <v>10</v>
      </c>
      <c r="I862" t="str">
        <f t="shared" si="13"/>
        <v>ROTATING LEAVES T-LIGHT HOLDER [21494]</v>
      </c>
    </row>
    <row r="863" spans="1:9" x14ac:dyDescent="0.3">
      <c r="A863" s="1">
        <v>21495</v>
      </c>
      <c r="B863" t="s">
        <v>5281</v>
      </c>
      <c r="C863" s="1">
        <v>0.42</v>
      </c>
      <c r="D863" s="1">
        <v>450</v>
      </c>
      <c r="E863" s="2">
        <v>479.423076923076</v>
      </c>
      <c r="F863" s="1">
        <v>25</v>
      </c>
      <c r="G863" s="1">
        <v>5119.3</v>
      </c>
      <c r="H863" s="1" t="s">
        <v>10</v>
      </c>
      <c r="I863" t="str">
        <f t="shared" si="13"/>
        <v>SKULLS WRAP [21495]</v>
      </c>
    </row>
    <row r="864" spans="1:9" x14ac:dyDescent="0.3">
      <c r="A864" s="1">
        <v>21496</v>
      </c>
      <c r="B864" t="s">
        <v>5280</v>
      </c>
      <c r="C864" s="1">
        <v>0.42</v>
      </c>
      <c r="D864" s="1">
        <v>25</v>
      </c>
      <c r="E864" s="1">
        <v>25</v>
      </c>
      <c r="F864" s="1">
        <v>1</v>
      </c>
      <c r="G864" s="1">
        <v>10.5</v>
      </c>
      <c r="H864" s="1" t="s">
        <v>9</v>
      </c>
      <c r="I864" t="str">
        <f t="shared" si="13"/>
        <v>WOODLAND CREATURES  WRAP [21496]</v>
      </c>
    </row>
    <row r="865" spans="1:9" x14ac:dyDescent="0.3">
      <c r="A865" s="1">
        <v>21497</v>
      </c>
      <c r="B865" t="s">
        <v>5279</v>
      </c>
      <c r="C865" s="1">
        <v>0.42</v>
      </c>
      <c r="D865" s="1">
        <v>650</v>
      </c>
      <c r="E865" s="1">
        <v>700</v>
      </c>
      <c r="F865" s="1">
        <v>25</v>
      </c>
      <c r="G865" s="1">
        <v>6978</v>
      </c>
      <c r="H865" s="1" t="s">
        <v>10</v>
      </c>
      <c r="I865" t="str">
        <f t="shared" si="13"/>
        <v>FANCY FONTS BIRTHDAY WRAP [21497]</v>
      </c>
    </row>
    <row r="866" spans="1:9" x14ac:dyDescent="0.3">
      <c r="A866" s="1">
        <v>21498</v>
      </c>
      <c r="B866" t="s">
        <v>5278</v>
      </c>
      <c r="C866" s="1">
        <v>0.41499999999999998</v>
      </c>
      <c r="D866" s="1">
        <v>975</v>
      </c>
      <c r="E866" s="1">
        <v>954.5</v>
      </c>
      <c r="F866" s="1">
        <v>25</v>
      </c>
      <c r="G866" s="1">
        <v>10851.92</v>
      </c>
      <c r="H866" s="1" t="s">
        <v>10</v>
      </c>
      <c r="I866" t="str">
        <f t="shared" si="13"/>
        <v>RED SPOTS  WRAP [21498]</v>
      </c>
    </row>
    <row r="867" spans="1:9" x14ac:dyDescent="0.3">
      <c r="A867" s="1">
        <v>21499</v>
      </c>
      <c r="B867" t="s">
        <v>5277</v>
      </c>
      <c r="C867" s="1">
        <v>0.42</v>
      </c>
      <c r="D867" s="1">
        <v>562.5</v>
      </c>
      <c r="E867" s="2">
        <v>537.57142857142799</v>
      </c>
      <c r="F867" s="1">
        <v>25</v>
      </c>
      <c r="G867" s="1">
        <v>6059.84</v>
      </c>
      <c r="H867" s="1" t="s">
        <v>10</v>
      </c>
      <c r="I867" t="str">
        <f t="shared" si="13"/>
        <v>BLUE SPOTS  WRAP [21499]</v>
      </c>
    </row>
    <row r="868" spans="1:9" x14ac:dyDescent="0.3">
      <c r="A868" s="1">
        <v>21500</v>
      </c>
      <c r="B868" t="s">
        <v>5276</v>
      </c>
      <c r="C868" s="1">
        <v>0.41</v>
      </c>
      <c r="D868" s="1">
        <v>612.5</v>
      </c>
      <c r="E868" s="2">
        <v>613.461538461538</v>
      </c>
      <c r="F868" s="1">
        <v>25</v>
      </c>
      <c r="G868" s="1">
        <v>6443</v>
      </c>
      <c r="H868" s="1" t="s">
        <v>10</v>
      </c>
      <c r="I868" t="str">
        <f t="shared" si="13"/>
        <v>PINK SPOTS  WRAP [21500]</v>
      </c>
    </row>
    <row r="869" spans="1:9" x14ac:dyDescent="0.3">
      <c r="A869" s="1">
        <v>21503</v>
      </c>
      <c r="B869" t="s">
        <v>5275</v>
      </c>
      <c r="C869" s="1">
        <v>0.42</v>
      </c>
      <c r="D869" s="1">
        <v>75</v>
      </c>
      <c r="E869" s="1">
        <v>90.05</v>
      </c>
      <c r="F869" s="1">
        <v>20</v>
      </c>
      <c r="G869" s="1">
        <v>740.42</v>
      </c>
      <c r="H869" s="1" t="s">
        <v>10</v>
      </c>
      <c r="I869" t="str">
        <f t="shared" si="13"/>
        <v>TOYBOX  WRAP [21503]</v>
      </c>
    </row>
    <row r="870" spans="1:9" x14ac:dyDescent="0.3">
      <c r="A870" s="1">
        <v>21504</v>
      </c>
      <c r="B870" t="s">
        <v>5274</v>
      </c>
      <c r="C870" s="1">
        <v>0.42</v>
      </c>
      <c r="D870" s="1">
        <v>184</v>
      </c>
      <c r="E870" s="1">
        <v>196.52</v>
      </c>
      <c r="F870" s="1">
        <v>25</v>
      </c>
      <c r="G870" s="1">
        <v>2005.02</v>
      </c>
      <c r="H870" s="1" t="s">
        <v>10</v>
      </c>
      <c r="I870" t="str">
        <f t="shared" si="13"/>
        <v>SKULLS GREETING CARD [21504]</v>
      </c>
    </row>
    <row r="871" spans="1:9" x14ac:dyDescent="0.3">
      <c r="A871" s="1">
        <v>21506</v>
      </c>
      <c r="B871" t="s">
        <v>5273</v>
      </c>
      <c r="C871" s="1">
        <v>0.41</v>
      </c>
      <c r="D871" s="1">
        <v>413</v>
      </c>
      <c r="E871" s="1">
        <v>435.12</v>
      </c>
      <c r="F871" s="1">
        <v>25</v>
      </c>
      <c r="G871" s="1">
        <v>4534.49</v>
      </c>
      <c r="H871" s="1" t="s">
        <v>10</v>
      </c>
      <c r="I871" t="str">
        <f t="shared" si="13"/>
        <v>FANCY FONT BIRTHDAY CARD, [21506]</v>
      </c>
    </row>
    <row r="872" spans="1:9" x14ac:dyDescent="0.3">
      <c r="A872" s="1">
        <v>21507</v>
      </c>
      <c r="B872" t="s">
        <v>5272</v>
      </c>
      <c r="C872" s="1">
        <v>0.41499999999999998</v>
      </c>
      <c r="D872" s="1">
        <v>314.5</v>
      </c>
      <c r="E872" s="2">
        <v>316.26923076922998</v>
      </c>
      <c r="F872" s="1">
        <v>25</v>
      </c>
      <c r="G872" s="1">
        <v>3455.41</v>
      </c>
      <c r="H872" s="1" t="s">
        <v>10</v>
      </c>
      <c r="I872" t="str">
        <f t="shared" si="13"/>
        <v>ELEPHANT, BIRTHDAY CARD, [21507]</v>
      </c>
    </row>
    <row r="873" spans="1:9" x14ac:dyDescent="0.3">
      <c r="A873" s="1">
        <v>21508</v>
      </c>
      <c r="B873" t="s">
        <v>5271</v>
      </c>
      <c r="C873" s="1">
        <v>0.42</v>
      </c>
      <c r="D873" s="1">
        <v>259</v>
      </c>
      <c r="E873" s="1">
        <v>268.64</v>
      </c>
      <c r="F873" s="1">
        <v>25</v>
      </c>
      <c r="G873" s="1">
        <v>2808.62</v>
      </c>
      <c r="H873" s="1" t="s">
        <v>10</v>
      </c>
      <c r="I873" t="str">
        <f t="shared" si="13"/>
        <v>VINTAGE KID DOLLY CARD [21508]</v>
      </c>
    </row>
    <row r="874" spans="1:9" x14ac:dyDescent="0.3">
      <c r="A874" s="1">
        <v>21509</v>
      </c>
      <c r="B874" t="s">
        <v>5270</v>
      </c>
      <c r="C874" s="1">
        <v>0.42</v>
      </c>
      <c r="D874" s="1">
        <v>352</v>
      </c>
      <c r="E874" s="1">
        <v>347.84</v>
      </c>
      <c r="F874" s="1">
        <v>25</v>
      </c>
      <c r="G874" s="2">
        <v>3587.22</v>
      </c>
      <c r="H874" s="1" t="s">
        <v>10</v>
      </c>
      <c r="I874" t="str">
        <f t="shared" si="13"/>
        <v>COWBOYS AND INDIANS BIRTHDAY CARD [21509]</v>
      </c>
    </row>
    <row r="875" spans="1:9" x14ac:dyDescent="0.3">
      <c r="A875" s="1">
        <v>21511</v>
      </c>
      <c r="B875" t="s">
        <v>5269</v>
      </c>
      <c r="C875" s="1">
        <v>0.42</v>
      </c>
      <c r="D875" s="1">
        <v>20</v>
      </c>
      <c r="E875" s="1">
        <v>20</v>
      </c>
      <c r="F875" s="1">
        <v>2</v>
      </c>
      <c r="G875" s="1">
        <v>16.8</v>
      </c>
      <c r="H875" s="1" t="s">
        <v>9</v>
      </c>
      <c r="I875" t="str">
        <f t="shared" si="13"/>
        <v>VINTAGE COLLAGE  GREETING  CARD [21511]</v>
      </c>
    </row>
    <row r="876" spans="1:9" x14ac:dyDescent="0.3">
      <c r="A876" s="1">
        <v>21518</v>
      </c>
      <c r="B876" t="s">
        <v>5268</v>
      </c>
      <c r="C876" s="1">
        <v>0.42</v>
      </c>
      <c r="D876" s="1">
        <v>60</v>
      </c>
      <c r="E876" s="2">
        <v>58.2631578947368</v>
      </c>
      <c r="F876" s="1">
        <v>19</v>
      </c>
      <c r="G876" s="1">
        <v>469.28</v>
      </c>
      <c r="H876" s="1" t="s">
        <v>9</v>
      </c>
      <c r="I876" t="str">
        <f t="shared" si="13"/>
        <v>BANK ACCOUNT  GREETING  CARD [21518]</v>
      </c>
    </row>
    <row r="877" spans="1:9" x14ac:dyDescent="0.3">
      <c r="A877" s="1">
        <v>21519</v>
      </c>
      <c r="B877" t="s">
        <v>5267</v>
      </c>
      <c r="C877" s="1">
        <v>0.42</v>
      </c>
      <c r="D877" s="1">
        <v>282</v>
      </c>
      <c r="E877" s="1">
        <v>294.24</v>
      </c>
      <c r="F877" s="1">
        <v>25</v>
      </c>
      <c r="G877" s="1">
        <v>3149.93</v>
      </c>
      <c r="H877" s="1" t="s">
        <v>10</v>
      </c>
      <c r="I877" t="str">
        <f t="shared" si="13"/>
        <v>GIN &amp; TONIC DIET GREETING CARD [21519]</v>
      </c>
    </row>
    <row r="878" spans="1:9" x14ac:dyDescent="0.3">
      <c r="A878" s="1">
        <v>21520</v>
      </c>
      <c r="B878" t="s">
        <v>5266</v>
      </c>
      <c r="C878" s="1">
        <v>0.435</v>
      </c>
      <c r="D878" s="1">
        <v>37</v>
      </c>
      <c r="E878" s="1">
        <v>39.875</v>
      </c>
      <c r="F878" s="1">
        <v>24</v>
      </c>
      <c r="G878" s="1">
        <v>411.63</v>
      </c>
      <c r="H878" s="1" t="s">
        <v>9</v>
      </c>
      <c r="I878" t="str">
        <f t="shared" si="13"/>
        <v>BOOZE &amp; WOMEN GREETING CARD [21520]</v>
      </c>
    </row>
    <row r="879" spans="1:9" x14ac:dyDescent="0.3">
      <c r="A879" s="1">
        <v>21523</v>
      </c>
      <c r="B879" t="s">
        <v>5265</v>
      </c>
      <c r="C879" s="1">
        <v>7.11</v>
      </c>
      <c r="D879" s="1">
        <v>204</v>
      </c>
      <c r="E879" s="2">
        <v>238.482758620689</v>
      </c>
      <c r="F879" s="1">
        <v>25</v>
      </c>
      <c r="G879" s="1">
        <v>46083.71</v>
      </c>
      <c r="H879" s="1" t="s">
        <v>10</v>
      </c>
      <c r="I879" t="str">
        <f t="shared" si="13"/>
        <v>FANCY FONT HOME SWEET HOME DOORMAT [21523]</v>
      </c>
    </row>
    <row r="880" spans="1:9" x14ac:dyDescent="0.3">
      <c r="A880" s="1">
        <v>21524</v>
      </c>
      <c r="B880" t="s">
        <v>5264</v>
      </c>
      <c r="C880" s="1">
        <v>7.5</v>
      </c>
      <c r="D880" s="1">
        <v>155.5</v>
      </c>
      <c r="E880" s="2">
        <v>187.67857142857099</v>
      </c>
      <c r="F880" s="1">
        <v>25</v>
      </c>
      <c r="G880" s="1">
        <v>35955.440000000002</v>
      </c>
      <c r="H880" s="1" t="s">
        <v>10</v>
      </c>
      <c r="I880" t="str">
        <f t="shared" si="13"/>
        <v>SPOTTY  HOME SWEET HOME DOORMAT [21524]</v>
      </c>
    </row>
    <row r="881" spans="1:9" x14ac:dyDescent="0.3">
      <c r="A881" s="1">
        <v>21525</v>
      </c>
      <c r="B881" t="s">
        <v>5263</v>
      </c>
      <c r="C881" s="1">
        <v>6.75</v>
      </c>
      <c r="D881" s="1">
        <v>2</v>
      </c>
      <c r="E881" s="1">
        <v>2</v>
      </c>
      <c r="F881" s="1">
        <v>1</v>
      </c>
      <c r="G881" s="1">
        <v>13.5</v>
      </c>
      <c r="H881" s="1" t="s">
        <v>8</v>
      </c>
      <c r="I881" t="str">
        <f t="shared" si="13"/>
        <v>BEWARE OF THE CAT DOORMAT [21525]</v>
      </c>
    </row>
    <row r="882" spans="1:9" x14ac:dyDescent="0.3">
      <c r="A882" s="1">
        <v>21527</v>
      </c>
      <c r="B882" t="s">
        <v>5262</v>
      </c>
      <c r="C882" s="1">
        <v>7.84</v>
      </c>
      <c r="D882" s="1">
        <v>157</v>
      </c>
      <c r="E882" s="2">
        <v>159.28571428571399</v>
      </c>
      <c r="F882" s="1">
        <v>18</v>
      </c>
      <c r="G882" s="1">
        <v>24968.47</v>
      </c>
      <c r="H882" s="1" t="s">
        <v>10</v>
      </c>
      <c r="I882" t="str">
        <f t="shared" si="13"/>
        <v>RETRO SPOT TRADITIONAL TEAPOT [21527]</v>
      </c>
    </row>
    <row r="883" spans="1:9" x14ac:dyDescent="0.3">
      <c r="A883" s="1">
        <v>21528</v>
      </c>
      <c r="B883" t="s">
        <v>5261</v>
      </c>
      <c r="C883" s="1">
        <v>6.95</v>
      </c>
      <c r="D883" s="1">
        <v>22</v>
      </c>
      <c r="E883" s="1">
        <v>35.96</v>
      </c>
      <c r="F883" s="1">
        <v>25</v>
      </c>
      <c r="G883" s="1">
        <v>5680.15</v>
      </c>
      <c r="H883" s="1" t="s">
        <v>9</v>
      </c>
      <c r="I883" t="str">
        <f t="shared" si="13"/>
        <v>DAIRY MAID TRADITIONAL TEAPOT [21528]</v>
      </c>
    </row>
    <row r="884" spans="1:9" x14ac:dyDescent="0.3">
      <c r="A884" s="1">
        <v>21529</v>
      </c>
      <c r="B884" t="s">
        <v>5260</v>
      </c>
      <c r="C884" s="1">
        <v>3.51</v>
      </c>
      <c r="D884" s="1">
        <v>30</v>
      </c>
      <c r="E884" s="2">
        <v>35.928571428571402</v>
      </c>
      <c r="F884" s="1">
        <v>10</v>
      </c>
      <c r="G884" s="1">
        <v>1790.44</v>
      </c>
      <c r="H884" s="1" t="s">
        <v>9</v>
      </c>
      <c r="I884" t="str">
        <f t="shared" si="13"/>
        <v>RETRO SPOT CERAMIC TOASTRACK [21529]</v>
      </c>
    </row>
    <row r="885" spans="1:9" x14ac:dyDescent="0.3">
      <c r="A885" s="1">
        <v>21530</v>
      </c>
      <c r="B885" t="s">
        <v>5259</v>
      </c>
      <c r="C885" s="1">
        <v>2.95</v>
      </c>
      <c r="D885" s="1">
        <v>14.5</v>
      </c>
      <c r="E885" s="2">
        <v>20.636363636363601</v>
      </c>
      <c r="F885" s="1">
        <v>20</v>
      </c>
      <c r="G885" s="1">
        <v>955.11</v>
      </c>
      <c r="H885" s="1" t="s">
        <v>9</v>
      </c>
      <c r="I885" t="str">
        <f t="shared" si="13"/>
        <v>DAIRY MAID CERAMIC TOASTRACK [21530]</v>
      </c>
    </row>
    <row r="886" spans="1:9" x14ac:dyDescent="0.3">
      <c r="A886" s="1">
        <v>21531</v>
      </c>
      <c r="B886" t="s">
        <v>5258</v>
      </c>
      <c r="C886" s="1">
        <v>2.5249999999999999</v>
      </c>
      <c r="D886" s="1">
        <v>133.5</v>
      </c>
      <c r="E886" s="2">
        <v>145.46428571428501</v>
      </c>
      <c r="F886" s="1">
        <v>25</v>
      </c>
      <c r="G886" s="1">
        <v>10174.120000000001</v>
      </c>
      <c r="H886" s="1" t="s">
        <v>10</v>
      </c>
      <c r="I886" t="str">
        <f t="shared" si="13"/>
        <v>RETRO SPOT SUGAR JAM BOWL [21531]</v>
      </c>
    </row>
    <row r="887" spans="1:9" x14ac:dyDescent="0.3">
      <c r="A887" s="1">
        <v>21532</v>
      </c>
      <c r="B887" t="s">
        <v>5257</v>
      </c>
      <c r="C887" s="1">
        <v>2.15</v>
      </c>
      <c r="D887" s="1">
        <v>23</v>
      </c>
      <c r="E887" s="2">
        <v>126.09090909090899</v>
      </c>
      <c r="F887" s="1">
        <v>11</v>
      </c>
      <c r="G887" s="1">
        <v>1419.71</v>
      </c>
      <c r="H887" s="1" t="s">
        <v>9</v>
      </c>
      <c r="I887" t="str">
        <f t="shared" si="13"/>
        <v>DAIRY MAID SUGAR JAM BOWL [21532]</v>
      </c>
    </row>
    <row r="888" spans="1:9" x14ac:dyDescent="0.3">
      <c r="A888" s="1">
        <v>21533</v>
      </c>
      <c r="B888" t="s">
        <v>5256</v>
      </c>
      <c r="C888" s="1">
        <v>4.95</v>
      </c>
      <c r="D888" s="1">
        <v>127</v>
      </c>
      <c r="E888" s="2">
        <v>119.392857142857</v>
      </c>
      <c r="F888" s="1">
        <v>25</v>
      </c>
      <c r="G888" s="1">
        <v>16614.87</v>
      </c>
      <c r="H888" s="1" t="s">
        <v>10</v>
      </c>
      <c r="I888" t="str">
        <f t="shared" si="13"/>
        <v>RETRO SPOT LARGE MILK JUG [21533]</v>
      </c>
    </row>
    <row r="889" spans="1:9" x14ac:dyDescent="0.3">
      <c r="A889" s="1">
        <v>21534</v>
      </c>
      <c r="B889" t="s">
        <v>5255</v>
      </c>
      <c r="C889" s="1">
        <v>5.04</v>
      </c>
      <c r="D889" s="1">
        <v>37</v>
      </c>
      <c r="E889" s="1">
        <v>37.520000000000003</v>
      </c>
      <c r="F889" s="1">
        <v>25</v>
      </c>
      <c r="G889" s="1">
        <v>4768.6400000000003</v>
      </c>
      <c r="H889" s="1" t="s">
        <v>9</v>
      </c>
      <c r="I889" t="str">
        <f t="shared" si="13"/>
        <v>DAIRY MAID LARGE MILK JUG [21534]</v>
      </c>
    </row>
    <row r="890" spans="1:9" x14ac:dyDescent="0.3">
      <c r="A890" s="1">
        <v>21535</v>
      </c>
      <c r="B890" t="s">
        <v>5254</v>
      </c>
      <c r="C890" s="1">
        <v>2.5499999999999998</v>
      </c>
      <c r="D890" s="1">
        <v>265</v>
      </c>
      <c r="E890" s="2">
        <v>233.655172413793</v>
      </c>
      <c r="F890" s="1">
        <v>25</v>
      </c>
      <c r="G890" s="1">
        <v>16837</v>
      </c>
      <c r="H890" s="1" t="s">
        <v>10</v>
      </c>
      <c r="I890" t="str">
        <f t="shared" si="13"/>
        <v>RETRO SPOT SMALL MILK JUG [21535]</v>
      </c>
    </row>
    <row r="891" spans="1:9" x14ac:dyDescent="0.3">
      <c r="A891" s="1">
        <v>21536</v>
      </c>
      <c r="B891" t="s">
        <v>5253</v>
      </c>
      <c r="C891" s="1">
        <v>2.165</v>
      </c>
      <c r="D891" s="1">
        <v>38</v>
      </c>
      <c r="E891" s="1">
        <v>55.25</v>
      </c>
      <c r="F891" s="1">
        <v>4</v>
      </c>
      <c r="G891" s="1">
        <v>474.74</v>
      </c>
      <c r="H891" s="1" t="s">
        <v>9</v>
      </c>
      <c r="I891" t="str">
        <f t="shared" si="13"/>
        <v>DAIRY MAID  SMALL  MILK JUG [21536]</v>
      </c>
    </row>
    <row r="892" spans="1:9" x14ac:dyDescent="0.3">
      <c r="A892" s="1">
        <v>21537</v>
      </c>
      <c r="B892" t="s">
        <v>5252</v>
      </c>
      <c r="C892" s="1">
        <v>4.25</v>
      </c>
      <c r="D892" s="1">
        <v>35</v>
      </c>
      <c r="E892" s="2">
        <v>38.653846153846096</v>
      </c>
      <c r="F892" s="1">
        <v>25</v>
      </c>
      <c r="G892" s="1">
        <v>4338.71</v>
      </c>
      <c r="H892" s="1" t="s">
        <v>9</v>
      </c>
      <c r="I892" t="str">
        <f t="shared" si="13"/>
        <v>RETRO SPOTS PUDDING BOWL [21537]</v>
      </c>
    </row>
    <row r="893" spans="1:9" x14ac:dyDescent="0.3">
      <c r="A893" s="1">
        <v>21538</v>
      </c>
      <c r="B893" t="s">
        <v>5251</v>
      </c>
      <c r="C893" s="1">
        <v>3.75</v>
      </c>
      <c r="D893" s="1">
        <v>9</v>
      </c>
      <c r="E893" s="1">
        <v>109</v>
      </c>
      <c r="F893" s="1">
        <v>12</v>
      </c>
      <c r="G893" s="1">
        <v>1924.51</v>
      </c>
      <c r="H893" s="1" t="s">
        <v>8</v>
      </c>
      <c r="I893" t="str">
        <f t="shared" si="13"/>
        <v>DAIRY MAID  PUDDING BOWL [21538]</v>
      </c>
    </row>
    <row r="894" spans="1:9" x14ac:dyDescent="0.3">
      <c r="A894" s="1">
        <v>21539</v>
      </c>
      <c r="B894" t="s">
        <v>5250</v>
      </c>
      <c r="C894" s="1">
        <v>5.0199999999999996</v>
      </c>
      <c r="D894" s="1">
        <v>89</v>
      </c>
      <c r="E894" s="2">
        <v>93.896551724137893</v>
      </c>
      <c r="F894" s="1">
        <v>24</v>
      </c>
      <c r="G894" s="1">
        <v>13551.64</v>
      </c>
      <c r="H894" s="1" t="s">
        <v>10</v>
      </c>
      <c r="I894" t="str">
        <f t="shared" si="13"/>
        <v>RETRO SPOTS BUTTER DISH [21539]</v>
      </c>
    </row>
    <row r="895" spans="1:9" x14ac:dyDescent="0.3">
      <c r="A895" s="1">
        <v>21540</v>
      </c>
      <c r="B895" t="s">
        <v>5249</v>
      </c>
      <c r="C895" s="1">
        <v>4.25</v>
      </c>
      <c r="D895" s="1">
        <v>19.5</v>
      </c>
      <c r="E895" s="1">
        <v>110.25</v>
      </c>
      <c r="F895" s="1">
        <v>10</v>
      </c>
      <c r="G895" s="1">
        <v>2394.9499999999998</v>
      </c>
      <c r="H895" s="1" t="s">
        <v>9</v>
      </c>
      <c r="I895" t="str">
        <f t="shared" si="13"/>
        <v>DAIRY MAID CERAMIC BUTTER DISH [21540]</v>
      </c>
    </row>
    <row r="896" spans="1:9" x14ac:dyDescent="0.3">
      <c r="A896" s="1">
        <v>21541</v>
      </c>
      <c r="B896" t="s">
        <v>5248</v>
      </c>
      <c r="C896" s="1">
        <v>0.87</v>
      </c>
      <c r="D896" s="1">
        <v>184</v>
      </c>
      <c r="E896" s="2">
        <v>158.916666666666</v>
      </c>
      <c r="F896" s="1">
        <v>12</v>
      </c>
      <c r="G896" s="1">
        <v>1636.24</v>
      </c>
      <c r="H896" s="1" t="s">
        <v>10</v>
      </c>
      <c r="I896" t="str">
        <f t="shared" si="13"/>
        <v>DINOSAURS WATER TRANSFER TATTOOS [21541]</v>
      </c>
    </row>
    <row r="897" spans="1:9" x14ac:dyDescent="0.3">
      <c r="A897" s="1">
        <v>21542</v>
      </c>
      <c r="B897" t="s">
        <v>5247</v>
      </c>
      <c r="C897" s="1">
        <v>0.86499999999999999</v>
      </c>
      <c r="D897" s="1">
        <v>203</v>
      </c>
      <c r="E897" s="1">
        <v>187.7</v>
      </c>
      <c r="F897" s="1">
        <v>10</v>
      </c>
      <c r="G897" s="1">
        <v>1600.75</v>
      </c>
      <c r="H897" s="1" t="s">
        <v>10</v>
      </c>
      <c r="I897" t="str">
        <f t="shared" si="13"/>
        <v>WOODLAND WATER TRANSFER TATTOOS [21542]</v>
      </c>
    </row>
    <row r="898" spans="1:9" x14ac:dyDescent="0.3">
      <c r="A898" s="1">
        <v>21543</v>
      </c>
      <c r="B898" t="s">
        <v>5246</v>
      </c>
      <c r="C898" s="1">
        <v>0.76</v>
      </c>
      <c r="D898" s="1">
        <v>284</v>
      </c>
      <c r="E898" s="1">
        <v>284</v>
      </c>
      <c r="F898" s="1">
        <v>1</v>
      </c>
      <c r="G898" s="1">
        <v>215</v>
      </c>
      <c r="H898" s="1" t="s">
        <v>10</v>
      </c>
      <c r="I898" t="str">
        <f t="shared" si="13"/>
        <v>BUTTERFLY WATER TRANSFER TATTOOS [21543]</v>
      </c>
    </row>
    <row r="899" spans="1:9" x14ac:dyDescent="0.3">
      <c r="A899" s="1">
        <v>21544</v>
      </c>
      <c r="B899" t="s">
        <v>5245</v>
      </c>
      <c r="C899" s="1">
        <v>0.87</v>
      </c>
      <c r="D899" s="1">
        <v>205</v>
      </c>
      <c r="E899" s="1">
        <v>242.56</v>
      </c>
      <c r="F899" s="1">
        <v>25</v>
      </c>
      <c r="G899" s="1">
        <v>5052.21</v>
      </c>
      <c r="H899" s="1" t="s">
        <v>10</v>
      </c>
      <c r="I899" t="str">
        <f t="shared" ref="I899:I962" si="14">B899&amp;" ["&amp;A899&amp;"]"</f>
        <v>SKULLS  WATER TRANSFER TATTOOS [21544]</v>
      </c>
    </row>
    <row r="900" spans="1:9" x14ac:dyDescent="0.3">
      <c r="A900" s="1">
        <v>21545</v>
      </c>
      <c r="B900" t="s">
        <v>5244</v>
      </c>
      <c r="C900" s="1">
        <v>3.0750000000000002</v>
      </c>
      <c r="D900" s="1">
        <v>45.5</v>
      </c>
      <c r="E900" s="1">
        <v>87.125</v>
      </c>
      <c r="F900" s="1">
        <v>8</v>
      </c>
      <c r="G900" s="1">
        <v>1640.12</v>
      </c>
      <c r="H900" s="1" t="s">
        <v>9</v>
      </c>
      <c r="I900" t="str">
        <f t="shared" si="14"/>
        <v>CERAMIC BIRDHOUSE BUTTERFLY SMALL [21545]</v>
      </c>
    </row>
    <row r="901" spans="1:9" x14ac:dyDescent="0.3">
      <c r="A901" s="1">
        <v>21547</v>
      </c>
      <c r="B901" t="s">
        <v>5243</v>
      </c>
      <c r="C901" s="1">
        <v>3.12</v>
      </c>
      <c r="D901" s="1">
        <v>21</v>
      </c>
      <c r="E901" s="2">
        <v>47.933333333333302</v>
      </c>
      <c r="F901" s="1">
        <v>15</v>
      </c>
      <c r="G901" s="1">
        <v>1848.47</v>
      </c>
      <c r="H901" s="1" t="s">
        <v>9</v>
      </c>
      <c r="I901" t="str">
        <f t="shared" si="14"/>
        <v>CERAMIC BIRDHOUSE CRESTED TIT SMALL [21547]</v>
      </c>
    </row>
    <row r="902" spans="1:9" x14ac:dyDescent="0.3">
      <c r="A902" s="1">
        <v>21548</v>
      </c>
      <c r="B902" t="s">
        <v>5242</v>
      </c>
      <c r="C902" s="1">
        <v>3.2050000000000001</v>
      </c>
      <c r="D902" s="1">
        <v>25</v>
      </c>
      <c r="E902" s="2">
        <v>56.8333333333333</v>
      </c>
      <c r="F902" s="1">
        <v>12</v>
      </c>
      <c r="G902" s="1">
        <v>1776.12</v>
      </c>
      <c r="H902" s="1" t="s">
        <v>9</v>
      </c>
      <c r="I902" t="str">
        <f t="shared" si="14"/>
        <v>CERAMIC BIRDHOUSE FINCH BLUE ROOF [21548]</v>
      </c>
    </row>
    <row r="903" spans="1:9" x14ac:dyDescent="0.3">
      <c r="A903" s="1">
        <v>21549</v>
      </c>
      <c r="B903" t="s">
        <v>5241</v>
      </c>
      <c r="C903" s="1">
        <v>2.95</v>
      </c>
      <c r="D903" s="1">
        <v>83</v>
      </c>
      <c r="E903" s="1">
        <v>109.4</v>
      </c>
      <c r="F903" s="1">
        <v>5</v>
      </c>
      <c r="G903" s="1">
        <v>1270.3900000000001</v>
      </c>
      <c r="H903" s="1" t="s">
        <v>10</v>
      </c>
      <c r="I903" t="str">
        <f t="shared" si="14"/>
        <v>CERAMIC BIRDHOUSE RED ROOF SMALL [21549]</v>
      </c>
    </row>
    <row r="904" spans="1:9" x14ac:dyDescent="0.3">
      <c r="A904" s="1">
        <v>21550</v>
      </c>
      <c r="B904" t="s">
        <v>5240</v>
      </c>
      <c r="C904" s="1">
        <v>6.0549999999999997</v>
      </c>
      <c r="D904" s="1">
        <v>38.5</v>
      </c>
      <c r="E904" s="2">
        <v>49.1666666666666</v>
      </c>
      <c r="F904" s="1">
        <v>6</v>
      </c>
      <c r="G904" s="1">
        <v>1565.51</v>
      </c>
      <c r="H904" s="1" t="s">
        <v>9</v>
      </c>
      <c r="I904" t="str">
        <f t="shared" si="14"/>
        <v>CERAMIC BIRDHOUSE CRESTED TIT LARGE [21550]</v>
      </c>
    </row>
    <row r="905" spans="1:9" x14ac:dyDescent="0.3">
      <c r="A905" s="1">
        <v>21551</v>
      </c>
      <c r="B905" t="s">
        <v>5239</v>
      </c>
      <c r="C905" s="2">
        <v>5.4049999999999896</v>
      </c>
      <c r="D905" s="1">
        <v>84.5</v>
      </c>
      <c r="E905" s="1">
        <v>84.5</v>
      </c>
      <c r="F905" s="1">
        <v>2</v>
      </c>
      <c r="G905" s="2">
        <v>824.94999999999902</v>
      </c>
      <c r="H905" s="1" t="s">
        <v>10</v>
      </c>
      <c r="I905" t="str">
        <f t="shared" si="14"/>
        <v>CERAMIC BIRDHOUSE BUTTERFLY LARGE [21551]</v>
      </c>
    </row>
    <row r="906" spans="1:9" x14ac:dyDescent="0.3">
      <c r="A906" s="1">
        <v>21552</v>
      </c>
      <c r="B906" t="s">
        <v>5238</v>
      </c>
      <c r="C906" s="1">
        <v>5.95</v>
      </c>
      <c r="D906" s="1">
        <v>34.5</v>
      </c>
      <c r="E906" s="1">
        <v>41.25</v>
      </c>
      <c r="F906" s="1">
        <v>4</v>
      </c>
      <c r="G906" s="1">
        <v>837.6</v>
      </c>
      <c r="H906" s="1" t="s">
        <v>9</v>
      </c>
      <c r="I906" t="str">
        <f t="shared" si="14"/>
        <v>CERAMIC BIRDHOUSE BLACK ROSE  LARGE [21552]</v>
      </c>
    </row>
    <row r="907" spans="1:9" x14ac:dyDescent="0.3">
      <c r="A907" s="1">
        <v>21553</v>
      </c>
      <c r="B907" t="s">
        <v>5237</v>
      </c>
      <c r="C907" s="1">
        <v>5.95</v>
      </c>
      <c r="D907" s="1">
        <v>24</v>
      </c>
      <c r="E907" s="1">
        <v>22.5</v>
      </c>
      <c r="F907" s="1">
        <v>4</v>
      </c>
      <c r="G907" s="1">
        <v>581.27</v>
      </c>
      <c r="H907" s="1" t="s">
        <v>9</v>
      </c>
      <c r="I907" t="str">
        <f t="shared" si="14"/>
        <v>CERAMIC BIRDHOUSE FINCH BLUE  LARGE [21553]</v>
      </c>
    </row>
    <row r="908" spans="1:9" x14ac:dyDescent="0.3">
      <c r="A908" s="1">
        <v>21554</v>
      </c>
      <c r="B908" t="s">
        <v>5236</v>
      </c>
      <c r="C908" s="1">
        <v>5.16</v>
      </c>
      <c r="D908" s="1">
        <v>83.5</v>
      </c>
      <c r="E908" s="1">
        <v>83.5</v>
      </c>
      <c r="F908" s="1">
        <v>2</v>
      </c>
      <c r="G908" s="1">
        <v>767.75</v>
      </c>
      <c r="H908" s="1" t="s">
        <v>10</v>
      </c>
      <c r="I908" t="str">
        <f t="shared" si="14"/>
        <v>CERAMIC BIRDHOUSE RED ROOF LARGE [21554]</v>
      </c>
    </row>
    <row r="909" spans="1:9" x14ac:dyDescent="0.3">
      <c r="A909" s="1">
        <v>21555</v>
      </c>
      <c r="B909" t="s">
        <v>5235</v>
      </c>
      <c r="C909" s="1">
        <v>2.5499999999999998</v>
      </c>
      <c r="D909" s="1">
        <v>14</v>
      </c>
      <c r="E909" s="1">
        <v>17</v>
      </c>
      <c r="F909" s="1">
        <v>25</v>
      </c>
      <c r="G909" s="2">
        <v>1131.3699999999999</v>
      </c>
      <c r="H909" s="1" t="s">
        <v>9</v>
      </c>
      <c r="I909" t="str">
        <f t="shared" si="14"/>
        <v>CERAMIC STRAWBERRY TRINKET TRAY [21555]</v>
      </c>
    </row>
    <row r="910" spans="1:9" x14ac:dyDescent="0.3">
      <c r="A910" s="1">
        <v>21556</v>
      </c>
      <c r="B910" t="s">
        <v>5234</v>
      </c>
      <c r="C910" s="1">
        <v>2.76</v>
      </c>
      <c r="D910" s="1">
        <v>48</v>
      </c>
      <c r="E910" s="2">
        <v>76.523809523809504</v>
      </c>
      <c r="F910" s="1">
        <v>21</v>
      </c>
      <c r="G910" s="1">
        <v>4244.41</v>
      </c>
      <c r="H910" s="1" t="s">
        <v>9</v>
      </c>
      <c r="I910" t="str">
        <f t="shared" si="14"/>
        <v>CERAMIC STRAWBERRY MONEY BOX [21556]</v>
      </c>
    </row>
    <row r="911" spans="1:9" x14ac:dyDescent="0.3">
      <c r="A911" s="1">
        <v>21557</v>
      </c>
      <c r="B911" t="s">
        <v>5233</v>
      </c>
      <c r="C911" s="1">
        <v>3.75</v>
      </c>
      <c r="D911" s="1">
        <v>34</v>
      </c>
      <c r="E911" s="1">
        <v>37.28</v>
      </c>
      <c r="F911" s="1">
        <v>25</v>
      </c>
      <c r="G911" s="1">
        <v>3169.39</v>
      </c>
      <c r="H911" s="1" t="s">
        <v>9</v>
      </c>
      <c r="I911" t="str">
        <f t="shared" si="14"/>
        <v>SET OF 6 FUNKY BEAKERS [21557]</v>
      </c>
    </row>
    <row r="912" spans="1:9" x14ac:dyDescent="0.3">
      <c r="A912" s="1">
        <v>21558</v>
      </c>
      <c r="B912" t="s">
        <v>5232</v>
      </c>
      <c r="C912" s="2">
        <v>2.5599999999999898</v>
      </c>
      <c r="D912" s="1">
        <v>164</v>
      </c>
      <c r="E912" s="2">
        <v>161.80769230769201</v>
      </c>
      <c r="F912" s="1">
        <v>23</v>
      </c>
      <c r="G912" s="1">
        <v>10810.66</v>
      </c>
      <c r="H912" s="1" t="s">
        <v>10</v>
      </c>
      <c r="I912" t="str">
        <f t="shared" si="14"/>
        <v>SKULL LUNCHBOX WITH CUTLERY [21558]</v>
      </c>
    </row>
    <row r="913" spans="1:9" x14ac:dyDescent="0.3">
      <c r="A913" s="1">
        <v>21559</v>
      </c>
      <c r="B913" t="s">
        <v>5231</v>
      </c>
      <c r="C913" s="1">
        <v>2.5099999999999998</v>
      </c>
      <c r="D913" s="1">
        <v>283.5</v>
      </c>
      <c r="E913" s="2">
        <v>293.82142857142799</v>
      </c>
      <c r="F913" s="1">
        <v>25</v>
      </c>
      <c r="G913" s="1">
        <v>20345.53</v>
      </c>
      <c r="H913" s="1" t="s">
        <v>10</v>
      </c>
      <c r="I913" t="str">
        <f t="shared" si="14"/>
        <v>STRAWBERRY LUNCHBOX WITH CUTLERY [21559]</v>
      </c>
    </row>
    <row r="914" spans="1:9" x14ac:dyDescent="0.3">
      <c r="A914" s="1">
        <v>21560</v>
      </c>
      <c r="B914" t="s">
        <v>5230</v>
      </c>
      <c r="C914" s="1">
        <v>3.86</v>
      </c>
      <c r="D914" s="1">
        <v>4</v>
      </c>
      <c r="E914" s="1">
        <v>4</v>
      </c>
      <c r="F914" s="1">
        <v>1</v>
      </c>
      <c r="G914" s="1">
        <v>15.44</v>
      </c>
      <c r="H914" s="1" t="s">
        <v>8</v>
      </c>
      <c r="I914" t="str">
        <f t="shared" si="14"/>
        <v>TOADSTOOL  LUNCHBOX WITH CUTLERY [21560]</v>
      </c>
    </row>
    <row r="915" spans="1:9" x14ac:dyDescent="0.3">
      <c r="A915" s="1">
        <v>21561</v>
      </c>
      <c r="B915" t="s">
        <v>5229</v>
      </c>
      <c r="C915" s="1">
        <v>2.5499999999999998</v>
      </c>
      <c r="D915" s="1">
        <v>104</v>
      </c>
      <c r="E915" s="2">
        <v>106.03571428571399</v>
      </c>
      <c r="F915" s="1">
        <v>25</v>
      </c>
      <c r="G915" s="1">
        <v>7303.91</v>
      </c>
      <c r="H915" s="1" t="s">
        <v>10</v>
      </c>
      <c r="I915" t="str">
        <f t="shared" si="14"/>
        <v>DINOSAUR LUNCHBOX WITH CUTLERY [21561]</v>
      </c>
    </row>
    <row r="916" spans="1:9" x14ac:dyDescent="0.3">
      <c r="A916" s="1">
        <v>21562</v>
      </c>
      <c r="B916" t="s">
        <v>5228</v>
      </c>
      <c r="C916" s="2">
        <v>1.2849999999999999</v>
      </c>
      <c r="D916" s="1">
        <v>19.5</v>
      </c>
      <c r="E916" s="2">
        <v>30.818181818181799</v>
      </c>
      <c r="F916" s="1">
        <v>22</v>
      </c>
      <c r="G916" s="1">
        <v>970.28</v>
      </c>
      <c r="H916" s="1" t="s">
        <v>9</v>
      </c>
      <c r="I916" t="str">
        <f t="shared" si="14"/>
        <v>HAWAIIAN GRASS SKIRT [21562]</v>
      </c>
    </row>
    <row r="917" spans="1:9" x14ac:dyDescent="0.3">
      <c r="A917" s="1">
        <v>21563</v>
      </c>
      <c r="B917" t="s">
        <v>5227</v>
      </c>
      <c r="C917" s="1">
        <v>3.04</v>
      </c>
      <c r="D917" s="1">
        <v>78.5</v>
      </c>
      <c r="E917" s="2">
        <v>90.5416666666666</v>
      </c>
      <c r="F917" s="1">
        <v>24</v>
      </c>
      <c r="G917" s="1">
        <v>6389.28</v>
      </c>
      <c r="H917" s="1" t="s">
        <v>10</v>
      </c>
      <c r="I917" t="str">
        <f t="shared" si="14"/>
        <v>RED HEART SHAPE LOVE BUCKET [21563]</v>
      </c>
    </row>
    <row r="918" spans="1:9" x14ac:dyDescent="0.3">
      <c r="A918" s="1">
        <v>21564</v>
      </c>
      <c r="B918" t="s">
        <v>5226</v>
      </c>
      <c r="C918" s="2">
        <v>3.0149999999999899</v>
      </c>
      <c r="D918" s="1">
        <v>50.5</v>
      </c>
      <c r="E918" s="2">
        <v>56.4166666666666</v>
      </c>
      <c r="F918" s="1">
        <v>24</v>
      </c>
      <c r="G918" s="1">
        <v>4052.87</v>
      </c>
      <c r="H918" s="1" t="s">
        <v>9</v>
      </c>
      <c r="I918" t="str">
        <f t="shared" si="14"/>
        <v>PINK  HEART SHAPE LOVE BUCKET [21564]</v>
      </c>
    </row>
    <row r="919" spans="1:9" x14ac:dyDescent="0.3">
      <c r="A919" s="1">
        <v>21576</v>
      </c>
      <c r="B919" t="s">
        <v>5225</v>
      </c>
      <c r="C919" s="1">
        <v>2.25</v>
      </c>
      <c r="D919" s="1">
        <v>25.5</v>
      </c>
      <c r="E919" s="1">
        <v>30.5</v>
      </c>
      <c r="F919" s="1">
        <v>24</v>
      </c>
      <c r="G919" s="1">
        <v>1686.19</v>
      </c>
      <c r="H919" s="1" t="s">
        <v>9</v>
      </c>
      <c r="I919" t="str">
        <f t="shared" si="14"/>
        <v>LETS GO SHOPPING COTTON TOTE BAG [21576]</v>
      </c>
    </row>
    <row r="920" spans="1:9" x14ac:dyDescent="0.3">
      <c r="A920" s="1">
        <v>21577</v>
      </c>
      <c r="B920" t="s">
        <v>5224</v>
      </c>
      <c r="C920" s="1">
        <v>2.34</v>
      </c>
      <c r="D920" s="1">
        <v>78</v>
      </c>
      <c r="E920" s="1">
        <v>102.24</v>
      </c>
      <c r="F920" s="1">
        <v>25</v>
      </c>
      <c r="G920" s="1">
        <v>5716.52</v>
      </c>
      <c r="H920" s="1" t="s">
        <v>10</v>
      </c>
      <c r="I920" t="str">
        <f t="shared" si="14"/>
        <v>SAVE THE PLANET COTTON TOTE BAG [21577]</v>
      </c>
    </row>
    <row r="921" spans="1:9" x14ac:dyDescent="0.3">
      <c r="A921" s="1">
        <v>21578</v>
      </c>
      <c r="B921" t="s">
        <v>5223</v>
      </c>
      <c r="C921" s="1">
        <v>2.3199999999999998</v>
      </c>
      <c r="D921" s="1">
        <v>98</v>
      </c>
      <c r="E921" s="1">
        <v>88.2</v>
      </c>
      <c r="F921" s="1">
        <v>25</v>
      </c>
      <c r="G921" s="1">
        <v>5062.8599999999997</v>
      </c>
      <c r="H921" s="1" t="s">
        <v>10</v>
      </c>
      <c r="I921" t="str">
        <f t="shared" si="14"/>
        <v>WOODLAND DESIGN  COTTON TOTE BAG [21578]</v>
      </c>
    </row>
    <row r="922" spans="1:9" x14ac:dyDescent="0.3">
      <c r="A922" s="1">
        <v>21579</v>
      </c>
      <c r="B922" t="s">
        <v>5222</v>
      </c>
      <c r="C922" s="1">
        <v>2.37</v>
      </c>
      <c r="D922" s="1">
        <v>18.5</v>
      </c>
      <c r="E922" s="1">
        <v>42.875</v>
      </c>
      <c r="F922" s="1">
        <v>24</v>
      </c>
      <c r="G922" s="2">
        <v>1560.85</v>
      </c>
      <c r="H922" s="1" t="s">
        <v>9</v>
      </c>
      <c r="I922" t="str">
        <f t="shared" si="14"/>
        <v>LOLITA  DESIGN  COTTON TOTE BAG [21579]</v>
      </c>
    </row>
    <row r="923" spans="1:9" x14ac:dyDescent="0.3">
      <c r="A923" s="1">
        <v>21580</v>
      </c>
      <c r="B923" t="s">
        <v>5221</v>
      </c>
      <c r="C923" s="2">
        <v>2.4</v>
      </c>
      <c r="D923" s="1">
        <v>16</v>
      </c>
      <c r="E923" s="2">
        <v>22.5833333333333</v>
      </c>
      <c r="F923" s="1">
        <v>24</v>
      </c>
      <c r="G923" s="2">
        <v>1329.6299999999901</v>
      </c>
      <c r="H923" s="1" t="s">
        <v>9</v>
      </c>
      <c r="I923" t="str">
        <f t="shared" si="14"/>
        <v>RABBIT  DESIGN  COTTON TOTE BAG [21580]</v>
      </c>
    </row>
    <row r="924" spans="1:9" x14ac:dyDescent="0.3">
      <c r="A924" s="1">
        <v>21581</v>
      </c>
      <c r="B924" t="s">
        <v>5220</v>
      </c>
      <c r="C924" s="1">
        <v>2.25</v>
      </c>
      <c r="D924" s="1">
        <v>20</v>
      </c>
      <c r="E924" s="1">
        <v>46.88</v>
      </c>
      <c r="F924" s="1">
        <v>25</v>
      </c>
      <c r="G924" s="1">
        <v>1890.74</v>
      </c>
      <c r="H924" s="1" t="s">
        <v>9</v>
      </c>
      <c r="I924" t="str">
        <f t="shared" si="14"/>
        <v>SKULLS  DESIGN  COTTON TOTE BAG [21581]</v>
      </c>
    </row>
    <row r="925" spans="1:9" x14ac:dyDescent="0.3">
      <c r="A925" s="1">
        <v>21582</v>
      </c>
      <c r="B925" t="s">
        <v>5219</v>
      </c>
      <c r="C925" s="1">
        <v>1.65</v>
      </c>
      <c r="D925" s="1">
        <v>58.5</v>
      </c>
      <c r="E925" s="1">
        <v>58.5</v>
      </c>
      <c r="F925" s="1">
        <v>2</v>
      </c>
      <c r="G925" s="1">
        <v>193.05</v>
      </c>
      <c r="H925" s="1" t="s">
        <v>9</v>
      </c>
      <c r="I925" t="str">
        <f t="shared" si="14"/>
        <v>KINGS CHOICE SMALL TUBE MATCHES [21582]</v>
      </c>
    </row>
    <row r="926" spans="1:9" x14ac:dyDescent="0.3">
      <c r="A926" s="1">
        <v>21584</v>
      </c>
      <c r="B926" t="s">
        <v>5218</v>
      </c>
      <c r="C926" s="1">
        <v>1.65</v>
      </c>
      <c r="D926" s="1">
        <v>94</v>
      </c>
      <c r="E926" s="2">
        <v>134.60714285714201</v>
      </c>
      <c r="F926" s="1">
        <v>25</v>
      </c>
      <c r="G926" s="1">
        <v>6070.05</v>
      </c>
      <c r="H926" s="1" t="s">
        <v>10</v>
      </c>
      <c r="I926" t="str">
        <f t="shared" si="14"/>
        <v>RETRO SPOT SMALL TUBE MATCHES [21584]</v>
      </c>
    </row>
    <row r="927" spans="1:9" x14ac:dyDescent="0.3">
      <c r="A927" s="1">
        <v>21585</v>
      </c>
      <c r="B927" t="s">
        <v>5217</v>
      </c>
      <c r="C927" s="1">
        <v>1.65</v>
      </c>
      <c r="D927" s="1">
        <v>1</v>
      </c>
      <c r="E927" s="1">
        <v>1</v>
      </c>
      <c r="F927" s="1">
        <v>1</v>
      </c>
      <c r="G927" s="1">
        <v>1.65</v>
      </c>
      <c r="H927" s="1" t="s">
        <v>8</v>
      </c>
      <c r="I927" t="str">
        <f t="shared" si="14"/>
        <v>SWALLOW SMALL TUBE MATCHES [21585]</v>
      </c>
    </row>
    <row r="928" spans="1:9" x14ac:dyDescent="0.3">
      <c r="A928" s="1">
        <v>21586</v>
      </c>
      <c r="B928" t="s">
        <v>5216</v>
      </c>
      <c r="C928" s="1">
        <v>2.5499999999999998</v>
      </c>
      <c r="D928" s="1">
        <v>60</v>
      </c>
      <c r="E928" s="2">
        <v>112.304347826086</v>
      </c>
      <c r="F928" s="1">
        <v>23</v>
      </c>
      <c r="G928" s="1">
        <v>6018.75</v>
      </c>
      <c r="H928" s="1" t="s">
        <v>9</v>
      </c>
      <c r="I928" t="str">
        <f t="shared" si="14"/>
        <v>KINGS CHOICE GIANT TUBE MATCHES [21586]</v>
      </c>
    </row>
    <row r="929" spans="1:9" x14ac:dyDescent="0.3">
      <c r="A929" s="1">
        <v>21587</v>
      </c>
      <c r="B929" t="s">
        <v>5215</v>
      </c>
      <c r="C929" s="1">
        <v>2.5499999999999998</v>
      </c>
      <c r="D929" s="1">
        <v>48.5</v>
      </c>
      <c r="E929" s="2">
        <v>147.92857142857099</v>
      </c>
      <c r="F929" s="1">
        <v>14</v>
      </c>
      <c r="G929" s="1">
        <v>5173.05</v>
      </c>
      <c r="H929" s="1" t="s">
        <v>9</v>
      </c>
      <c r="I929" t="str">
        <f t="shared" si="14"/>
        <v>COSY HOUR GIANT TUBE MATCHES [21587]</v>
      </c>
    </row>
    <row r="930" spans="1:9" x14ac:dyDescent="0.3">
      <c r="A930" s="1">
        <v>21588</v>
      </c>
      <c r="B930" t="s">
        <v>5214</v>
      </c>
      <c r="C930" s="1">
        <v>2.5499999999999998</v>
      </c>
      <c r="D930" s="1">
        <v>78</v>
      </c>
      <c r="E930" s="2">
        <v>124.111111111111</v>
      </c>
      <c r="F930" s="1">
        <v>25</v>
      </c>
      <c r="G930" s="1">
        <v>7748.55</v>
      </c>
      <c r="H930" s="1" t="s">
        <v>10</v>
      </c>
      <c r="I930" t="str">
        <f t="shared" si="14"/>
        <v>RETRO SPOT GIANT  TUBE MATCHES [21588]</v>
      </c>
    </row>
    <row r="931" spans="1:9" x14ac:dyDescent="0.3">
      <c r="A931" s="1">
        <v>21589</v>
      </c>
      <c r="B931" t="s">
        <v>5213</v>
      </c>
      <c r="C931" s="1">
        <v>2.33</v>
      </c>
      <c r="D931" s="1">
        <v>173</v>
      </c>
      <c r="E931" s="2">
        <v>159.85714285714201</v>
      </c>
      <c r="F931" s="1">
        <v>7</v>
      </c>
      <c r="G931" s="1">
        <v>2583.4499999999998</v>
      </c>
      <c r="H931" s="1" t="s">
        <v>10</v>
      </c>
      <c r="I931" t="str">
        <f t="shared" si="14"/>
        <v>SWALLOW GIANT TUBE MATCHES [21589]</v>
      </c>
    </row>
    <row r="932" spans="1:9" x14ac:dyDescent="0.3">
      <c r="A932" s="1">
        <v>21590</v>
      </c>
      <c r="B932" t="s">
        <v>5212</v>
      </c>
      <c r="C932" s="1">
        <v>1.25</v>
      </c>
      <c r="D932" s="1">
        <v>212.5</v>
      </c>
      <c r="E932" s="2">
        <v>287.33333333333297</v>
      </c>
      <c r="F932" s="1">
        <v>12</v>
      </c>
      <c r="G932" s="1">
        <v>4141.28</v>
      </c>
      <c r="H932" s="1" t="s">
        <v>10</v>
      </c>
      <c r="I932" t="str">
        <f t="shared" si="14"/>
        <v>KINGS CHOICE CIGAR BOX MATCHES [21590]</v>
      </c>
    </row>
    <row r="933" spans="1:9" x14ac:dyDescent="0.3">
      <c r="A933" s="1">
        <v>21591</v>
      </c>
      <c r="B933" t="s">
        <v>5211</v>
      </c>
      <c r="C933" s="1">
        <v>1.25</v>
      </c>
      <c r="D933" s="1">
        <v>37</v>
      </c>
      <c r="E933" s="1">
        <v>165.75</v>
      </c>
      <c r="F933" s="1">
        <v>24</v>
      </c>
      <c r="G933" s="1">
        <v>6003.08</v>
      </c>
      <c r="H933" s="1" t="s">
        <v>9</v>
      </c>
      <c r="I933" t="str">
        <f t="shared" si="14"/>
        <v>COSY HOUR CIGAR BOX MATCHES [21591]</v>
      </c>
    </row>
    <row r="934" spans="1:9" x14ac:dyDescent="0.3">
      <c r="A934" s="1">
        <v>21592</v>
      </c>
      <c r="B934" t="s">
        <v>5210</v>
      </c>
      <c r="C934" s="1">
        <v>1.25</v>
      </c>
      <c r="D934" s="1">
        <v>149</v>
      </c>
      <c r="E934" s="2">
        <v>209.85714285714201</v>
      </c>
      <c r="F934" s="1">
        <v>25</v>
      </c>
      <c r="G934" s="1">
        <v>6552.46</v>
      </c>
      <c r="H934" s="1" t="s">
        <v>10</v>
      </c>
      <c r="I934" t="str">
        <f t="shared" si="14"/>
        <v>RETRO SPOT  CIGAR BOX MATCHES [21592]</v>
      </c>
    </row>
    <row r="935" spans="1:9" x14ac:dyDescent="0.3">
      <c r="A935" s="1">
        <v>21593</v>
      </c>
      <c r="B935" t="s">
        <v>5209</v>
      </c>
      <c r="C935" s="1">
        <v>1.25</v>
      </c>
      <c r="D935" s="1">
        <v>161.5</v>
      </c>
      <c r="E935" s="2">
        <v>231.833333333333</v>
      </c>
      <c r="F935" s="1">
        <v>6</v>
      </c>
      <c r="G935" s="1">
        <v>1629.31</v>
      </c>
      <c r="H935" s="1" t="s">
        <v>10</v>
      </c>
      <c r="I935" t="str">
        <f t="shared" si="14"/>
        <v>SWALLOW CIGAR BOX MATCHES [21593]</v>
      </c>
    </row>
    <row r="936" spans="1:9" x14ac:dyDescent="0.3">
      <c r="A936" s="1">
        <v>21594</v>
      </c>
      <c r="B936" t="s">
        <v>5208</v>
      </c>
      <c r="C936" s="1">
        <v>4.21</v>
      </c>
      <c r="D936" s="1">
        <v>1</v>
      </c>
      <c r="E936" s="1">
        <v>1</v>
      </c>
      <c r="F936" s="1">
        <v>5</v>
      </c>
      <c r="G936" s="1">
        <v>21.06</v>
      </c>
      <c r="H936" s="1" t="s">
        <v>8</v>
      </c>
      <c r="I936" t="str">
        <f t="shared" si="14"/>
        <v>Dr. Jam's Arouzer Stress Ball [21594]</v>
      </c>
    </row>
    <row r="937" spans="1:9" x14ac:dyDescent="0.3">
      <c r="A937" s="1">
        <v>21595</v>
      </c>
      <c r="B937" t="s">
        <v>5207</v>
      </c>
      <c r="C937" s="1">
        <v>8.4700000000000006</v>
      </c>
      <c r="D937" s="1">
        <v>2</v>
      </c>
      <c r="E937" s="1">
        <v>2.25</v>
      </c>
      <c r="F937" s="1">
        <v>4</v>
      </c>
      <c r="G937" s="1">
        <v>76.95</v>
      </c>
      <c r="H937" s="1" t="s">
        <v>8</v>
      </c>
      <c r="I937" t="str">
        <f t="shared" si="14"/>
        <v>Dad's Cab Electronic Meter [21595]</v>
      </c>
    </row>
    <row r="938" spans="1:9" x14ac:dyDescent="0.3">
      <c r="A938" s="1">
        <v>21596</v>
      </c>
      <c r="B938" t="s">
        <v>5206</v>
      </c>
      <c r="C938" s="1">
        <v>4.21</v>
      </c>
      <c r="D938" s="1">
        <v>1.5</v>
      </c>
      <c r="E938" s="1">
        <v>2.5</v>
      </c>
      <c r="F938" s="1">
        <v>4</v>
      </c>
      <c r="G938" s="1">
        <v>42.64</v>
      </c>
      <c r="H938" s="1" t="s">
        <v>8</v>
      </c>
      <c r="I938" t="str">
        <f t="shared" si="14"/>
        <v>Hypochondriac Pill Stress Ball [21596]</v>
      </c>
    </row>
    <row r="939" spans="1:9" x14ac:dyDescent="0.3">
      <c r="A939" s="1">
        <v>21609</v>
      </c>
      <c r="B939" t="s">
        <v>5205</v>
      </c>
      <c r="C939" s="1">
        <v>2.95</v>
      </c>
      <c r="D939" s="1">
        <v>54</v>
      </c>
      <c r="E939" s="2">
        <v>71.380952380952294</v>
      </c>
      <c r="F939" s="1">
        <v>21</v>
      </c>
      <c r="G939" s="1">
        <v>4186.29</v>
      </c>
      <c r="H939" s="1" t="s">
        <v>9</v>
      </c>
      <c r="I939" t="str">
        <f t="shared" si="14"/>
        <v>SET 12 LAVENDER  BOTANICAL T-LIGHTS [21609]</v>
      </c>
    </row>
    <row r="940" spans="1:9" x14ac:dyDescent="0.3">
      <c r="A940" s="1">
        <v>21610</v>
      </c>
      <c r="B940" t="s">
        <v>5204</v>
      </c>
      <c r="C940" s="1">
        <v>2.95</v>
      </c>
      <c r="D940" s="1">
        <v>34.5</v>
      </c>
      <c r="E940" s="2">
        <v>45.1666666666666</v>
      </c>
      <c r="F940" s="1">
        <v>12</v>
      </c>
      <c r="G940" s="2">
        <v>1543.6699999999901</v>
      </c>
      <c r="H940" s="1" t="s">
        <v>9</v>
      </c>
      <c r="I940" t="str">
        <f t="shared" si="14"/>
        <v>SET 12 PEAR BOTANICAL T-LIGHTS [21610]</v>
      </c>
    </row>
    <row r="941" spans="1:9" x14ac:dyDescent="0.3">
      <c r="A941" s="1">
        <v>21611</v>
      </c>
      <c r="B941" t="s">
        <v>5203</v>
      </c>
      <c r="C941" s="1">
        <v>2.95</v>
      </c>
      <c r="D941" s="1">
        <v>55</v>
      </c>
      <c r="E941" s="2">
        <v>68.181818181818102</v>
      </c>
      <c r="F941" s="1">
        <v>11</v>
      </c>
      <c r="G941" s="1">
        <v>2182.19</v>
      </c>
      <c r="H941" s="1" t="s">
        <v>9</v>
      </c>
      <c r="I941" t="str">
        <f t="shared" si="14"/>
        <v>SET OF 12 LILY BOTANICAL T-LIGHTS [21611]</v>
      </c>
    </row>
    <row r="942" spans="1:9" x14ac:dyDescent="0.3">
      <c r="A942" s="1">
        <v>21612</v>
      </c>
      <c r="B942" t="s">
        <v>5202</v>
      </c>
      <c r="C942" s="1">
        <v>2.95</v>
      </c>
      <c r="D942" s="1">
        <v>49</v>
      </c>
      <c r="E942" s="1">
        <v>69.8</v>
      </c>
      <c r="F942" s="1">
        <v>10</v>
      </c>
      <c r="G942" s="1">
        <v>2025.77</v>
      </c>
      <c r="H942" s="1" t="s">
        <v>9</v>
      </c>
      <c r="I942" t="str">
        <f t="shared" si="14"/>
        <v>SET 12 WILDFLOWER BOTANICAL T-LIGHT [21612]</v>
      </c>
    </row>
    <row r="943" spans="1:9" x14ac:dyDescent="0.3">
      <c r="A943" s="1">
        <v>21613</v>
      </c>
      <c r="B943" t="s">
        <v>5201</v>
      </c>
      <c r="C943" s="1">
        <v>2.95</v>
      </c>
      <c r="D943" s="1">
        <v>22.5</v>
      </c>
      <c r="E943" s="2">
        <v>28.727272727272702</v>
      </c>
      <c r="F943" s="1">
        <v>22</v>
      </c>
      <c r="G943" s="1">
        <v>1861.45</v>
      </c>
      <c r="H943" s="1" t="s">
        <v>9</v>
      </c>
      <c r="I943" t="str">
        <f t="shared" si="14"/>
        <v>S/12 VANILLA  BOTANICAL T-LIGHTS [21613]</v>
      </c>
    </row>
    <row r="944" spans="1:9" x14ac:dyDescent="0.3">
      <c r="A944" s="1">
        <v>21614</v>
      </c>
      <c r="B944" t="s">
        <v>5200</v>
      </c>
      <c r="C944" s="1">
        <v>2.95</v>
      </c>
      <c r="D944" s="1">
        <v>98</v>
      </c>
      <c r="E944" s="2">
        <v>108.466666666666</v>
      </c>
      <c r="F944" s="1">
        <v>15</v>
      </c>
      <c r="G944" s="1">
        <v>4538.17</v>
      </c>
      <c r="H944" s="1" t="s">
        <v>10</v>
      </c>
      <c r="I944" t="str">
        <f t="shared" si="14"/>
        <v>SET OF 12 ROSE BOTANICAL T-LIGHTS [21614]</v>
      </c>
    </row>
    <row r="945" spans="1:9" x14ac:dyDescent="0.3">
      <c r="A945" s="1">
        <v>21615</v>
      </c>
      <c r="B945" t="s">
        <v>5199</v>
      </c>
      <c r="C945" s="1">
        <v>3.75</v>
      </c>
      <c r="D945" s="1">
        <v>12</v>
      </c>
      <c r="E945" s="2">
        <v>48.6666666666666</v>
      </c>
      <c r="F945" s="1">
        <v>24</v>
      </c>
      <c r="G945" s="1">
        <v>2308.67</v>
      </c>
      <c r="H945" s="1" t="s">
        <v>9</v>
      </c>
      <c r="I945" t="str">
        <f t="shared" si="14"/>
        <v>4 LAVENDER BOTANICAL DINNER CANDLES [21615]</v>
      </c>
    </row>
    <row r="946" spans="1:9" x14ac:dyDescent="0.3">
      <c r="A946" s="1">
        <v>21616</v>
      </c>
      <c r="B946" t="s">
        <v>5198</v>
      </c>
      <c r="C946" s="1">
        <v>3.75</v>
      </c>
      <c r="D946" s="1">
        <v>9.5</v>
      </c>
      <c r="E946" s="1">
        <v>48</v>
      </c>
      <c r="F946" s="1">
        <v>24</v>
      </c>
      <c r="G946" s="1">
        <v>2458.58</v>
      </c>
      <c r="H946" s="1" t="s">
        <v>8</v>
      </c>
      <c r="I946" t="str">
        <f t="shared" si="14"/>
        <v>4 PEAR BOTANICAL DINNER CANDLES [21616]</v>
      </c>
    </row>
    <row r="947" spans="1:9" x14ac:dyDescent="0.3">
      <c r="A947" s="1">
        <v>21617</v>
      </c>
      <c r="B947" t="s">
        <v>5197</v>
      </c>
      <c r="C947" s="1">
        <v>3.75</v>
      </c>
      <c r="D947" s="1">
        <v>21</v>
      </c>
      <c r="E947" s="2">
        <v>36.260869565217298</v>
      </c>
      <c r="F947" s="1">
        <v>23</v>
      </c>
      <c r="G947" s="1">
        <v>2135.0100000000002</v>
      </c>
      <c r="H947" s="1" t="s">
        <v>9</v>
      </c>
      <c r="I947" t="str">
        <f t="shared" si="14"/>
        <v>4 LILY  BOTANICAL DINNER CANDLES [21617]</v>
      </c>
    </row>
    <row r="948" spans="1:9" x14ac:dyDescent="0.3">
      <c r="A948" s="1">
        <v>21618</v>
      </c>
      <c r="B948" t="s">
        <v>5196</v>
      </c>
      <c r="C948" s="1">
        <v>3.75</v>
      </c>
      <c r="D948" s="1">
        <v>18</v>
      </c>
      <c r="E948" s="2">
        <v>30.347826086956498</v>
      </c>
      <c r="F948" s="1">
        <v>23</v>
      </c>
      <c r="G948" s="1">
        <v>1823.74</v>
      </c>
      <c r="H948" s="1" t="s">
        <v>9</v>
      </c>
      <c r="I948" t="str">
        <f t="shared" si="14"/>
        <v>4 WILDFLOWER BOTANICAL CANDLES [21618]</v>
      </c>
    </row>
    <row r="949" spans="1:9" x14ac:dyDescent="0.3">
      <c r="A949" s="1">
        <v>21619</v>
      </c>
      <c r="B949" t="s">
        <v>5195</v>
      </c>
      <c r="C949" s="1">
        <v>3.75</v>
      </c>
      <c r="D949" s="1">
        <v>11.5</v>
      </c>
      <c r="E949" s="1">
        <v>47.125</v>
      </c>
      <c r="F949" s="1">
        <v>24</v>
      </c>
      <c r="G949" s="1">
        <v>2069.02</v>
      </c>
      <c r="H949" s="1" t="s">
        <v>9</v>
      </c>
      <c r="I949" t="str">
        <f t="shared" si="14"/>
        <v>4 VANILLA BOTANICAL CANDLES [21619]</v>
      </c>
    </row>
    <row r="950" spans="1:9" x14ac:dyDescent="0.3">
      <c r="A950" s="1">
        <v>21620</v>
      </c>
      <c r="B950" t="s">
        <v>5194</v>
      </c>
      <c r="C950" s="1">
        <v>3.75</v>
      </c>
      <c r="D950" s="1">
        <v>21.5</v>
      </c>
      <c r="E950" s="2">
        <v>45.2916666666666</v>
      </c>
      <c r="F950" s="1">
        <v>24</v>
      </c>
      <c r="G950" s="1">
        <v>2206.73</v>
      </c>
      <c r="H950" s="1" t="s">
        <v>9</v>
      </c>
      <c r="I950" t="str">
        <f t="shared" si="14"/>
        <v>S/4 ROSE    BOTANICAL  CANDLE [21620]</v>
      </c>
    </row>
    <row r="951" spans="1:9" x14ac:dyDescent="0.3">
      <c r="A951" s="1">
        <v>21621</v>
      </c>
      <c r="B951" t="s">
        <v>5193</v>
      </c>
      <c r="C951" s="1">
        <v>8.7100000000000009</v>
      </c>
      <c r="D951" s="1">
        <v>233</v>
      </c>
      <c r="E951" s="1">
        <v>276</v>
      </c>
      <c r="F951" s="1">
        <v>25</v>
      </c>
      <c r="G951" s="1">
        <v>60286.04</v>
      </c>
      <c r="H951" s="1" t="s">
        <v>10</v>
      </c>
      <c r="I951" t="str">
        <f t="shared" si="14"/>
        <v>VINTAGE UNION JACK BUNTING [21621]</v>
      </c>
    </row>
    <row r="952" spans="1:9" x14ac:dyDescent="0.3">
      <c r="A952" s="1">
        <v>21622</v>
      </c>
      <c r="B952" t="s">
        <v>5192</v>
      </c>
      <c r="C952" s="1">
        <v>5.04</v>
      </c>
      <c r="D952" s="1">
        <v>102</v>
      </c>
      <c r="E952" s="1">
        <v>147.96</v>
      </c>
      <c r="F952" s="1">
        <v>25</v>
      </c>
      <c r="G952" s="1">
        <v>19936.939999999999</v>
      </c>
      <c r="H952" s="1" t="s">
        <v>10</v>
      </c>
      <c r="I952" t="str">
        <f t="shared" si="14"/>
        <v>VINTAGE UNION JACK CUSHION COVER [21622]</v>
      </c>
    </row>
    <row r="953" spans="1:9" x14ac:dyDescent="0.3">
      <c r="A953" s="1">
        <v>21623</v>
      </c>
      <c r="B953" t="s">
        <v>5191</v>
      </c>
      <c r="C953" s="1">
        <v>8.8000000000000007</v>
      </c>
      <c r="D953" s="1">
        <v>141</v>
      </c>
      <c r="E953" s="2">
        <v>268.04347826086899</v>
      </c>
      <c r="F953" s="1">
        <v>23</v>
      </c>
      <c r="G953" s="1">
        <v>45402.18</v>
      </c>
      <c r="H953" s="1" t="s">
        <v>10</v>
      </c>
      <c r="I953" t="str">
        <f t="shared" si="14"/>
        <v>VINTAGE UNION JACK MEMOBOARD [21623]</v>
      </c>
    </row>
    <row r="954" spans="1:9" x14ac:dyDescent="0.3">
      <c r="A954" s="1">
        <v>21624</v>
      </c>
      <c r="B954" t="s">
        <v>5190</v>
      </c>
      <c r="C954" s="1">
        <v>6.06</v>
      </c>
      <c r="D954" s="1">
        <v>37</v>
      </c>
      <c r="E954" s="1">
        <v>70.84</v>
      </c>
      <c r="F954" s="1">
        <v>25</v>
      </c>
      <c r="G954" s="1">
        <v>10641.15</v>
      </c>
      <c r="H954" s="1" t="s">
        <v>9</v>
      </c>
      <c r="I954" t="str">
        <f t="shared" si="14"/>
        <v>VINTAGE UNION JACK DOORSTOP [21624]</v>
      </c>
    </row>
    <row r="955" spans="1:9" x14ac:dyDescent="0.3">
      <c r="A955" s="1">
        <v>21625</v>
      </c>
      <c r="B955" t="s">
        <v>5189</v>
      </c>
      <c r="C955" s="1">
        <v>7.26</v>
      </c>
      <c r="D955" s="1">
        <v>32</v>
      </c>
      <c r="E955" s="1">
        <v>39.36</v>
      </c>
      <c r="F955" s="1">
        <v>25</v>
      </c>
      <c r="G955" s="1">
        <v>7037.62</v>
      </c>
      <c r="H955" s="1" t="s">
        <v>9</v>
      </c>
      <c r="I955" t="str">
        <f t="shared" si="14"/>
        <v>VINTAGE UNION JACK APRON [21625]</v>
      </c>
    </row>
    <row r="956" spans="1:9" x14ac:dyDescent="0.3">
      <c r="A956" s="1">
        <v>21626</v>
      </c>
      <c r="B956" t="s">
        <v>5188</v>
      </c>
      <c r="C956" s="1">
        <v>1.99</v>
      </c>
      <c r="D956" s="1">
        <v>37</v>
      </c>
      <c r="E956" s="2">
        <v>62.3333333333333</v>
      </c>
      <c r="F956" s="1">
        <v>24</v>
      </c>
      <c r="G956" s="1">
        <v>3017.07</v>
      </c>
      <c r="H956" s="1" t="s">
        <v>9</v>
      </c>
      <c r="I956" t="str">
        <f t="shared" si="14"/>
        <v>VINTAGE UNION JACK PENNANT [21626]</v>
      </c>
    </row>
    <row r="957" spans="1:9" x14ac:dyDescent="0.3">
      <c r="A957" s="1">
        <v>21627</v>
      </c>
      <c r="B957" t="s">
        <v>5187</v>
      </c>
      <c r="C957" s="1">
        <v>20.89</v>
      </c>
      <c r="D957" s="1">
        <v>6</v>
      </c>
      <c r="E957" s="2">
        <v>8.4782608695652097</v>
      </c>
      <c r="F957" s="1">
        <v>23</v>
      </c>
      <c r="G957" s="1">
        <v>3766.35</v>
      </c>
      <c r="H957" s="1" t="s">
        <v>8</v>
      </c>
      <c r="I957" t="str">
        <f t="shared" si="14"/>
        <v>ELEPHANT CARNIVAL POUFFE [21627]</v>
      </c>
    </row>
    <row r="958" spans="1:9" x14ac:dyDescent="0.3">
      <c r="A958" s="1">
        <v>21628</v>
      </c>
      <c r="B958" t="s">
        <v>5186</v>
      </c>
      <c r="C958" s="1">
        <v>20.23</v>
      </c>
      <c r="D958" s="1">
        <v>5.5</v>
      </c>
      <c r="E958" s="2">
        <v>7.4545454545454497</v>
      </c>
      <c r="F958" s="1">
        <v>22</v>
      </c>
      <c r="G958" s="2">
        <v>3185.2799999999902</v>
      </c>
      <c r="H958" s="1" t="s">
        <v>8</v>
      </c>
      <c r="I958" t="str">
        <f t="shared" si="14"/>
        <v>TRIANGULAR POUFFE VINTAGE [21628]</v>
      </c>
    </row>
    <row r="959" spans="1:9" x14ac:dyDescent="0.3">
      <c r="A959" s="1">
        <v>21629</v>
      </c>
      <c r="B959" t="s">
        <v>5185</v>
      </c>
      <c r="C959" s="2">
        <v>10.184999999999899</v>
      </c>
      <c r="D959" s="1">
        <v>5.5</v>
      </c>
      <c r="E959" s="2">
        <v>6.8076923076923004</v>
      </c>
      <c r="F959" s="1">
        <v>25</v>
      </c>
      <c r="G959" s="2">
        <v>1961.37</v>
      </c>
      <c r="H959" s="1" t="s">
        <v>8</v>
      </c>
      <c r="I959" t="str">
        <f t="shared" si="14"/>
        <v>SQUARE FLOOR CUSHION VINTAGE PINK [21629]</v>
      </c>
    </row>
    <row r="960" spans="1:9" x14ac:dyDescent="0.3">
      <c r="A960" s="1">
        <v>21630</v>
      </c>
      <c r="B960" t="s">
        <v>5184</v>
      </c>
      <c r="C960" s="1">
        <v>12.125</v>
      </c>
      <c r="D960" s="1">
        <v>5.5</v>
      </c>
      <c r="E960" s="1">
        <v>6.75</v>
      </c>
      <c r="F960" s="1">
        <v>24</v>
      </c>
      <c r="G960" s="2">
        <v>1973.3899999999901</v>
      </c>
      <c r="H960" s="1" t="s">
        <v>8</v>
      </c>
      <c r="I960" t="str">
        <f t="shared" si="14"/>
        <v>FLOOR CUSHION ELEPHANT CARNIVAL [21630]</v>
      </c>
    </row>
    <row r="961" spans="1:9" x14ac:dyDescent="0.3">
      <c r="A961" s="1">
        <v>21631</v>
      </c>
      <c r="B961" t="s">
        <v>5183</v>
      </c>
      <c r="C961" s="1">
        <v>12.75</v>
      </c>
      <c r="D961" s="1">
        <v>3.5</v>
      </c>
      <c r="E961" s="2">
        <v>12.2777777777777</v>
      </c>
      <c r="F961" s="1">
        <v>18</v>
      </c>
      <c r="G961" s="1">
        <v>1571.75</v>
      </c>
      <c r="H961" s="1" t="s">
        <v>8</v>
      </c>
      <c r="I961" t="str">
        <f t="shared" si="14"/>
        <v>HIPPY CHIC DECORATIVE PARASOL [21631]</v>
      </c>
    </row>
    <row r="962" spans="1:9" x14ac:dyDescent="0.3">
      <c r="A962" s="1">
        <v>21632</v>
      </c>
      <c r="B962" t="s">
        <v>5182</v>
      </c>
      <c r="C962" s="1">
        <v>12.75</v>
      </c>
      <c r="D962" s="1">
        <v>4.5</v>
      </c>
      <c r="E962" s="1">
        <v>11</v>
      </c>
      <c r="F962" s="1">
        <v>12</v>
      </c>
      <c r="G962" s="1">
        <v>1076.22</v>
      </c>
      <c r="H962" s="1" t="s">
        <v>8</v>
      </c>
      <c r="I962" t="str">
        <f t="shared" si="14"/>
        <v>VINTAGE PINK DECORATIVE PARASOL [21632]</v>
      </c>
    </row>
    <row r="963" spans="1:9" x14ac:dyDescent="0.3">
      <c r="A963" s="1">
        <v>21633</v>
      </c>
      <c r="B963" t="s">
        <v>5181</v>
      </c>
      <c r="C963" s="1">
        <v>12.75</v>
      </c>
      <c r="D963" s="1">
        <v>4</v>
      </c>
      <c r="E963" s="2">
        <v>9.2105263157894708</v>
      </c>
      <c r="F963" s="1">
        <v>19</v>
      </c>
      <c r="G963" s="1">
        <v>1663.11</v>
      </c>
      <c r="H963" s="1" t="s">
        <v>8</v>
      </c>
      <c r="I963" t="str">
        <f t="shared" ref="I963:I1026" si="15">B963&amp;" ["&amp;A963&amp;"]"</f>
        <v>SUNFLOWER DECORATIVE PARASOL [21633]</v>
      </c>
    </row>
    <row r="964" spans="1:9" x14ac:dyDescent="0.3">
      <c r="A964" s="1">
        <v>21634</v>
      </c>
      <c r="B964" t="s">
        <v>5180</v>
      </c>
      <c r="C964" s="1">
        <v>1.25</v>
      </c>
      <c r="D964" s="1">
        <v>37</v>
      </c>
      <c r="E964" s="2">
        <v>84.3333333333333</v>
      </c>
      <c r="F964" s="1">
        <v>21</v>
      </c>
      <c r="G964" s="1">
        <v>1507.74</v>
      </c>
      <c r="H964" s="1" t="s">
        <v>9</v>
      </c>
      <c r="I964" t="str">
        <f t="shared" si="15"/>
        <v>ASSORTED MINI MADRAS NOTEBOOK [21634]</v>
      </c>
    </row>
    <row r="965" spans="1:9" x14ac:dyDescent="0.3">
      <c r="A965" s="1">
        <v>21635</v>
      </c>
      <c r="B965" t="s">
        <v>5179</v>
      </c>
      <c r="C965" s="1">
        <v>3.75</v>
      </c>
      <c r="D965" s="1">
        <v>10</v>
      </c>
      <c r="E965" s="1">
        <v>24.875</v>
      </c>
      <c r="F965" s="1">
        <v>16</v>
      </c>
      <c r="G965" s="1">
        <v>855.24</v>
      </c>
      <c r="H965" s="1" t="s">
        <v>9</v>
      </c>
      <c r="I965" t="str">
        <f t="shared" si="15"/>
        <v>MADRAS NOTEBOOK LARGE [21635]</v>
      </c>
    </row>
    <row r="966" spans="1:9" x14ac:dyDescent="0.3">
      <c r="A966" s="1">
        <v>21636</v>
      </c>
      <c r="B966" t="s">
        <v>5178</v>
      </c>
      <c r="C966" s="1">
        <v>2.5499999999999998</v>
      </c>
      <c r="D966" s="1">
        <v>12</v>
      </c>
      <c r="E966" s="1">
        <v>50.7</v>
      </c>
      <c r="F966" s="1">
        <v>20</v>
      </c>
      <c r="G966" s="1">
        <v>985.74</v>
      </c>
      <c r="H966" s="1" t="s">
        <v>9</v>
      </c>
      <c r="I966" t="str">
        <f t="shared" si="15"/>
        <v>MADRAS NOTEBOOK MEDIUM [21636]</v>
      </c>
    </row>
    <row r="967" spans="1:9" x14ac:dyDescent="0.3">
      <c r="A967" s="1">
        <v>21637</v>
      </c>
      <c r="B967" t="s">
        <v>5177</v>
      </c>
      <c r="C967" s="1">
        <v>1.28</v>
      </c>
      <c r="D967" s="1">
        <v>55</v>
      </c>
      <c r="E967" s="2">
        <v>79.882352941176407</v>
      </c>
      <c r="F967" s="1">
        <v>17</v>
      </c>
      <c r="G967" s="1">
        <v>1741.72</v>
      </c>
      <c r="H967" s="1" t="s">
        <v>9</v>
      </c>
      <c r="I967" t="str">
        <f t="shared" si="15"/>
        <v>ASSORTED SANSKRIT MINI NOTEBOOK [21637]</v>
      </c>
    </row>
    <row r="968" spans="1:9" x14ac:dyDescent="0.3">
      <c r="A968" s="1">
        <v>21638</v>
      </c>
      <c r="B968" t="s">
        <v>5176</v>
      </c>
      <c r="C968" s="1">
        <v>2.1</v>
      </c>
      <c r="D968" s="1">
        <v>34</v>
      </c>
      <c r="E968" s="2">
        <v>46.363636363636303</v>
      </c>
      <c r="F968" s="1">
        <v>22</v>
      </c>
      <c r="G968" s="1">
        <v>2220.94</v>
      </c>
      <c r="H968" s="1" t="s">
        <v>9</v>
      </c>
      <c r="I968" t="str">
        <f t="shared" si="15"/>
        <v>ASSORTED TUTTI FRUTTI NOTEBOOK [21638]</v>
      </c>
    </row>
    <row r="969" spans="1:9" x14ac:dyDescent="0.3">
      <c r="A969" s="1">
        <v>21639</v>
      </c>
      <c r="B969" t="s">
        <v>5175</v>
      </c>
      <c r="C969" s="1">
        <v>0.86499999999999999</v>
      </c>
      <c r="D969" s="1">
        <v>129.5</v>
      </c>
      <c r="E969" s="1">
        <v>129.5</v>
      </c>
      <c r="F969" s="1">
        <v>2</v>
      </c>
      <c r="G969" s="1">
        <v>228.65</v>
      </c>
      <c r="H969" s="1" t="s">
        <v>10</v>
      </c>
      <c r="I969" t="str">
        <f t="shared" si="15"/>
        <v>ASSORTED TUTTI FRUTTI KEYRING [21639]</v>
      </c>
    </row>
    <row r="970" spans="1:9" x14ac:dyDescent="0.3">
      <c r="A970" s="1">
        <v>21640</v>
      </c>
      <c r="B970" t="s">
        <v>5174</v>
      </c>
      <c r="C970" s="1">
        <v>0.91</v>
      </c>
      <c r="D970" s="1">
        <v>70</v>
      </c>
      <c r="E970" s="2">
        <v>92.7083333333333</v>
      </c>
      <c r="F970" s="1">
        <v>24</v>
      </c>
      <c r="G970" s="1">
        <v>2049.4</v>
      </c>
      <c r="H970" s="1" t="s">
        <v>10</v>
      </c>
      <c r="I970" t="str">
        <f t="shared" si="15"/>
        <v>ASSORTED TUTTI FRUTTI  FOB NOTEBOOK [21640]</v>
      </c>
    </row>
    <row r="971" spans="1:9" x14ac:dyDescent="0.3">
      <c r="A971" s="1">
        <v>21641</v>
      </c>
      <c r="B971" t="s">
        <v>5173</v>
      </c>
      <c r="C971" s="2">
        <v>0.92999999999999905</v>
      </c>
      <c r="D971" s="1">
        <v>29.5</v>
      </c>
      <c r="E971" s="2">
        <v>75.727272727272705</v>
      </c>
      <c r="F971" s="1">
        <v>22</v>
      </c>
      <c r="G971" s="1">
        <v>946.31</v>
      </c>
      <c r="H971" s="1" t="s">
        <v>9</v>
      </c>
      <c r="I971" t="str">
        <f t="shared" si="15"/>
        <v>ASSORTED TUTTI FRUTTI KEYRING BALL [21641]</v>
      </c>
    </row>
    <row r="972" spans="1:9" x14ac:dyDescent="0.3">
      <c r="A972" s="1">
        <v>21642</v>
      </c>
      <c r="B972" t="s">
        <v>5172</v>
      </c>
      <c r="C972" s="1">
        <v>0.85</v>
      </c>
      <c r="D972" s="1">
        <v>82</v>
      </c>
      <c r="E972" s="2">
        <v>191.869565217391</v>
      </c>
      <c r="F972" s="1">
        <v>23</v>
      </c>
      <c r="G972" s="1">
        <v>2575.1799999999998</v>
      </c>
      <c r="H972" s="1" t="s">
        <v>10</v>
      </c>
      <c r="I972" t="str">
        <f t="shared" si="15"/>
        <v>ASSORTED TUTTI FRUTTI PEN [21642]</v>
      </c>
    </row>
    <row r="973" spans="1:9" x14ac:dyDescent="0.3">
      <c r="A973" s="1">
        <v>21643</v>
      </c>
      <c r="B973" t="s">
        <v>5171</v>
      </c>
      <c r="C973" s="2">
        <v>1.3599999999999901</v>
      </c>
      <c r="D973" s="1">
        <v>51.5</v>
      </c>
      <c r="E973" s="1">
        <v>63.375</v>
      </c>
      <c r="F973" s="1">
        <v>24</v>
      </c>
      <c r="G973" s="1">
        <v>2127.94</v>
      </c>
      <c r="H973" s="1" t="s">
        <v>9</v>
      </c>
      <c r="I973" t="str">
        <f t="shared" si="15"/>
        <v>ASSORTED TUTTI FRUTTI MIRROR [21643]</v>
      </c>
    </row>
    <row r="974" spans="1:9" x14ac:dyDescent="0.3">
      <c r="A974" s="1">
        <v>21644</v>
      </c>
      <c r="B974" t="s">
        <v>5170</v>
      </c>
      <c r="C974" s="1">
        <v>1.25</v>
      </c>
      <c r="D974" s="1">
        <v>37</v>
      </c>
      <c r="E974" s="2">
        <v>47.260869565217298</v>
      </c>
      <c r="F974" s="1">
        <v>23</v>
      </c>
      <c r="G974" s="1">
        <v>1461.47</v>
      </c>
      <c r="H974" s="1" t="s">
        <v>9</v>
      </c>
      <c r="I974" t="str">
        <f t="shared" si="15"/>
        <v>ASSORTED TUTTI FRUTTI HEART BOX [21644]</v>
      </c>
    </row>
    <row r="975" spans="1:9" x14ac:dyDescent="0.3">
      <c r="A975" s="1">
        <v>21645</v>
      </c>
      <c r="B975" t="s">
        <v>5169</v>
      </c>
      <c r="C975" s="1">
        <v>1.65</v>
      </c>
      <c r="D975" s="1">
        <v>58</v>
      </c>
      <c r="E975" s="1">
        <v>80.75</v>
      </c>
      <c r="F975" s="1">
        <v>12</v>
      </c>
      <c r="G975" s="2">
        <v>1642.6499999999901</v>
      </c>
      <c r="H975" s="1" t="s">
        <v>9</v>
      </c>
      <c r="I975" t="str">
        <f t="shared" si="15"/>
        <v>ASSORTED TUTTI FRUTTI ROUND BOX [21645]</v>
      </c>
    </row>
    <row r="976" spans="1:9" x14ac:dyDescent="0.3">
      <c r="A976" s="1">
        <v>21647</v>
      </c>
      <c r="B976" t="s">
        <v>5168</v>
      </c>
      <c r="C976" s="1">
        <v>2.1</v>
      </c>
      <c r="D976" s="1">
        <v>30</v>
      </c>
      <c r="E976" s="1">
        <v>42.4</v>
      </c>
      <c r="F976" s="1">
        <v>20</v>
      </c>
      <c r="G976" s="1">
        <v>1899.28</v>
      </c>
      <c r="H976" s="1" t="s">
        <v>9</v>
      </c>
      <c r="I976" t="str">
        <f t="shared" si="15"/>
        <v>ASSORTED TUTTI FRUTTI LARGE PURSE [21647]</v>
      </c>
    </row>
    <row r="977" spans="1:9" x14ac:dyDescent="0.3">
      <c r="A977" s="1">
        <v>21648</v>
      </c>
      <c r="B977" t="s">
        <v>5167</v>
      </c>
      <c r="C977" s="1">
        <v>1.3</v>
      </c>
      <c r="D977" s="1">
        <v>96.5</v>
      </c>
      <c r="E977" s="1">
        <v>122.5</v>
      </c>
      <c r="F977" s="1">
        <v>24</v>
      </c>
      <c r="G977" s="1">
        <v>3956.48</v>
      </c>
      <c r="H977" s="1" t="s">
        <v>10</v>
      </c>
      <c r="I977" t="str">
        <f t="shared" si="15"/>
        <v>ASSORTED TUTTI FRUTTI SMALL PURSE [21648]</v>
      </c>
    </row>
    <row r="978" spans="1:9" x14ac:dyDescent="0.3">
      <c r="A978" s="1">
        <v>21649</v>
      </c>
      <c r="B978" t="s">
        <v>5166</v>
      </c>
      <c r="C978" s="1">
        <v>2.69</v>
      </c>
      <c r="D978" s="1">
        <v>210.5</v>
      </c>
      <c r="E978" s="1">
        <v>210.5</v>
      </c>
      <c r="F978" s="1">
        <v>2</v>
      </c>
      <c r="G978" s="2">
        <v>1162.8899999999901</v>
      </c>
      <c r="H978" s="1" t="s">
        <v>10</v>
      </c>
      <c r="I978" t="str">
        <f t="shared" si="15"/>
        <v>ASSORTED TUTTI FRUTTI PHOTO FRAME [21649]</v>
      </c>
    </row>
    <row r="979" spans="1:9" x14ac:dyDescent="0.3">
      <c r="A979" s="1">
        <v>21650</v>
      </c>
      <c r="B979" t="s">
        <v>5165</v>
      </c>
      <c r="C979" s="1">
        <v>0.65</v>
      </c>
      <c r="D979" s="1">
        <v>94</v>
      </c>
      <c r="E979" s="2">
        <v>139.304347826086</v>
      </c>
      <c r="F979" s="1">
        <v>23</v>
      </c>
      <c r="G979" s="1">
        <v>1163.8</v>
      </c>
      <c r="H979" s="1" t="s">
        <v>10</v>
      </c>
      <c r="I979" t="str">
        <f t="shared" si="15"/>
        <v>ASSORTED TUTTI FRUTTI BRACELET [21650]</v>
      </c>
    </row>
    <row r="980" spans="1:9" x14ac:dyDescent="0.3">
      <c r="A980" s="1">
        <v>21651</v>
      </c>
      <c r="B980" t="s">
        <v>5164</v>
      </c>
      <c r="C980" s="1">
        <v>1.65</v>
      </c>
      <c r="D980" s="1">
        <v>78</v>
      </c>
      <c r="E980" s="2">
        <v>90.733333333333306</v>
      </c>
      <c r="F980" s="1">
        <v>15</v>
      </c>
      <c r="G980" s="1">
        <v>2200.36</v>
      </c>
      <c r="H980" s="1" t="s">
        <v>10</v>
      </c>
      <c r="I980" t="str">
        <f t="shared" si="15"/>
        <v>HANGING GLASS ETCHED TEALIGHT [21651]</v>
      </c>
    </row>
    <row r="981" spans="1:9" x14ac:dyDescent="0.3">
      <c r="A981" s="1">
        <v>21652</v>
      </c>
      <c r="B981" t="s">
        <v>5163</v>
      </c>
      <c r="C981" s="1">
        <v>1.91</v>
      </c>
      <c r="D981" s="1">
        <v>96</v>
      </c>
      <c r="E981" s="2">
        <v>99.5555555555555</v>
      </c>
      <c r="F981" s="1">
        <v>9</v>
      </c>
      <c r="G981" s="1">
        <v>1747.94</v>
      </c>
      <c r="H981" s="1" t="s">
        <v>10</v>
      </c>
      <c r="I981" t="str">
        <f t="shared" si="15"/>
        <v>GLASS ETCHED T-LIGHT HOLDER MEDIUM [21652]</v>
      </c>
    </row>
    <row r="982" spans="1:9" x14ac:dyDescent="0.3">
      <c r="A982" s="1">
        <v>21653</v>
      </c>
      <c r="B982" t="s">
        <v>5162</v>
      </c>
      <c r="C982" s="1">
        <v>2.1</v>
      </c>
      <c r="D982" s="1">
        <v>101</v>
      </c>
      <c r="E982" s="2">
        <v>113.272727272727</v>
      </c>
      <c r="F982" s="1">
        <v>11</v>
      </c>
      <c r="G982" s="1">
        <v>2565.67</v>
      </c>
      <c r="H982" s="1" t="s">
        <v>10</v>
      </c>
      <c r="I982" t="str">
        <f t="shared" si="15"/>
        <v>GLASS ETCHED T-LIGHT HOLDER LARGE [21653]</v>
      </c>
    </row>
    <row r="983" spans="1:9" x14ac:dyDescent="0.3">
      <c r="A983" s="1">
        <v>21654</v>
      </c>
      <c r="B983" t="s">
        <v>5161</v>
      </c>
      <c r="C983" s="1">
        <v>1.52</v>
      </c>
      <c r="D983" s="1">
        <v>18</v>
      </c>
      <c r="E983" s="2">
        <v>51.3333333333333</v>
      </c>
      <c r="F983" s="1">
        <v>15</v>
      </c>
      <c r="G983" s="1">
        <v>653.69000000000005</v>
      </c>
      <c r="H983" s="1" t="s">
        <v>9</v>
      </c>
      <c r="I983" t="str">
        <f t="shared" si="15"/>
        <v>RIDGED GLASS FINGER BOWL [21654]</v>
      </c>
    </row>
    <row r="984" spans="1:9" x14ac:dyDescent="0.3">
      <c r="A984" s="1">
        <v>21655</v>
      </c>
      <c r="B984" t="s">
        <v>5160</v>
      </c>
      <c r="C984" s="1">
        <v>1.69</v>
      </c>
      <c r="D984" s="1">
        <v>77</v>
      </c>
      <c r="E984" s="1">
        <v>139.6</v>
      </c>
      <c r="F984" s="1">
        <v>10</v>
      </c>
      <c r="G984" s="1">
        <v>2277.5</v>
      </c>
      <c r="H984" s="1" t="s">
        <v>10</v>
      </c>
      <c r="I984" t="str">
        <f t="shared" si="15"/>
        <v>HANGING RIDGE GLASS T-LIGHT HOLDER [21655]</v>
      </c>
    </row>
    <row r="985" spans="1:9" x14ac:dyDescent="0.3">
      <c r="A985" s="1">
        <v>21656</v>
      </c>
      <c r="B985" t="s">
        <v>5159</v>
      </c>
      <c r="C985" s="1">
        <v>1.59</v>
      </c>
      <c r="D985" s="1">
        <v>49</v>
      </c>
      <c r="E985" s="2">
        <v>54.7222222222222</v>
      </c>
      <c r="F985" s="1">
        <v>18</v>
      </c>
      <c r="G985" s="1">
        <v>1614.54</v>
      </c>
      <c r="H985" s="1" t="s">
        <v>9</v>
      </c>
      <c r="I985" t="str">
        <f t="shared" si="15"/>
        <v>RIDGED GLASS POSY VASE [21656]</v>
      </c>
    </row>
    <row r="986" spans="1:9" x14ac:dyDescent="0.3">
      <c r="A986" s="1">
        <v>21657</v>
      </c>
      <c r="B986" t="s">
        <v>5158</v>
      </c>
      <c r="C986" s="1">
        <v>7.41</v>
      </c>
      <c r="D986" s="1">
        <v>17</v>
      </c>
      <c r="E986" s="2">
        <v>17.133333333333301</v>
      </c>
      <c r="F986" s="1">
        <v>15</v>
      </c>
      <c r="G986" s="2">
        <v>1967.3799999999901</v>
      </c>
      <c r="H986" s="1" t="s">
        <v>9</v>
      </c>
      <c r="I986" t="str">
        <f t="shared" si="15"/>
        <v>MILK BOTTLE WITH GLASS STOPPER [21657]</v>
      </c>
    </row>
    <row r="987" spans="1:9" x14ac:dyDescent="0.3">
      <c r="A987" s="1">
        <v>21658</v>
      </c>
      <c r="B987" t="s">
        <v>5157</v>
      </c>
      <c r="C987" s="1">
        <v>4.1900000000000004</v>
      </c>
      <c r="D987" s="1">
        <v>93</v>
      </c>
      <c r="E987" s="2">
        <v>105.95238095238</v>
      </c>
      <c r="F987" s="1">
        <v>21</v>
      </c>
      <c r="G987" s="1">
        <v>9271.89</v>
      </c>
      <c r="H987" s="1" t="s">
        <v>10</v>
      </c>
      <c r="I987" t="str">
        <f t="shared" si="15"/>
        <v>GLASS  BEURRE DISH [21658]</v>
      </c>
    </row>
    <row r="988" spans="1:9" x14ac:dyDescent="0.3">
      <c r="A988" s="1">
        <v>21659</v>
      </c>
      <c r="B988" t="s">
        <v>5156</v>
      </c>
      <c r="C988" s="1">
        <v>14.95</v>
      </c>
      <c r="D988" s="1">
        <v>9</v>
      </c>
      <c r="E988" s="2">
        <v>10.909090909090899</v>
      </c>
      <c r="F988" s="1">
        <v>11</v>
      </c>
      <c r="G988" s="1">
        <v>1891.7</v>
      </c>
      <c r="H988" s="1" t="s">
        <v>8</v>
      </c>
      <c r="I988" t="str">
        <f t="shared" si="15"/>
        <v>GLASS CAKE STAND [21659]</v>
      </c>
    </row>
    <row r="989" spans="1:9" x14ac:dyDescent="0.3">
      <c r="A989" s="1">
        <v>21661</v>
      </c>
      <c r="B989" t="s">
        <v>5155</v>
      </c>
      <c r="C989" s="1">
        <v>6.25</v>
      </c>
      <c r="D989" s="1">
        <v>16.5</v>
      </c>
      <c r="E989" s="2">
        <v>17.071428571428498</v>
      </c>
      <c r="F989" s="1">
        <v>14</v>
      </c>
      <c r="G989" s="1">
        <v>1511.31</v>
      </c>
      <c r="H989" s="1" t="s">
        <v>9</v>
      </c>
      <c r="I989" t="str">
        <f t="shared" si="15"/>
        <v>VINTAGE GLASS TEA CADDY [21661]</v>
      </c>
    </row>
    <row r="990" spans="1:9" x14ac:dyDescent="0.3">
      <c r="A990" s="1">
        <v>21662</v>
      </c>
      <c r="B990" t="s">
        <v>5154</v>
      </c>
      <c r="C990" s="1">
        <v>6.18</v>
      </c>
      <c r="D990" s="1">
        <v>13</v>
      </c>
      <c r="E990" s="1">
        <v>13.45</v>
      </c>
      <c r="F990" s="1">
        <v>20</v>
      </c>
      <c r="G990" s="1">
        <v>1735.05</v>
      </c>
      <c r="H990" s="1" t="s">
        <v>9</v>
      </c>
      <c r="I990" t="str">
        <f t="shared" si="15"/>
        <v>VINTAGE GLASS COFFEE CADDY [21662]</v>
      </c>
    </row>
    <row r="991" spans="1:9" x14ac:dyDescent="0.3">
      <c r="A991" s="1">
        <v>21663</v>
      </c>
      <c r="B991" t="s">
        <v>5153</v>
      </c>
      <c r="C991" s="1">
        <v>6.23</v>
      </c>
      <c r="D991" s="1">
        <v>17</v>
      </c>
      <c r="E991" s="1">
        <v>15.2</v>
      </c>
      <c r="F991" s="1">
        <v>5</v>
      </c>
      <c r="G991" s="1">
        <v>488.16</v>
      </c>
      <c r="H991" s="1" t="s">
        <v>9</v>
      </c>
      <c r="I991" t="str">
        <f t="shared" si="15"/>
        <v>VINTAGE GLASS SUGAR CADDY [21663]</v>
      </c>
    </row>
    <row r="992" spans="1:9" x14ac:dyDescent="0.3">
      <c r="A992" s="1">
        <v>21664</v>
      </c>
      <c r="B992" t="s">
        <v>5152</v>
      </c>
      <c r="C992" s="1">
        <v>3.75</v>
      </c>
      <c r="D992" s="1">
        <v>7</v>
      </c>
      <c r="E992" s="1">
        <v>12.9</v>
      </c>
      <c r="F992" s="1">
        <v>20</v>
      </c>
      <c r="G992" s="1">
        <v>1031.07</v>
      </c>
      <c r="H992" s="1" t="s">
        <v>8</v>
      </c>
      <c r="I992" t="str">
        <f t="shared" si="15"/>
        <v>RIDGED GLASS STORAGE JAR CREAM LID [21664]</v>
      </c>
    </row>
    <row r="993" spans="1:9" x14ac:dyDescent="0.3">
      <c r="A993" s="1">
        <v>21665</v>
      </c>
      <c r="B993" t="s">
        <v>5151</v>
      </c>
      <c r="C993" s="1">
        <v>0.74</v>
      </c>
      <c r="D993" s="1">
        <v>142</v>
      </c>
      <c r="E993" s="1">
        <v>146.5</v>
      </c>
      <c r="F993" s="1">
        <v>6</v>
      </c>
      <c r="G993" s="1">
        <v>638.79999999999995</v>
      </c>
      <c r="H993" s="1" t="s">
        <v>10</v>
      </c>
      <c r="I993" t="str">
        <f t="shared" si="15"/>
        <v>TRIANGULAR RIDGED GLASS POSY HOLDER [21665]</v>
      </c>
    </row>
    <row r="994" spans="1:9" x14ac:dyDescent="0.3">
      <c r="A994" s="1">
        <v>21666</v>
      </c>
      <c r="B994" t="s">
        <v>5150</v>
      </c>
      <c r="C994" s="1">
        <v>0.65</v>
      </c>
      <c r="D994" s="1">
        <v>38</v>
      </c>
      <c r="E994" s="2">
        <v>76.2173913043478</v>
      </c>
      <c r="F994" s="1">
        <v>21</v>
      </c>
      <c r="G994" s="2">
        <v>1093.6199999999999</v>
      </c>
      <c r="H994" s="1" t="s">
        <v>9</v>
      </c>
      <c r="I994" t="str">
        <f t="shared" si="15"/>
        <v>RIDGED GLASS T-LIGHT HOLDER [21666]</v>
      </c>
    </row>
    <row r="995" spans="1:9" x14ac:dyDescent="0.3">
      <c r="A995" s="1">
        <v>21667</v>
      </c>
      <c r="B995" t="s">
        <v>5149</v>
      </c>
      <c r="C995" s="1">
        <v>16.95</v>
      </c>
      <c r="D995" s="1">
        <v>24</v>
      </c>
      <c r="E995" s="2">
        <v>27.230769230769202</v>
      </c>
      <c r="F995" s="1">
        <v>13</v>
      </c>
      <c r="G995" s="1">
        <v>6126.25</v>
      </c>
      <c r="H995" s="1" t="s">
        <v>9</v>
      </c>
      <c r="I995" t="str">
        <f t="shared" si="15"/>
        <v>GLASS CAKE COVER AND PLATE [21667]</v>
      </c>
    </row>
    <row r="996" spans="1:9" x14ac:dyDescent="0.3">
      <c r="A996" s="1">
        <v>21668</v>
      </c>
      <c r="B996" t="s">
        <v>5148</v>
      </c>
      <c r="C996" s="1">
        <v>1.37</v>
      </c>
      <c r="D996" s="1">
        <v>435</v>
      </c>
      <c r="E996" s="1">
        <v>414.28</v>
      </c>
      <c r="F996" s="1">
        <v>25</v>
      </c>
      <c r="G996" s="1">
        <v>13912.17</v>
      </c>
      <c r="H996" s="1" t="s">
        <v>10</v>
      </c>
      <c r="I996" t="str">
        <f t="shared" si="15"/>
        <v>RED STRIPE CERAMIC DRAWER KNOB [21668]</v>
      </c>
    </row>
    <row r="997" spans="1:9" x14ac:dyDescent="0.3">
      <c r="A997" s="1">
        <v>21669</v>
      </c>
      <c r="B997" t="s">
        <v>5147</v>
      </c>
      <c r="C997" s="1">
        <v>1.34</v>
      </c>
      <c r="D997" s="1">
        <v>436</v>
      </c>
      <c r="E997" s="2">
        <v>459.91304347826002</v>
      </c>
      <c r="F997" s="1">
        <v>23</v>
      </c>
      <c r="G997" s="1">
        <v>13839.18</v>
      </c>
      <c r="H997" s="1" t="s">
        <v>10</v>
      </c>
      <c r="I997" t="str">
        <f t="shared" si="15"/>
        <v>BLUE STRIPE CERAMIC DRAWER KNOB [21669]</v>
      </c>
    </row>
    <row r="998" spans="1:9" x14ac:dyDescent="0.3">
      <c r="A998" s="1">
        <v>21670</v>
      </c>
      <c r="B998" t="s">
        <v>5146</v>
      </c>
      <c r="C998" s="1">
        <v>1.4</v>
      </c>
      <c r="D998" s="1">
        <v>330</v>
      </c>
      <c r="E998" s="1">
        <v>353.8</v>
      </c>
      <c r="F998" s="1">
        <v>25</v>
      </c>
      <c r="G998" s="1">
        <v>12074.4</v>
      </c>
      <c r="H998" s="1" t="s">
        <v>10</v>
      </c>
      <c r="I998" t="str">
        <f t="shared" si="15"/>
        <v>BLUE SPOT CERAMIC DRAWER KNOB [21670]</v>
      </c>
    </row>
    <row r="999" spans="1:9" x14ac:dyDescent="0.3">
      <c r="A999" s="1">
        <v>21671</v>
      </c>
      <c r="B999" t="s">
        <v>5145</v>
      </c>
      <c r="C999" s="1">
        <v>1.2949999999999999</v>
      </c>
      <c r="D999" s="1">
        <v>397.5</v>
      </c>
      <c r="E999" s="2">
        <v>431.27272727272702</v>
      </c>
      <c r="F999" s="1">
        <v>22</v>
      </c>
      <c r="G999" s="1">
        <v>12339.32</v>
      </c>
      <c r="H999" s="1" t="s">
        <v>10</v>
      </c>
      <c r="I999" t="str">
        <f t="shared" si="15"/>
        <v>RED SPOT CERAMIC DRAWER KNOB [21671]</v>
      </c>
    </row>
    <row r="1000" spans="1:9" x14ac:dyDescent="0.3">
      <c r="A1000" s="1">
        <v>21672</v>
      </c>
      <c r="B1000" t="s">
        <v>5144</v>
      </c>
      <c r="C1000" s="1">
        <v>1.3</v>
      </c>
      <c r="D1000" s="1">
        <v>441</v>
      </c>
      <c r="E1000" s="1">
        <v>444.8</v>
      </c>
      <c r="F1000" s="1">
        <v>25</v>
      </c>
      <c r="G1000" s="2">
        <v>14411.13</v>
      </c>
      <c r="H1000" s="1" t="s">
        <v>10</v>
      </c>
      <c r="I1000" t="str">
        <f t="shared" si="15"/>
        <v>WHITE SPOT RED CERAMIC DRAWER KNOB [21672]</v>
      </c>
    </row>
    <row r="1001" spans="1:9" x14ac:dyDescent="0.3">
      <c r="A1001" s="1">
        <v>21673</v>
      </c>
      <c r="B1001" t="s">
        <v>5143</v>
      </c>
      <c r="C1001" s="1">
        <v>1.32</v>
      </c>
      <c r="D1001" s="1">
        <v>399</v>
      </c>
      <c r="E1001" s="1">
        <v>402</v>
      </c>
      <c r="F1001" s="1">
        <v>25</v>
      </c>
      <c r="G1001" s="1">
        <v>13272.39</v>
      </c>
      <c r="H1001" s="1" t="s">
        <v>10</v>
      </c>
      <c r="I1001" t="str">
        <f t="shared" si="15"/>
        <v>WHITE SPOT BLUE CERAMIC DRAWER KNOB [21673]</v>
      </c>
    </row>
    <row r="1002" spans="1:9" x14ac:dyDescent="0.3">
      <c r="A1002" s="1">
        <v>21674</v>
      </c>
      <c r="B1002" t="s">
        <v>5142</v>
      </c>
      <c r="C1002" s="1">
        <v>16.2</v>
      </c>
      <c r="D1002" s="1">
        <v>10.5</v>
      </c>
      <c r="E1002" s="1">
        <v>10.75</v>
      </c>
      <c r="F1002" s="1">
        <v>4</v>
      </c>
      <c r="G1002" s="1">
        <v>680.85</v>
      </c>
      <c r="H1002" s="1" t="s">
        <v>9</v>
      </c>
      <c r="I1002" t="str">
        <f t="shared" si="15"/>
        <v>RIDGED GLASS PENDANT LAMPSHADE [21674]</v>
      </c>
    </row>
    <row r="1003" spans="1:9" x14ac:dyDescent="0.3">
      <c r="A1003" s="1">
        <v>21675</v>
      </c>
      <c r="B1003" t="s">
        <v>5141</v>
      </c>
      <c r="C1003" s="1">
        <v>0.875</v>
      </c>
      <c r="D1003" s="1">
        <v>74.5</v>
      </c>
      <c r="E1003" s="1">
        <v>74.25</v>
      </c>
      <c r="F1003" s="1">
        <v>24</v>
      </c>
      <c r="G1003" s="1">
        <v>1576.84</v>
      </c>
      <c r="H1003" s="1" t="s">
        <v>10</v>
      </c>
      <c r="I1003" t="str">
        <f t="shared" si="15"/>
        <v>BUTTERFLIES STICKERS [21675]</v>
      </c>
    </row>
    <row r="1004" spans="1:9" x14ac:dyDescent="0.3">
      <c r="A1004" s="1">
        <v>21676</v>
      </c>
      <c r="B1004" t="s">
        <v>5140</v>
      </c>
      <c r="C1004" s="1">
        <v>0.875</v>
      </c>
      <c r="D1004" s="1">
        <v>33.5</v>
      </c>
      <c r="E1004" s="2">
        <v>49.7083333333333</v>
      </c>
      <c r="F1004" s="1">
        <v>24</v>
      </c>
      <c r="G1004" s="1">
        <v>893.72</v>
      </c>
      <c r="H1004" s="1" t="s">
        <v>9</v>
      </c>
      <c r="I1004" t="str">
        <f t="shared" si="15"/>
        <v>FLOWERS  STICKERS [21676]</v>
      </c>
    </row>
    <row r="1005" spans="1:9" x14ac:dyDescent="0.3">
      <c r="A1005" s="1">
        <v>21677</v>
      </c>
      <c r="B1005" t="s">
        <v>5139</v>
      </c>
      <c r="C1005" s="1">
        <v>0.86</v>
      </c>
      <c r="D1005" s="1">
        <v>73</v>
      </c>
      <c r="E1005" s="1">
        <v>85</v>
      </c>
      <c r="F1005" s="1">
        <v>25</v>
      </c>
      <c r="G1005" s="2">
        <v>1859.3799999999901</v>
      </c>
      <c r="H1005" s="1" t="s">
        <v>10</v>
      </c>
      <c r="I1005" t="str">
        <f t="shared" si="15"/>
        <v>HEARTS  STICKERS [21677]</v>
      </c>
    </row>
    <row r="1006" spans="1:9" x14ac:dyDescent="0.3">
      <c r="A1006" s="1">
        <v>21678</v>
      </c>
      <c r="B1006" t="s">
        <v>5138</v>
      </c>
      <c r="C1006" s="1">
        <v>0.88500000000000001</v>
      </c>
      <c r="D1006" s="1">
        <v>13</v>
      </c>
      <c r="E1006" s="2">
        <v>23.8333333333333</v>
      </c>
      <c r="F1006" s="1">
        <v>24</v>
      </c>
      <c r="G1006" s="1">
        <v>423</v>
      </c>
      <c r="H1006" s="1" t="s">
        <v>9</v>
      </c>
      <c r="I1006" t="str">
        <f t="shared" si="15"/>
        <v>PAISLEY PATTERN  STICKERS [21678]</v>
      </c>
    </row>
    <row r="1007" spans="1:9" x14ac:dyDescent="0.3">
      <c r="A1007" s="1">
        <v>21679</v>
      </c>
      <c r="B1007" t="s">
        <v>5137</v>
      </c>
      <c r="C1007" s="1">
        <v>0.89</v>
      </c>
      <c r="D1007" s="1">
        <v>149</v>
      </c>
      <c r="E1007" s="1">
        <v>194.84</v>
      </c>
      <c r="F1007" s="1">
        <v>25</v>
      </c>
      <c r="G1007" s="2">
        <v>4034.5099999999902</v>
      </c>
      <c r="H1007" s="1" t="s">
        <v>10</v>
      </c>
      <c r="I1007" t="str">
        <f t="shared" si="15"/>
        <v>SKULLS  STICKERS [21679]</v>
      </c>
    </row>
    <row r="1008" spans="1:9" x14ac:dyDescent="0.3">
      <c r="A1008" s="1">
        <v>21680</v>
      </c>
      <c r="B1008" t="s">
        <v>5136</v>
      </c>
      <c r="C1008" s="1">
        <v>0.9</v>
      </c>
      <c r="D1008" s="1">
        <v>99</v>
      </c>
      <c r="E1008" s="1">
        <v>114.32</v>
      </c>
      <c r="F1008" s="1">
        <v>25</v>
      </c>
      <c r="G1008" s="1">
        <v>2483.6799999999998</v>
      </c>
      <c r="H1008" s="1" t="s">
        <v>10</v>
      </c>
      <c r="I1008" t="str">
        <f t="shared" si="15"/>
        <v>WOODLAND  STICKERS [21680]</v>
      </c>
    </row>
    <row r="1009" spans="1:9" x14ac:dyDescent="0.3">
      <c r="A1009" s="1">
        <v>21681</v>
      </c>
      <c r="B1009" t="s">
        <v>5135</v>
      </c>
      <c r="C1009" s="1">
        <v>9.9499999999999993</v>
      </c>
      <c r="D1009" s="1">
        <v>13</v>
      </c>
      <c r="E1009" s="2">
        <v>17.923076923076898</v>
      </c>
      <c r="F1009" s="1">
        <v>13</v>
      </c>
      <c r="G1009" s="1">
        <v>2234.81</v>
      </c>
      <c r="H1009" s="1" t="s">
        <v>9</v>
      </c>
      <c r="I1009" t="str">
        <f t="shared" si="15"/>
        <v>GIANT MEDINA STAMPED METAL BOWL [21681]</v>
      </c>
    </row>
    <row r="1010" spans="1:9" x14ac:dyDescent="0.3">
      <c r="A1010" s="1">
        <v>21682</v>
      </c>
      <c r="B1010" t="s">
        <v>5134</v>
      </c>
      <c r="C1010" s="1">
        <v>4.95</v>
      </c>
      <c r="D1010" s="1">
        <v>18</v>
      </c>
      <c r="E1010" s="1">
        <v>22.36</v>
      </c>
      <c r="F1010" s="1">
        <v>25</v>
      </c>
      <c r="G1010" s="1">
        <v>2767.59</v>
      </c>
      <c r="H1010" s="1" t="s">
        <v>9</v>
      </c>
      <c r="I1010" t="str">
        <f t="shared" si="15"/>
        <v>LARGE MEDINA STAMPED METAL BOWL [21682]</v>
      </c>
    </row>
    <row r="1011" spans="1:9" x14ac:dyDescent="0.3">
      <c r="A1011" s="1">
        <v>21683</v>
      </c>
      <c r="B1011" t="s">
        <v>5133</v>
      </c>
      <c r="C1011" s="1">
        <v>2.95</v>
      </c>
      <c r="D1011" s="1">
        <v>28</v>
      </c>
      <c r="E1011" s="1">
        <v>37.44</v>
      </c>
      <c r="F1011" s="1">
        <v>25</v>
      </c>
      <c r="G1011" s="1">
        <v>2757.47</v>
      </c>
      <c r="H1011" s="1" t="s">
        <v>9</v>
      </c>
      <c r="I1011" t="str">
        <f t="shared" si="15"/>
        <v>MEDIUM MEDINA STAMPED METAL BOWL [21683]</v>
      </c>
    </row>
    <row r="1012" spans="1:9" x14ac:dyDescent="0.3">
      <c r="A1012" s="1">
        <v>21684</v>
      </c>
      <c r="B1012" t="s">
        <v>5132</v>
      </c>
      <c r="C1012" s="1">
        <v>0.85</v>
      </c>
      <c r="D1012" s="1">
        <v>43</v>
      </c>
      <c r="E1012" s="1">
        <v>67.84</v>
      </c>
      <c r="F1012" s="1">
        <v>25</v>
      </c>
      <c r="G1012" s="1">
        <v>1357.61</v>
      </c>
      <c r="H1012" s="1" t="s">
        <v>9</v>
      </c>
      <c r="I1012" t="str">
        <f t="shared" si="15"/>
        <v>SMALL MEDINA STAMPED METAL BOWL [21684]</v>
      </c>
    </row>
    <row r="1013" spans="1:9" x14ac:dyDescent="0.3">
      <c r="A1013" s="1">
        <v>21685</v>
      </c>
      <c r="B1013" t="s">
        <v>5131</v>
      </c>
      <c r="C1013" s="1">
        <v>14.95</v>
      </c>
      <c r="D1013" s="1">
        <v>3</v>
      </c>
      <c r="E1013" s="1">
        <v>3</v>
      </c>
      <c r="F1013" s="1">
        <v>1</v>
      </c>
      <c r="G1013" s="1">
        <v>44.85</v>
      </c>
      <c r="H1013" s="1" t="s">
        <v>8</v>
      </c>
      <c r="I1013" t="str">
        <f t="shared" si="15"/>
        <v>MEDINA STAMPED METAL TRAY [21685]</v>
      </c>
    </row>
    <row r="1014" spans="1:9" x14ac:dyDescent="0.3">
      <c r="A1014" s="1">
        <v>21686</v>
      </c>
      <c r="B1014" t="s">
        <v>5130</v>
      </c>
      <c r="C1014" s="1">
        <v>39.950000000000003</v>
      </c>
      <c r="D1014" s="1">
        <v>3</v>
      </c>
      <c r="E1014" s="2">
        <v>3.8235294117646998</v>
      </c>
      <c r="F1014" s="1">
        <v>17</v>
      </c>
      <c r="G1014" s="1">
        <v>2460.14</v>
      </c>
      <c r="H1014" s="1" t="s">
        <v>8</v>
      </c>
      <c r="I1014" t="str">
        <f t="shared" si="15"/>
        <v>MEDINA STAMPED METAL STOOL [21686]</v>
      </c>
    </row>
    <row r="1015" spans="1:9" x14ac:dyDescent="0.3">
      <c r="A1015" s="1">
        <v>21687</v>
      </c>
      <c r="B1015" t="s">
        <v>5129</v>
      </c>
      <c r="C1015" s="1">
        <v>3.75</v>
      </c>
      <c r="D1015" s="1">
        <v>31.5</v>
      </c>
      <c r="E1015" s="1">
        <v>47.7</v>
      </c>
      <c r="F1015" s="1">
        <v>10</v>
      </c>
      <c r="G1015" s="1">
        <v>1871.23</v>
      </c>
      <c r="H1015" s="1" t="s">
        <v>9</v>
      </c>
      <c r="I1015" t="str">
        <f t="shared" si="15"/>
        <v>SILVER PLATE CANDLE BOWL LARGE [21687]</v>
      </c>
    </row>
    <row r="1016" spans="1:9" x14ac:dyDescent="0.3">
      <c r="A1016" s="1">
        <v>21688</v>
      </c>
      <c r="B1016" t="s">
        <v>5128</v>
      </c>
      <c r="C1016" s="1">
        <v>3.1</v>
      </c>
      <c r="D1016" s="1">
        <v>30</v>
      </c>
      <c r="E1016" s="2">
        <v>39.652173913043399</v>
      </c>
      <c r="F1016" s="1">
        <v>23</v>
      </c>
      <c r="G1016" s="1">
        <v>2845.65</v>
      </c>
      <c r="H1016" s="1" t="s">
        <v>9</v>
      </c>
      <c r="I1016" t="str">
        <f t="shared" si="15"/>
        <v>SILVER PLATE CANDLE BOWL SMALL [21688]</v>
      </c>
    </row>
    <row r="1017" spans="1:9" x14ac:dyDescent="0.3">
      <c r="A1017" s="1">
        <v>21689</v>
      </c>
      <c r="B1017" t="s">
        <v>5127</v>
      </c>
      <c r="C1017" s="1">
        <v>3.75</v>
      </c>
      <c r="D1017" s="1">
        <v>9</v>
      </c>
      <c r="E1017" s="2">
        <v>15.545454545454501</v>
      </c>
      <c r="F1017" s="1">
        <v>22</v>
      </c>
      <c r="G1017" s="2">
        <v>1268.1199999999999</v>
      </c>
      <c r="H1017" s="1" t="s">
        <v>8</v>
      </c>
      <c r="I1017" t="str">
        <f t="shared" si="15"/>
        <v>SILVER VANILLA  FLOWER CANDLE POT [21689]</v>
      </c>
    </row>
    <row r="1018" spans="1:9" x14ac:dyDescent="0.3">
      <c r="A1018" s="1">
        <v>21690</v>
      </c>
      <c r="B1018" t="s">
        <v>5126</v>
      </c>
      <c r="C1018" s="1">
        <v>3.75</v>
      </c>
      <c r="D1018" s="1">
        <v>15.5</v>
      </c>
      <c r="E1018" s="2">
        <v>18.428571428571399</v>
      </c>
      <c r="F1018" s="1">
        <v>14</v>
      </c>
      <c r="G1018" s="1">
        <v>990.84</v>
      </c>
      <c r="H1018" s="1" t="s">
        <v>9</v>
      </c>
      <c r="I1018" t="str">
        <f t="shared" si="15"/>
        <v>SILVER  CANDLEPOT JARDIN [21690]</v>
      </c>
    </row>
    <row r="1019" spans="1:9" x14ac:dyDescent="0.3">
      <c r="A1019" s="1">
        <v>21691</v>
      </c>
      <c r="B1019" t="s">
        <v>5125</v>
      </c>
      <c r="C1019" s="1">
        <v>3.75</v>
      </c>
      <c r="D1019" s="1">
        <v>19</v>
      </c>
      <c r="E1019" s="2">
        <v>22.636363636363601</v>
      </c>
      <c r="F1019" s="1">
        <v>11</v>
      </c>
      <c r="G1019" s="1">
        <v>960.99</v>
      </c>
      <c r="H1019" s="1" t="s">
        <v>9</v>
      </c>
      <c r="I1019" t="str">
        <f t="shared" si="15"/>
        <v>SILVER VANILLA FLOWER CANDLE POT [21691]</v>
      </c>
    </row>
    <row r="1020" spans="1:9" x14ac:dyDescent="0.3">
      <c r="A1020" s="1">
        <v>21692</v>
      </c>
      <c r="B1020" t="s">
        <v>5124</v>
      </c>
      <c r="C1020" s="1">
        <v>3.75</v>
      </c>
      <c r="D1020" s="1">
        <v>39</v>
      </c>
      <c r="E1020" s="2">
        <v>33.466666666666598</v>
      </c>
      <c r="F1020" s="1">
        <v>15</v>
      </c>
      <c r="G1020" s="1">
        <v>1906.62</v>
      </c>
      <c r="H1020" s="1" t="s">
        <v>9</v>
      </c>
      <c r="I1020" t="str">
        <f t="shared" si="15"/>
        <v>SILVER LATTICE VANILLA CANDLE POT [21692]</v>
      </c>
    </row>
    <row r="1021" spans="1:9" x14ac:dyDescent="0.3">
      <c r="A1021" s="1">
        <v>21693</v>
      </c>
      <c r="B1021" t="s">
        <v>5123</v>
      </c>
      <c r="C1021" s="1">
        <v>3.03</v>
      </c>
      <c r="D1021" s="1">
        <v>26</v>
      </c>
      <c r="E1021" s="1">
        <v>34.840000000000003</v>
      </c>
      <c r="F1021" s="1">
        <v>25</v>
      </c>
      <c r="G1021" s="1">
        <v>2648.62</v>
      </c>
      <c r="H1021" s="1" t="s">
        <v>9</v>
      </c>
      <c r="I1021" t="str">
        <f t="shared" si="15"/>
        <v>SMALL HAMMERED SILVER CANDLEPOT [21693]</v>
      </c>
    </row>
    <row r="1022" spans="1:9" x14ac:dyDescent="0.3">
      <c r="A1022" s="1">
        <v>21694</v>
      </c>
      <c r="B1022" t="s">
        <v>5122</v>
      </c>
      <c r="C1022" s="1">
        <v>2.95</v>
      </c>
      <c r="D1022" s="1">
        <v>13</v>
      </c>
      <c r="E1022" s="2">
        <v>25.272727272727199</v>
      </c>
      <c r="F1022" s="1">
        <v>22</v>
      </c>
      <c r="G1022" s="1">
        <v>1593.16</v>
      </c>
      <c r="H1022" s="1" t="s">
        <v>9</v>
      </c>
      <c r="I1022" t="str">
        <f t="shared" si="15"/>
        <v>SMALL REGAL  SILVER CANDLEPOT [21694]</v>
      </c>
    </row>
    <row r="1023" spans="1:9" x14ac:dyDescent="0.3">
      <c r="A1023" s="1">
        <v>21695</v>
      </c>
      <c r="B1023" t="s">
        <v>5121</v>
      </c>
      <c r="C1023" s="1">
        <v>3.02</v>
      </c>
      <c r="D1023" s="1">
        <v>18</v>
      </c>
      <c r="E1023" s="1">
        <v>25.2</v>
      </c>
      <c r="F1023" s="1">
        <v>25</v>
      </c>
      <c r="G1023" s="1">
        <v>1952.18</v>
      </c>
      <c r="H1023" s="1" t="s">
        <v>9</v>
      </c>
      <c r="I1023" t="str">
        <f t="shared" si="15"/>
        <v>SMALL SILVER FLOWER CANDLE POT [21695]</v>
      </c>
    </row>
    <row r="1024" spans="1:9" x14ac:dyDescent="0.3">
      <c r="A1024" s="1">
        <v>21696</v>
      </c>
      <c r="B1024" t="s">
        <v>5120</v>
      </c>
      <c r="C1024" s="1">
        <v>2.95</v>
      </c>
      <c r="D1024" s="1">
        <v>25</v>
      </c>
      <c r="E1024" s="2">
        <v>31.2083333333333</v>
      </c>
      <c r="F1024" s="1">
        <v>24</v>
      </c>
      <c r="G1024" s="1">
        <v>2251.14</v>
      </c>
      <c r="H1024" s="1" t="s">
        <v>9</v>
      </c>
      <c r="I1024" t="str">
        <f t="shared" si="15"/>
        <v>SMALL SILVER TRELLIS CANDLEPOT [21696]</v>
      </c>
    </row>
    <row r="1025" spans="1:9" x14ac:dyDescent="0.3">
      <c r="A1025" s="1">
        <v>21697</v>
      </c>
      <c r="B1025" t="s">
        <v>5119</v>
      </c>
      <c r="C1025" s="1">
        <v>1.69</v>
      </c>
      <c r="D1025" s="1">
        <v>66</v>
      </c>
      <c r="E1025" s="1">
        <v>66</v>
      </c>
      <c r="F1025" s="1">
        <v>2</v>
      </c>
      <c r="G1025" s="1">
        <v>223.08</v>
      </c>
      <c r="H1025" s="1" t="s">
        <v>10</v>
      </c>
      <c r="I1025" t="str">
        <f t="shared" si="15"/>
        <v>SET 5 MINI DOUGHNUT FRIDGE MAGNET [21697]</v>
      </c>
    </row>
    <row r="1026" spans="1:9" x14ac:dyDescent="0.3">
      <c r="A1026" s="1">
        <v>21698</v>
      </c>
      <c r="B1026" t="s">
        <v>5118</v>
      </c>
      <c r="C1026" s="1">
        <v>0.97</v>
      </c>
      <c r="D1026" s="1">
        <v>14</v>
      </c>
      <c r="E1026" s="2">
        <v>23.043478260869499</v>
      </c>
      <c r="F1026" s="1">
        <v>23</v>
      </c>
      <c r="G1026" s="1">
        <v>399.01</v>
      </c>
      <c r="H1026" s="1" t="s">
        <v>9</v>
      </c>
      <c r="I1026" t="str">
        <f t="shared" si="15"/>
        <v>MOCK LOBSTER FRIDGE MAGNET [21698]</v>
      </c>
    </row>
    <row r="1027" spans="1:9" x14ac:dyDescent="0.3">
      <c r="A1027" s="1">
        <v>21699</v>
      </c>
      <c r="B1027" t="s">
        <v>5117</v>
      </c>
      <c r="C1027" s="1">
        <v>1.69</v>
      </c>
      <c r="D1027" s="1">
        <v>18</v>
      </c>
      <c r="E1027" s="1">
        <v>18</v>
      </c>
      <c r="F1027" s="1">
        <v>2</v>
      </c>
      <c r="G1027" s="1">
        <v>60.84</v>
      </c>
      <c r="H1027" s="1" t="s">
        <v>9</v>
      </c>
      <c r="I1027" t="str">
        <f t="shared" ref="I1027:I1090" si="16">B1027&amp;" ["&amp;A1027&amp;"]"</f>
        <v>SET 5 MINI CHOCOLATE FRIDGE MAGNETS [21699]</v>
      </c>
    </row>
    <row r="1028" spans="1:9" x14ac:dyDescent="0.3">
      <c r="A1028" s="1">
        <v>21700</v>
      </c>
      <c r="B1028" t="s">
        <v>5116</v>
      </c>
      <c r="C1028" s="1">
        <v>1.06</v>
      </c>
      <c r="D1028" s="1">
        <v>225</v>
      </c>
      <c r="E1028" s="1">
        <v>253.4</v>
      </c>
      <c r="F1028" s="1">
        <v>25</v>
      </c>
      <c r="G1028" s="1">
        <v>7028.51</v>
      </c>
      <c r="H1028" s="1" t="s">
        <v>10</v>
      </c>
      <c r="I1028" t="str">
        <f t="shared" si="16"/>
        <v>BIG DOUGHNUT FRIDGE MAGNETS [21700]</v>
      </c>
    </row>
    <row r="1029" spans="1:9" x14ac:dyDescent="0.3">
      <c r="A1029" s="1">
        <v>21702</v>
      </c>
      <c r="B1029" t="s">
        <v>5115</v>
      </c>
      <c r="C1029" s="1">
        <v>0.32</v>
      </c>
      <c r="D1029" s="1">
        <v>1300</v>
      </c>
      <c r="E1029" s="1">
        <v>1300</v>
      </c>
      <c r="F1029" s="1">
        <v>2</v>
      </c>
      <c r="G1029" s="2">
        <v>857.83999999999901</v>
      </c>
      <c r="H1029" s="1" t="s">
        <v>10</v>
      </c>
      <c r="I1029" t="str">
        <f t="shared" si="16"/>
        <v>SET 5 MINI GATEAUX  FRIDGE MAGNETS [21702]</v>
      </c>
    </row>
    <row r="1030" spans="1:9" x14ac:dyDescent="0.3">
      <c r="A1030" s="1">
        <v>21703</v>
      </c>
      <c r="B1030" t="s">
        <v>5114</v>
      </c>
      <c r="C1030" s="1">
        <v>0.41</v>
      </c>
      <c r="D1030" s="1">
        <v>459</v>
      </c>
      <c r="E1030" s="1">
        <v>583.08000000000004</v>
      </c>
      <c r="F1030" s="1">
        <v>25</v>
      </c>
      <c r="G1030" s="1">
        <v>5646.47</v>
      </c>
      <c r="H1030" s="1" t="s">
        <v>10</v>
      </c>
      <c r="I1030" t="str">
        <f t="shared" si="16"/>
        <v>BAG 125g SWIRLY MARBLES [21703]</v>
      </c>
    </row>
    <row r="1031" spans="1:9" x14ac:dyDescent="0.3">
      <c r="A1031" s="1">
        <v>21704</v>
      </c>
      <c r="B1031" t="s">
        <v>5113</v>
      </c>
      <c r="C1031" s="1">
        <v>0.77</v>
      </c>
      <c r="D1031" s="1">
        <v>452</v>
      </c>
      <c r="E1031" s="1">
        <v>687</v>
      </c>
      <c r="F1031" s="1">
        <v>25</v>
      </c>
      <c r="G1031" s="1">
        <v>13235.16</v>
      </c>
      <c r="H1031" s="1" t="s">
        <v>10</v>
      </c>
      <c r="I1031" t="str">
        <f t="shared" si="16"/>
        <v>BAG 250g SWIRLY MARBLES [21704]</v>
      </c>
    </row>
    <row r="1032" spans="1:9" x14ac:dyDescent="0.3">
      <c r="A1032" s="1">
        <v>21705</v>
      </c>
      <c r="B1032" t="s">
        <v>5112</v>
      </c>
      <c r="C1032" s="1">
        <v>1.65</v>
      </c>
      <c r="D1032" s="1">
        <v>43.5</v>
      </c>
      <c r="E1032" s="2">
        <v>94.4444444444444</v>
      </c>
      <c r="F1032" s="1">
        <v>18</v>
      </c>
      <c r="G1032" s="1">
        <v>2785.03</v>
      </c>
      <c r="H1032" s="1" t="s">
        <v>9</v>
      </c>
      <c r="I1032" t="str">
        <f t="shared" si="16"/>
        <v>BAG 500g SWIRLY MARBLES [21705]</v>
      </c>
    </row>
    <row r="1033" spans="1:9" x14ac:dyDescent="0.3">
      <c r="A1033" s="1">
        <v>21706</v>
      </c>
      <c r="B1033" t="s">
        <v>5111</v>
      </c>
      <c r="C1033" s="2">
        <v>5.0649999999999897</v>
      </c>
      <c r="D1033" s="1">
        <v>32</v>
      </c>
      <c r="E1033" s="2">
        <v>51.846153846153797</v>
      </c>
      <c r="F1033" s="1">
        <v>25</v>
      </c>
      <c r="G1033" s="1">
        <v>5026.21</v>
      </c>
      <c r="H1033" s="1" t="s">
        <v>9</v>
      </c>
      <c r="I1033" t="str">
        <f t="shared" si="16"/>
        <v>FOLDING UMBRELLA , RED/WHITE SPOT [21706]</v>
      </c>
    </row>
    <row r="1034" spans="1:9" x14ac:dyDescent="0.3">
      <c r="A1034" s="1">
        <v>21707</v>
      </c>
      <c r="B1034" t="s">
        <v>5110</v>
      </c>
      <c r="C1034" s="1">
        <v>4.95</v>
      </c>
      <c r="D1034" s="1">
        <v>15</v>
      </c>
      <c r="E1034" s="1">
        <v>40.200000000000003</v>
      </c>
      <c r="F1034" s="1">
        <v>24</v>
      </c>
      <c r="G1034" s="1">
        <v>4184.95</v>
      </c>
      <c r="H1034" s="1" t="s">
        <v>9</v>
      </c>
      <c r="I1034" t="str">
        <f t="shared" si="16"/>
        <v>FOLDING UMBRELLA , BLACK/BLUE  SPOT [21707]</v>
      </c>
    </row>
    <row r="1035" spans="1:9" x14ac:dyDescent="0.3">
      <c r="A1035" s="1">
        <v>21708</v>
      </c>
      <c r="B1035" t="s">
        <v>5109</v>
      </c>
      <c r="C1035" s="1">
        <v>4.95</v>
      </c>
      <c r="D1035" s="1">
        <v>16</v>
      </c>
      <c r="E1035" s="2">
        <v>26.565217391304301</v>
      </c>
      <c r="F1035" s="1">
        <v>23</v>
      </c>
      <c r="G1035" s="1">
        <v>2336.48</v>
      </c>
      <c r="H1035" s="1" t="s">
        <v>9</v>
      </c>
      <c r="I1035" t="str">
        <f t="shared" si="16"/>
        <v>FOLDING UMBRELLA  CREAM/MULTI  SPOT [21708]</v>
      </c>
    </row>
    <row r="1036" spans="1:9" x14ac:dyDescent="0.3">
      <c r="A1036" s="1">
        <v>21709</v>
      </c>
      <c r="B1036" t="s">
        <v>5108</v>
      </c>
      <c r="C1036" s="1">
        <v>4.95</v>
      </c>
      <c r="D1036" s="1">
        <v>11.5</v>
      </c>
      <c r="E1036" s="1">
        <v>29</v>
      </c>
      <c r="F1036" s="1">
        <v>24</v>
      </c>
      <c r="G1036" s="2">
        <v>2876.72</v>
      </c>
      <c r="H1036" s="1" t="s">
        <v>9</v>
      </c>
      <c r="I1036" t="str">
        <f t="shared" si="16"/>
        <v>FOLDING UMBRELLA  CHOC/WHITE  SPOT [21709]</v>
      </c>
    </row>
    <row r="1037" spans="1:9" x14ac:dyDescent="0.3">
      <c r="A1037" s="1">
        <v>21710</v>
      </c>
      <c r="B1037" t="s">
        <v>5107</v>
      </c>
      <c r="C1037" s="1">
        <v>4.95</v>
      </c>
      <c r="D1037" s="1">
        <v>11.5</v>
      </c>
      <c r="E1037" s="1">
        <v>30.25</v>
      </c>
      <c r="F1037" s="1">
        <v>23</v>
      </c>
      <c r="G1037" s="1">
        <v>2235.0100000000002</v>
      </c>
      <c r="H1037" s="1" t="s">
        <v>9</v>
      </c>
      <c r="I1037" t="str">
        <f t="shared" si="16"/>
        <v>FOLDING UMBRELLA  PINK/WHITE  SPOT [21710]</v>
      </c>
    </row>
    <row r="1038" spans="1:9" x14ac:dyDescent="0.3">
      <c r="A1038" s="1">
        <v>21711</v>
      </c>
      <c r="B1038" t="s">
        <v>5106</v>
      </c>
      <c r="C1038" s="1">
        <v>4.95</v>
      </c>
      <c r="D1038" s="1">
        <v>7</v>
      </c>
      <c r="E1038" s="2">
        <v>18.190476190476101</v>
      </c>
      <c r="F1038" s="1">
        <v>21</v>
      </c>
      <c r="G1038" s="1">
        <v>1555.66</v>
      </c>
      <c r="H1038" s="1" t="s">
        <v>8</v>
      </c>
      <c r="I1038" t="str">
        <f t="shared" si="16"/>
        <v>FOLDING UMBRELLA  WHITE/RED  SPOT [21711]</v>
      </c>
    </row>
    <row r="1039" spans="1:9" x14ac:dyDescent="0.3">
      <c r="A1039" s="1">
        <v>21713</v>
      </c>
      <c r="B1039" t="s">
        <v>5105</v>
      </c>
      <c r="C1039" s="1">
        <v>2.25</v>
      </c>
      <c r="D1039" s="1">
        <v>57</v>
      </c>
      <c r="E1039" s="1">
        <v>109.32</v>
      </c>
      <c r="F1039" s="1">
        <v>25</v>
      </c>
      <c r="G1039" s="1">
        <v>5145.4399999999996</v>
      </c>
      <c r="H1039" s="1" t="s">
        <v>9</v>
      </c>
      <c r="I1039" t="str">
        <f t="shared" si="16"/>
        <v>CITRONELLA CANDLE FLOWERPOT [21713]</v>
      </c>
    </row>
    <row r="1040" spans="1:9" x14ac:dyDescent="0.3">
      <c r="A1040" s="1">
        <v>21714</v>
      </c>
      <c r="B1040" t="s">
        <v>5104</v>
      </c>
      <c r="C1040" s="1">
        <v>1.46</v>
      </c>
      <c r="D1040" s="1">
        <v>65</v>
      </c>
      <c r="E1040" s="1">
        <v>171.32</v>
      </c>
      <c r="F1040" s="1">
        <v>25</v>
      </c>
      <c r="G1040" s="1">
        <v>6182.39</v>
      </c>
      <c r="H1040" s="1" t="s">
        <v>10</v>
      </c>
      <c r="I1040" t="str">
        <f t="shared" si="16"/>
        <v>CITRONELLA CANDLE GARDEN POT [21714]</v>
      </c>
    </row>
    <row r="1041" spans="1:9" x14ac:dyDescent="0.3">
      <c r="A1041" s="1">
        <v>21715</v>
      </c>
      <c r="B1041" t="s">
        <v>5103</v>
      </c>
      <c r="C1041" s="1">
        <v>2.68</v>
      </c>
      <c r="D1041" s="1">
        <v>110</v>
      </c>
      <c r="E1041" s="1">
        <v>142.12</v>
      </c>
      <c r="F1041" s="1">
        <v>25</v>
      </c>
      <c r="G1041" s="1">
        <v>8987.24</v>
      </c>
      <c r="H1041" s="1" t="s">
        <v>10</v>
      </c>
      <c r="I1041" t="str">
        <f t="shared" si="16"/>
        <v>GIRLS VINTAGE TIN SEASIDE BUCKET [21715]</v>
      </c>
    </row>
    <row r="1042" spans="1:9" x14ac:dyDescent="0.3">
      <c r="A1042" s="1">
        <v>21716</v>
      </c>
      <c r="B1042" t="s">
        <v>5102</v>
      </c>
      <c r="C1042" s="1">
        <v>2.68</v>
      </c>
      <c r="D1042" s="1">
        <v>134</v>
      </c>
      <c r="E1042" s="1">
        <v>148.36000000000001</v>
      </c>
      <c r="F1042" s="1">
        <v>25</v>
      </c>
      <c r="G1042" s="1">
        <v>9397.07</v>
      </c>
      <c r="H1042" s="1" t="s">
        <v>10</v>
      </c>
      <c r="I1042" t="str">
        <f t="shared" si="16"/>
        <v>BOYS VINTAGE TIN SEASIDE BUCKET [21716]</v>
      </c>
    </row>
    <row r="1043" spans="1:9" x14ac:dyDescent="0.3">
      <c r="A1043" s="1">
        <v>21717</v>
      </c>
      <c r="B1043" t="s">
        <v>5101</v>
      </c>
      <c r="C1043" s="1">
        <v>2.5499999999999998</v>
      </c>
      <c r="D1043" s="1">
        <v>44</v>
      </c>
      <c r="E1043" s="1">
        <v>103.6</v>
      </c>
      <c r="F1043" s="1">
        <v>15</v>
      </c>
      <c r="G1043" s="1">
        <v>4039.63</v>
      </c>
      <c r="H1043" s="1" t="s">
        <v>9</v>
      </c>
      <c r="I1043" t="str">
        <f t="shared" si="16"/>
        <v>EASTER TIN BUCKET [21717]</v>
      </c>
    </row>
    <row r="1044" spans="1:9" x14ac:dyDescent="0.3">
      <c r="A1044" s="1">
        <v>21718</v>
      </c>
      <c r="B1044" t="s">
        <v>5100</v>
      </c>
      <c r="C1044" s="1">
        <v>1.42</v>
      </c>
      <c r="D1044" s="1">
        <v>106</v>
      </c>
      <c r="E1044" s="1">
        <v>161.19999999999999</v>
      </c>
      <c r="F1044" s="1">
        <v>25</v>
      </c>
      <c r="G1044" s="1">
        <v>5250.3</v>
      </c>
      <c r="H1044" s="1" t="s">
        <v>10</v>
      </c>
      <c r="I1044" t="str">
        <f t="shared" si="16"/>
        <v>RED METAL BEACH SPADE [21718]</v>
      </c>
    </row>
    <row r="1045" spans="1:9" x14ac:dyDescent="0.3">
      <c r="A1045" s="1">
        <v>21719</v>
      </c>
      <c r="B1045" t="s">
        <v>5099</v>
      </c>
      <c r="C1045" s="1">
        <v>0.88</v>
      </c>
      <c r="D1045" s="1">
        <v>28</v>
      </c>
      <c r="E1045" s="1">
        <v>36.24</v>
      </c>
      <c r="F1045" s="1">
        <v>25</v>
      </c>
      <c r="G1045" s="1">
        <v>813.14</v>
      </c>
      <c r="H1045" s="1" t="s">
        <v>9</v>
      </c>
      <c r="I1045" t="str">
        <f t="shared" si="16"/>
        <v>LOVELY BONBON STICKER SHEET [21719]</v>
      </c>
    </row>
    <row r="1046" spans="1:9" x14ac:dyDescent="0.3">
      <c r="A1046" s="1">
        <v>21720</v>
      </c>
      <c r="B1046" t="s">
        <v>5098</v>
      </c>
      <c r="C1046" s="1">
        <v>0.85</v>
      </c>
      <c r="D1046" s="1">
        <v>27</v>
      </c>
      <c r="E1046" s="2">
        <v>59.3333333333333</v>
      </c>
      <c r="F1046" s="1">
        <v>18</v>
      </c>
      <c r="G1046" s="2">
        <v>929.81</v>
      </c>
      <c r="H1046" s="1" t="s">
        <v>9</v>
      </c>
      <c r="I1046" t="str">
        <f t="shared" si="16"/>
        <v>CAKE SHOP  STICKER SHEET [21720]</v>
      </c>
    </row>
    <row r="1047" spans="1:9" x14ac:dyDescent="0.3">
      <c r="A1047" s="1">
        <v>21721</v>
      </c>
      <c r="B1047" t="s">
        <v>5097</v>
      </c>
      <c r="C1047" s="1">
        <v>0.87</v>
      </c>
      <c r="D1047" s="1">
        <v>42.5</v>
      </c>
      <c r="E1047" s="2">
        <v>49.545454545454497</v>
      </c>
      <c r="F1047" s="1">
        <v>22</v>
      </c>
      <c r="G1047" s="1">
        <v>990.5</v>
      </c>
      <c r="H1047" s="1" t="s">
        <v>9</v>
      </c>
      <c r="I1047" t="str">
        <f t="shared" si="16"/>
        <v>CANDY SHOP  STICKER SHEET [21721]</v>
      </c>
    </row>
    <row r="1048" spans="1:9" x14ac:dyDescent="0.3">
      <c r="A1048" s="1">
        <v>21722</v>
      </c>
      <c r="B1048" t="s">
        <v>5096</v>
      </c>
      <c r="C1048" s="1">
        <v>0.91500000000000004</v>
      </c>
      <c r="D1048" s="1">
        <v>9</v>
      </c>
      <c r="E1048" s="2">
        <v>14.4583333333333</v>
      </c>
      <c r="F1048" s="1">
        <v>24</v>
      </c>
      <c r="G1048" s="1">
        <v>327.75</v>
      </c>
      <c r="H1048" s="1" t="s">
        <v>8</v>
      </c>
      <c r="I1048" t="str">
        <f t="shared" si="16"/>
        <v>SWEET PUDDING STICKER SHEET [21722]</v>
      </c>
    </row>
    <row r="1049" spans="1:9" x14ac:dyDescent="0.3">
      <c r="A1049" s="1">
        <v>21723</v>
      </c>
      <c r="B1049" t="s">
        <v>5095</v>
      </c>
      <c r="C1049" s="1">
        <v>0.9</v>
      </c>
      <c r="D1049" s="1">
        <v>29</v>
      </c>
      <c r="E1049" s="1">
        <v>34.64</v>
      </c>
      <c r="F1049" s="1">
        <v>25</v>
      </c>
      <c r="G1049" s="1">
        <v>769.13</v>
      </c>
      <c r="H1049" s="1" t="s">
        <v>9</v>
      </c>
      <c r="I1049" t="str">
        <f t="shared" si="16"/>
        <v>ALPHABET HEARTS STICKER SHEET [21723]</v>
      </c>
    </row>
    <row r="1050" spans="1:9" x14ac:dyDescent="0.3">
      <c r="A1050" s="1">
        <v>21724</v>
      </c>
      <c r="B1050" t="s">
        <v>5094</v>
      </c>
      <c r="C1050" s="1">
        <v>0.89</v>
      </c>
      <c r="D1050" s="1">
        <v>28</v>
      </c>
      <c r="E1050" s="1">
        <v>39.840000000000003</v>
      </c>
      <c r="F1050" s="1">
        <v>25</v>
      </c>
      <c r="G1050" s="1">
        <v>888.34</v>
      </c>
      <c r="H1050" s="1" t="s">
        <v>9</v>
      </c>
      <c r="I1050" t="str">
        <f t="shared" si="16"/>
        <v>PANDA AND BUNNIES STICKER SHEET [21724]</v>
      </c>
    </row>
    <row r="1051" spans="1:9" x14ac:dyDescent="0.3">
      <c r="A1051" s="1">
        <v>21725</v>
      </c>
      <c r="B1051" t="s">
        <v>5093</v>
      </c>
      <c r="C1051" s="1">
        <v>0.89500000000000002</v>
      </c>
      <c r="D1051" s="1">
        <v>36.5</v>
      </c>
      <c r="E1051" s="2">
        <v>47.2916666666666</v>
      </c>
      <c r="F1051" s="1">
        <v>24</v>
      </c>
      <c r="G1051" s="1">
        <v>1036.43</v>
      </c>
      <c r="H1051" s="1" t="s">
        <v>9</v>
      </c>
      <c r="I1051" t="str">
        <f t="shared" si="16"/>
        <v>SWEETIES  STICKERS [21725]</v>
      </c>
    </row>
    <row r="1052" spans="1:9" x14ac:dyDescent="0.3">
      <c r="A1052" s="1">
        <v>21726</v>
      </c>
      <c r="B1052" t="s">
        <v>5092</v>
      </c>
      <c r="C1052" s="1">
        <v>0.85</v>
      </c>
      <c r="D1052" s="1">
        <v>29.5</v>
      </c>
      <c r="E1052" s="1">
        <v>44.875</v>
      </c>
      <c r="F1052" s="1">
        <v>24</v>
      </c>
      <c r="G1052" s="1">
        <v>930.99</v>
      </c>
      <c r="H1052" s="1" t="s">
        <v>9</v>
      </c>
      <c r="I1052" t="str">
        <f t="shared" si="16"/>
        <v>MULTI HEARTS  STICKERS [21726]</v>
      </c>
    </row>
    <row r="1053" spans="1:9" x14ac:dyDescent="0.3">
      <c r="A1053" s="1">
        <v>21728</v>
      </c>
      <c r="B1053" t="s">
        <v>5091</v>
      </c>
      <c r="C1053" s="2">
        <v>12.53</v>
      </c>
      <c r="D1053" s="1">
        <v>15</v>
      </c>
      <c r="E1053" s="1">
        <v>37.25</v>
      </c>
      <c r="F1053" s="1">
        <v>8</v>
      </c>
      <c r="G1053" s="1">
        <v>2773.11</v>
      </c>
      <c r="H1053" s="1" t="s">
        <v>9</v>
      </c>
      <c r="I1053" t="str">
        <f t="shared" si="16"/>
        <v>METAL MEDINA LANTERN [21728]</v>
      </c>
    </row>
    <row r="1054" spans="1:9" x14ac:dyDescent="0.3">
      <c r="A1054" s="1">
        <v>21729</v>
      </c>
      <c r="B1054" t="s">
        <v>5090</v>
      </c>
      <c r="C1054" s="1">
        <v>3.585</v>
      </c>
      <c r="D1054" s="1">
        <v>62</v>
      </c>
      <c r="E1054" s="1">
        <v>62</v>
      </c>
      <c r="F1054" s="1">
        <v>2</v>
      </c>
      <c r="G1054" s="1">
        <v>422.9</v>
      </c>
      <c r="H1054" s="1" t="s">
        <v>10</v>
      </c>
      <c r="I1054" t="str">
        <f t="shared" si="16"/>
        <v>SMALL MARAKESH METAL  LANTERN [21729]</v>
      </c>
    </row>
    <row r="1055" spans="1:9" x14ac:dyDescent="0.3">
      <c r="A1055" s="1">
        <v>21730</v>
      </c>
      <c r="B1055" t="s">
        <v>5089</v>
      </c>
      <c r="C1055" s="1">
        <v>4.96</v>
      </c>
      <c r="D1055" s="1">
        <v>28</v>
      </c>
      <c r="E1055" s="2">
        <v>50.681818181818102</v>
      </c>
      <c r="F1055" s="1">
        <v>22</v>
      </c>
      <c r="G1055" s="1">
        <v>5534.17</v>
      </c>
      <c r="H1055" s="1" t="s">
        <v>9</v>
      </c>
      <c r="I1055" t="str">
        <f t="shared" si="16"/>
        <v>GLASS STAR FROSTED T-LIGHT HOLDER [21730]</v>
      </c>
    </row>
    <row r="1056" spans="1:9" x14ac:dyDescent="0.3">
      <c r="A1056" s="1">
        <v>21731</v>
      </c>
      <c r="B1056" t="s">
        <v>5088</v>
      </c>
      <c r="C1056" s="1">
        <v>1.74</v>
      </c>
      <c r="D1056" s="1">
        <v>995</v>
      </c>
      <c r="E1056" s="1">
        <v>1156.4000000000001</v>
      </c>
      <c r="F1056" s="1">
        <v>25</v>
      </c>
      <c r="G1056" s="1">
        <v>48315.839999999997</v>
      </c>
      <c r="H1056" s="1" t="s">
        <v>10</v>
      </c>
      <c r="I1056" t="str">
        <f t="shared" si="16"/>
        <v>RED TOADSTOOL LED NIGHT LIGHT [21731]</v>
      </c>
    </row>
    <row r="1057" spans="1:9" x14ac:dyDescent="0.3">
      <c r="A1057" s="1">
        <v>21732</v>
      </c>
      <c r="B1057" t="s">
        <v>5087</v>
      </c>
      <c r="C1057" s="2">
        <v>3.71999999999999</v>
      </c>
      <c r="D1057" s="1">
        <v>22.5</v>
      </c>
      <c r="E1057" s="1">
        <v>92.5</v>
      </c>
      <c r="F1057" s="1">
        <v>10</v>
      </c>
      <c r="G1057" s="1">
        <v>3214.57</v>
      </c>
      <c r="H1057" s="1" t="s">
        <v>9</v>
      </c>
      <c r="I1057" t="str">
        <f t="shared" si="16"/>
        <v>RED HANGING METAL STAR TLIGHT HLDR [21732]</v>
      </c>
    </row>
    <row r="1058" spans="1:9" x14ac:dyDescent="0.3">
      <c r="A1058" s="1">
        <v>21733</v>
      </c>
      <c r="B1058" t="s">
        <v>5086</v>
      </c>
      <c r="C1058" s="1">
        <v>2.84</v>
      </c>
      <c r="D1058" s="1">
        <v>560</v>
      </c>
      <c r="E1058" s="1">
        <v>703</v>
      </c>
      <c r="F1058" s="1">
        <v>25</v>
      </c>
      <c r="G1058" s="1">
        <v>50346.49</v>
      </c>
      <c r="H1058" s="1" t="s">
        <v>10</v>
      </c>
      <c r="I1058" t="str">
        <f t="shared" si="16"/>
        <v>RED HANGING HEART T-LIGHT HOLDER [21733]</v>
      </c>
    </row>
    <row r="1059" spans="1:9" x14ac:dyDescent="0.3">
      <c r="A1059" s="1">
        <v>21734</v>
      </c>
      <c r="B1059" t="s">
        <v>5085</v>
      </c>
      <c r="C1059" s="1">
        <v>5.52</v>
      </c>
      <c r="D1059" s="1">
        <v>23.5</v>
      </c>
      <c r="E1059" s="1">
        <v>24.25</v>
      </c>
      <c r="F1059" s="1">
        <v>4</v>
      </c>
      <c r="G1059" s="1">
        <v>529.49</v>
      </c>
      <c r="H1059" s="1" t="s">
        <v>9</v>
      </c>
      <c r="I1059" t="str">
        <f t="shared" si="16"/>
        <v>SMALL MARAKESH LANTERN ON STICK [21734]</v>
      </c>
    </row>
    <row r="1060" spans="1:9" x14ac:dyDescent="0.3">
      <c r="A1060" s="1">
        <v>21735</v>
      </c>
      <c r="B1060" t="s">
        <v>5084</v>
      </c>
      <c r="C1060" s="1">
        <v>12.75</v>
      </c>
      <c r="D1060" s="1">
        <v>24</v>
      </c>
      <c r="E1060" s="1">
        <v>42.65</v>
      </c>
      <c r="F1060" s="1">
        <v>20</v>
      </c>
      <c r="G1060" s="1">
        <v>11112.85</v>
      </c>
      <c r="H1060" s="1" t="s">
        <v>9</v>
      </c>
      <c r="I1060" t="str">
        <f t="shared" si="16"/>
        <v>TWO DOOR CURIO CABINET [21735]</v>
      </c>
    </row>
    <row r="1061" spans="1:9" x14ac:dyDescent="0.3">
      <c r="A1061" s="1">
        <v>21736</v>
      </c>
      <c r="B1061" t="s">
        <v>5083</v>
      </c>
      <c r="C1061" s="1">
        <v>2.1</v>
      </c>
      <c r="D1061" s="1">
        <v>15</v>
      </c>
      <c r="E1061" s="2">
        <v>13.4615384615384</v>
      </c>
      <c r="F1061" s="1">
        <v>13</v>
      </c>
      <c r="G1061" s="2">
        <v>386.66999999999899</v>
      </c>
      <c r="H1061" s="1" t="s">
        <v>9</v>
      </c>
      <c r="I1061" t="str">
        <f t="shared" si="16"/>
        <v>GOLD SCROLL GLASS T-LIGHT HOLDER [21736]</v>
      </c>
    </row>
    <row r="1062" spans="1:9" x14ac:dyDescent="0.3">
      <c r="A1062" s="1">
        <v>21737</v>
      </c>
      <c r="B1062" t="s">
        <v>5082</v>
      </c>
      <c r="C1062" s="1">
        <v>18.809999999999999</v>
      </c>
      <c r="D1062" s="1">
        <v>25</v>
      </c>
      <c r="E1062" s="2">
        <v>36.181818181818102</v>
      </c>
      <c r="F1062" s="1">
        <v>11</v>
      </c>
      <c r="G1062" s="1">
        <v>7362.66</v>
      </c>
      <c r="H1062" s="1" t="s">
        <v>9</v>
      </c>
      <c r="I1062" t="str">
        <f t="shared" si="16"/>
        <v>SET 3 WICKER LOG BASKETS [21737]</v>
      </c>
    </row>
    <row r="1063" spans="1:9" x14ac:dyDescent="0.3">
      <c r="A1063" s="1">
        <v>21738</v>
      </c>
      <c r="B1063" t="s">
        <v>5081</v>
      </c>
      <c r="C1063" s="1">
        <v>2.95</v>
      </c>
      <c r="D1063" s="1">
        <v>4</v>
      </c>
      <c r="E1063" s="2">
        <v>22.210526315789402</v>
      </c>
      <c r="F1063" s="1">
        <v>19</v>
      </c>
      <c r="G1063" s="1">
        <v>1322.63</v>
      </c>
      <c r="H1063" s="1" t="s">
        <v>8</v>
      </c>
      <c r="I1063" t="str">
        <f t="shared" si="16"/>
        <v>COSY SLIPPER SHOES SMALL  RED [21738]</v>
      </c>
    </row>
    <row r="1064" spans="1:9" x14ac:dyDescent="0.3">
      <c r="A1064" s="1">
        <v>21739</v>
      </c>
      <c r="B1064" t="s">
        <v>5080</v>
      </c>
      <c r="C1064" s="1">
        <v>2.95</v>
      </c>
      <c r="D1064" s="1">
        <v>14</v>
      </c>
      <c r="E1064" s="2">
        <v>22.4545454545454</v>
      </c>
      <c r="F1064" s="1">
        <v>22</v>
      </c>
      <c r="G1064" s="1">
        <v>1451.85</v>
      </c>
      <c r="H1064" s="1" t="s">
        <v>9</v>
      </c>
      <c r="I1064" t="str">
        <f t="shared" si="16"/>
        <v>COSY SLIPPER SHOES SMALL GREEN [21739]</v>
      </c>
    </row>
    <row r="1065" spans="1:9" x14ac:dyDescent="0.3">
      <c r="A1065" s="1">
        <v>21740</v>
      </c>
      <c r="B1065" t="s">
        <v>5079</v>
      </c>
      <c r="C1065" s="1">
        <v>2.95</v>
      </c>
      <c r="D1065" s="1">
        <v>3</v>
      </c>
      <c r="E1065" s="1">
        <v>40.200000000000003</v>
      </c>
      <c r="F1065" s="1">
        <v>5</v>
      </c>
      <c r="G1065" s="1">
        <v>698.01</v>
      </c>
      <c r="H1065" s="1" t="s">
        <v>8</v>
      </c>
      <c r="I1065" t="str">
        <f t="shared" si="16"/>
        <v>COSY SLIPPER SHOES LARGE RED [21740]</v>
      </c>
    </row>
    <row r="1066" spans="1:9" x14ac:dyDescent="0.3">
      <c r="A1066" s="1">
        <v>21741</v>
      </c>
      <c r="B1066" t="s">
        <v>5078</v>
      </c>
      <c r="C1066" s="1">
        <v>3.3</v>
      </c>
      <c r="D1066" s="1">
        <v>20</v>
      </c>
      <c r="E1066" s="2">
        <v>33.380952380952301</v>
      </c>
      <c r="F1066" s="1">
        <v>21</v>
      </c>
      <c r="G1066" s="1">
        <v>2293.75</v>
      </c>
      <c r="H1066" s="1" t="s">
        <v>9</v>
      </c>
      <c r="I1066" t="str">
        <f t="shared" si="16"/>
        <v>COSY SLIPPER SHOES LARGE GREEN [21741]</v>
      </c>
    </row>
    <row r="1067" spans="1:9" x14ac:dyDescent="0.3">
      <c r="A1067" s="1">
        <v>21742</v>
      </c>
      <c r="B1067" t="s">
        <v>5077</v>
      </c>
      <c r="C1067" s="1">
        <v>5.95</v>
      </c>
      <c r="D1067" s="1">
        <v>15</v>
      </c>
      <c r="E1067" s="1">
        <v>17.48</v>
      </c>
      <c r="F1067" s="1">
        <v>25</v>
      </c>
      <c r="G1067" s="1">
        <v>2647.28</v>
      </c>
      <c r="H1067" s="1" t="s">
        <v>9</v>
      </c>
      <c r="I1067" t="str">
        <f t="shared" si="16"/>
        <v>LARGE ROUND WICKER PLATTER [21742]</v>
      </c>
    </row>
    <row r="1068" spans="1:9" x14ac:dyDescent="0.3">
      <c r="A1068" s="1">
        <v>21743</v>
      </c>
      <c r="B1068" t="s">
        <v>5076</v>
      </c>
      <c r="C1068" s="1">
        <v>2.95</v>
      </c>
      <c r="D1068" s="1">
        <v>27</v>
      </c>
      <c r="E1068" s="2">
        <v>61.3333333333333</v>
      </c>
      <c r="F1068" s="1">
        <v>21</v>
      </c>
      <c r="G1068" s="1">
        <v>3767.08</v>
      </c>
      <c r="H1068" s="1" t="s">
        <v>9</v>
      </c>
      <c r="I1068" t="str">
        <f t="shared" si="16"/>
        <v>STAR PORTABLE TABLE LIGHT [21743]</v>
      </c>
    </row>
    <row r="1069" spans="1:9" x14ac:dyDescent="0.3">
      <c r="A1069" s="1">
        <v>21744</v>
      </c>
      <c r="B1069" t="s">
        <v>5075</v>
      </c>
      <c r="C1069" s="1">
        <v>2.95</v>
      </c>
      <c r="D1069" s="1">
        <v>31.5</v>
      </c>
      <c r="E1069" s="1">
        <v>56.125</v>
      </c>
      <c r="F1069" s="1">
        <v>16</v>
      </c>
      <c r="G1069" s="1">
        <v>2697.16</v>
      </c>
      <c r="H1069" s="1" t="s">
        <v>9</v>
      </c>
      <c r="I1069" t="str">
        <f t="shared" si="16"/>
        <v>SNOWFLAKE PORTABLE TABLE LIGHT [21744]</v>
      </c>
    </row>
    <row r="1070" spans="1:9" x14ac:dyDescent="0.3">
      <c r="A1070" s="1">
        <v>21745</v>
      </c>
      <c r="B1070" t="s">
        <v>5074</v>
      </c>
      <c r="C1070" s="1">
        <v>3.75</v>
      </c>
      <c r="D1070" s="1">
        <v>95</v>
      </c>
      <c r="E1070" s="1">
        <v>107.96</v>
      </c>
      <c r="F1070" s="1">
        <v>25</v>
      </c>
      <c r="G1070" s="1">
        <v>9201.49</v>
      </c>
      <c r="H1070" s="1" t="s">
        <v>10</v>
      </c>
      <c r="I1070" t="str">
        <f t="shared" si="16"/>
        <v>GAOLERS KEYS DECORATIVE GARDEN [21745]</v>
      </c>
    </row>
    <row r="1071" spans="1:9" x14ac:dyDescent="0.3">
      <c r="A1071" s="1">
        <v>21746</v>
      </c>
      <c r="B1071" t="s">
        <v>5073</v>
      </c>
      <c r="C1071" s="2">
        <v>1.2649999999999999</v>
      </c>
      <c r="D1071" s="1">
        <v>206.5</v>
      </c>
      <c r="E1071" s="2">
        <v>213.03571428571399</v>
      </c>
      <c r="F1071" s="1">
        <v>24</v>
      </c>
      <c r="G1071" s="1">
        <v>7468.34</v>
      </c>
      <c r="H1071" s="1" t="s">
        <v>10</v>
      </c>
      <c r="I1071" t="str">
        <f t="shared" si="16"/>
        <v>SMALL RED SPOT  WINDMILL [21746]</v>
      </c>
    </row>
    <row r="1072" spans="1:9" x14ac:dyDescent="0.3">
      <c r="A1072" s="1">
        <v>21747</v>
      </c>
      <c r="B1072" t="s">
        <v>5072</v>
      </c>
      <c r="C1072" s="1">
        <v>1.25</v>
      </c>
      <c r="D1072" s="1">
        <v>44</v>
      </c>
      <c r="E1072" s="2">
        <v>89.086956521739097</v>
      </c>
      <c r="F1072" s="1">
        <v>23</v>
      </c>
      <c r="G1072" s="1">
        <v>2452.35</v>
      </c>
      <c r="H1072" s="1" t="s">
        <v>9</v>
      </c>
      <c r="I1072" t="str">
        <f t="shared" si="16"/>
        <v>SMALL SKULL WINDMILL [21747]</v>
      </c>
    </row>
    <row r="1073" spans="1:9" x14ac:dyDescent="0.3">
      <c r="A1073" s="1">
        <v>21749</v>
      </c>
      <c r="B1073" t="s">
        <v>5071</v>
      </c>
      <c r="C1073" s="1">
        <v>2.0750000000000002</v>
      </c>
      <c r="D1073" s="1">
        <v>70</v>
      </c>
      <c r="E1073" s="2">
        <v>202.03571428571399</v>
      </c>
      <c r="F1073" s="1">
        <v>24</v>
      </c>
      <c r="G1073" s="1">
        <v>10980.98</v>
      </c>
      <c r="H1073" s="1" t="s">
        <v>10</v>
      </c>
      <c r="I1073" t="str">
        <f t="shared" si="16"/>
        <v>LARGE RED SPOT WINDMILL [21749]</v>
      </c>
    </row>
    <row r="1074" spans="1:9" x14ac:dyDescent="0.3">
      <c r="A1074" s="1">
        <v>21750</v>
      </c>
      <c r="B1074" t="s">
        <v>5070</v>
      </c>
      <c r="C1074" s="1">
        <v>2.1</v>
      </c>
      <c r="D1074" s="1">
        <v>8</v>
      </c>
      <c r="E1074" s="2">
        <v>14.714285714285699</v>
      </c>
      <c r="F1074" s="1">
        <v>21</v>
      </c>
      <c r="G1074" s="1">
        <v>663.85</v>
      </c>
      <c r="H1074" s="1" t="s">
        <v>8</v>
      </c>
      <c r="I1074" t="str">
        <f t="shared" si="16"/>
        <v>LARGE SKULL WINDMILL [21750]</v>
      </c>
    </row>
    <row r="1075" spans="1:9" x14ac:dyDescent="0.3">
      <c r="A1075" s="1">
        <v>21752</v>
      </c>
      <c r="B1075" t="s">
        <v>5069</v>
      </c>
      <c r="C1075" s="1">
        <v>14.95</v>
      </c>
      <c r="D1075" s="1">
        <v>10.5</v>
      </c>
      <c r="E1075" s="2">
        <v>12.8333333333333</v>
      </c>
      <c r="F1075" s="1">
        <v>6</v>
      </c>
      <c r="G1075" s="1">
        <v>1244.81</v>
      </c>
      <c r="H1075" s="1" t="s">
        <v>9</v>
      </c>
      <c r="I1075" t="str">
        <f t="shared" si="16"/>
        <v>GLASS CAKE STAND MIRRORED BASE [21752]</v>
      </c>
    </row>
    <row r="1076" spans="1:9" x14ac:dyDescent="0.3">
      <c r="A1076" s="1">
        <v>21754</v>
      </c>
      <c r="B1076" t="s">
        <v>5068</v>
      </c>
      <c r="C1076" s="1">
        <v>6.12</v>
      </c>
      <c r="D1076" s="1">
        <v>308</v>
      </c>
      <c r="E1076" s="1">
        <v>303.8</v>
      </c>
      <c r="F1076" s="1">
        <v>25</v>
      </c>
      <c r="G1076" s="1">
        <v>46516.99</v>
      </c>
      <c r="H1076" s="1" t="s">
        <v>10</v>
      </c>
      <c r="I1076" t="str">
        <f t="shared" si="16"/>
        <v>HOME BUILDING BLOCK WORD [21754]</v>
      </c>
    </row>
    <row r="1077" spans="1:9" x14ac:dyDescent="0.3">
      <c r="A1077" s="1">
        <v>21755</v>
      </c>
      <c r="B1077" t="s">
        <v>5067</v>
      </c>
      <c r="C1077" s="1">
        <v>6.22</v>
      </c>
      <c r="D1077" s="1">
        <v>202</v>
      </c>
      <c r="E1077" s="1">
        <v>225.72</v>
      </c>
      <c r="F1077" s="1">
        <v>25</v>
      </c>
      <c r="G1077" s="1">
        <v>34836.019999999997</v>
      </c>
      <c r="H1077" s="1" t="s">
        <v>10</v>
      </c>
      <c r="I1077" t="str">
        <f t="shared" si="16"/>
        <v>LOVE BUILDING BLOCK WORD [21755]</v>
      </c>
    </row>
    <row r="1078" spans="1:9" x14ac:dyDescent="0.3">
      <c r="A1078" s="1">
        <v>21756</v>
      </c>
      <c r="B1078" t="s">
        <v>5066</v>
      </c>
      <c r="C1078" s="1">
        <v>6.13</v>
      </c>
      <c r="D1078" s="1">
        <v>76</v>
      </c>
      <c r="E1078" s="2">
        <v>76.761904761904702</v>
      </c>
      <c r="F1078" s="1">
        <v>21</v>
      </c>
      <c r="G1078" s="1">
        <v>9944.65</v>
      </c>
      <c r="H1078" s="1" t="s">
        <v>10</v>
      </c>
      <c r="I1078" t="str">
        <f t="shared" si="16"/>
        <v>BATH BUILDING BLOCK WORD [21756]</v>
      </c>
    </row>
    <row r="1079" spans="1:9" x14ac:dyDescent="0.3">
      <c r="A1079" s="1">
        <v>21757</v>
      </c>
      <c r="B1079" t="s">
        <v>5065</v>
      </c>
      <c r="C1079" s="1">
        <v>5.48</v>
      </c>
      <c r="D1079" s="1">
        <v>8</v>
      </c>
      <c r="E1079" s="2">
        <v>11.4285714285714</v>
      </c>
      <c r="F1079" s="1">
        <v>7</v>
      </c>
      <c r="G1079" s="1">
        <v>454.3</v>
      </c>
      <c r="H1079" s="1" t="s">
        <v>8</v>
      </c>
      <c r="I1079" t="str">
        <f t="shared" si="16"/>
        <v>LIGHTHOUSE PRINTED METAL SIGN [21757]</v>
      </c>
    </row>
    <row r="1080" spans="1:9" x14ac:dyDescent="0.3">
      <c r="A1080" s="1">
        <v>21758</v>
      </c>
      <c r="B1080" t="s">
        <v>5064</v>
      </c>
      <c r="C1080" s="1">
        <v>8.2349999999999994</v>
      </c>
      <c r="D1080" s="1">
        <v>4.5</v>
      </c>
      <c r="E1080" s="1">
        <v>5.625</v>
      </c>
      <c r="F1080" s="1">
        <v>24</v>
      </c>
      <c r="G1080" s="1">
        <v>1069.76</v>
      </c>
      <c r="H1080" s="1" t="s">
        <v>8</v>
      </c>
      <c r="I1080" t="str">
        <f t="shared" si="16"/>
        <v>VINTAGE SHELLS PRINT [21758]</v>
      </c>
    </row>
    <row r="1081" spans="1:9" x14ac:dyDescent="0.3">
      <c r="A1081" s="1">
        <v>21759</v>
      </c>
      <c r="B1081" t="s">
        <v>5063</v>
      </c>
      <c r="C1081" s="1">
        <v>44.115000000000002</v>
      </c>
      <c r="D1081" s="1">
        <v>4.5</v>
      </c>
      <c r="E1081" s="1">
        <v>7.5</v>
      </c>
      <c r="F1081" s="1">
        <v>4</v>
      </c>
      <c r="G1081" s="1">
        <v>1274.47</v>
      </c>
      <c r="H1081" s="1" t="s">
        <v>8</v>
      </c>
      <c r="I1081" t="str">
        <f t="shared" si="16"/>
        <v>METAL WALL SHELF UNIT WITH HOOKS [21759]</v>
      </c>
    </row>
    <row r="1082" spans="1:9" x14ac:dyDescent="0.3">
      <c r="A1082" s="1">
        <v>21760</v>
      </c>
      <c r="B1082" t="s">
        <v>5062</v>
      </c>
      <c r="C1082" s="1">
        <v>125</v>
      </c>
      <c r="D1082" s="1">
        <v>2.5</v>
      </c>
      <c r="E1082" s="1">
        <v>2.5</v>
      </c>
      <c r="F1082" s="1">
        <v>6</v>
      </c>
      <c r="G1082" s="1">
        <v>1740</v>
      </c>
      <c r="H1082" s="1" t="s">
        <v>8</v>
      </c>
      <c r="I1082" t="str">
        <f t="shared" si="16"/>
        <v>FRENCH STYLE WALL DRESSER [21760]</v>
      </c>
    </row>
    <row r="1083" spans="1:9" x14ac:dyDescent="0.3">
      <c r="A1083" s="1">
        <v>21761</v>
      </c>
      <c r="B1083" t="s">
        <v>5061</v>
      </c>
      <c r="C1083" s="1">
        <v>29.95</v>
      </c>
      <c r="D1083" s="1">
        <v>1</v>
      </c>
      <c r="E1083" s="1">
        <v>4.0625</v>
      </c>
      <c r="F1083" s="1">
        <v>16</v>
      </c>
      <c r="G1083" s="1">
        <v>1814.75</v>
      </c>
      <c r="H1083" s="1" t="s">
        <v>8</v>
      </c>
      <c r="I1083" t="str">
        <f t="shared" si="16"/>
        <v>WOOD AND GLASS MEDICINE CABINET [21761]</v>
      </c>
    </row>
    <row r="1084" spans="1:9" x14ac:dyDescent="0.3">
      <c r="A1084" s="1">
        <v>21763</v>
      </c>
      <c r="B1084" t="s">
        <v>5060</v>
      </c>
      <c r="C1084" s="1">
        <v>26.75</v>
      </c>
      <c r="D1084" s="1">
        <v>5</v>
      </c>
      <c r="E1084" s="2">
        <v>4.7777777777777697</v>
      </c>
      <c r="F1084" s="1">
        <v>9</v>
      </c>
      <c r="G1084" s="1">
        <v>1157.9000000000001</v>
      </c>
      <c r="H1084" s="1" t="s">
        <v>8</v>
      </c>
      <c r="I1084" t="str">
        <f t="shared" si="16"/>
        <v>VINTAGE WOODEN BAR STOOL [21763]</v>
      </c>
    </row>
    <row r="1085" spans="1:9" x14ac:dyDescent="0.3">
      <c r="A1085" s="1">
        <v>21764</v>
      </c>
      <c r="B1085" t="s">
        <v>5059</v>
      </c>
      <c r="C1085" s="1">
        <v>39.950000000000003</v>
      </c>
      <c r="D1085" s="1">
        <v>4</v>
      </c>
      <c r="E1085" s="1">
        <v>4.25</v>
      </c>
      <c r="F1085" s="1">
        <v>4</v>
      </c>
      <c r="G1085" s="1">
        <v>659.15</v>
      </c>
      <c r="H1085" s="1" t="s">
        <v>8</v>
      </c>
      <c r="I1085" t="str">
        <f t="shared" si="16"/>
        <v>VINTAGE WOODEN PLATE RACK [21764]</v>
      </c>
    </row>
    <row r="1086" spans="1:9" x14ac:dyDescent="0.3">
      <c r="A1086" s="1">
        <v>21765</v>
      </c>
      <c r="B1086" t="s">
        <v>5058</v>
      </c>
      <c r="C1086" s="1">
        <v>8.18</v>
      </c>
      <c r="D1086" s="1">
        <v>25</v>
      </c>
      <c r="E1086" s="2">
        <v>33.727272727272698</v>
      </c>
      <c r="F1086" s="1">
        <v>11</v>
      </c>
      <c r="G1086" s="1">
        <v>3076.39</v>
      </c>
      <c r="H1086" s="1" t="s">
        <v>9</v>
      </c>
      <c r="I1086" t="str">
        <f t="shared" si="16"/>
        <v>HANGING METAL BIRD BATH [21765]</v>
      </c>
    </row>
    <row r="1087" spans="1:9" x14ac:dyDescent="0.3">
      <c r="A1087" s="1">
        <v>21767</v>
      </c>
      <c r="B1087" t="s">
        <v>5057</v>
      </c>
      <c r="C1087" s="1">
        <v>29.95</v>
      </c>
      <c r="D1087" s="1">
        <v>1</v>
      </c>
      <c r="E1087" s="1">
        <v>1</v>
      </c>
      <c r="F1087" s="1">
        <v>1</v>
      </c>
      <c r="G1087" s="1">
        <v>29.95</v>
      </c>
      <c r="H1087" s="1" t="s">
        <v>8</v>
      </c>
      <c r="I1087" t="str">
        <f t="shared" si="16"/>
        <v>FRENCH STYLE WIRE DOOR CABINET [21767]</v>
      </c>
    </row>
    <row r="1088" spans="1:9" x14ac:dyDescent="0.3">
      <c r="A1088" s="1">
        <v>21768</v>
      </c>
      <c r="B1088" t="s">
        <v>5056</v>
      </c>
      <c r="C1088" s="1">
        <v>15.34</v>
      </c>
      <c r="D1088" s="1">
        <v>38</v>
      </c>
      <c r="E1088" s="2">
        <v>55.2222222222222</v>
      </c>
      <c r="F1088" s="1">
        <v>9</v>
      </c>
      <c r="G1088" s="1">
        <v>6756.09</v>
      </c>
      <c r="H1088" s="1" t="s">
        <v>9</v>
      </c>
      <c r="I1088" t="str">
        <f t="shared" si="16"/>
        <v>WALL MOUNTED VINTAGE ORGANISER [21768]</v>
      </c>
    </row>
    <row r="1089" spans="1:9" x14ac:dyDescent="0.3">
      <c r="A1089" s="1">
        <v>21769</v>
      </c>
      <c r="B1089" t="s">
        <v>5055</v>
      </c>
      <c r="C1089" s="1">
        <v>79.95</v>
      </c>
      <c r="D1089" s="1">
        <v>5</v>
      </c>
      <c r="E1089" s="2">
        <v>9.4615384615384599</v>
      </c>
      <c r="F1089" s="1">
        <v>13</v>
      </c>
      <c r="G1089" s="1">
        <v>7954.87</v>
      </c>
      <c r="H1089" s="1" t="s">
        <v>8</v>
      </c>
      <c r="I1089" t="str">
        <f t="shared" si="16"/>
        <v>VINTAGE POST OFFICE CABINET [21769]</v>
      </c>
    </row>
    <row r="1090" spans="1:9" x14ac:dyDescent="0.3">
      <c r="A1090" s="1">
        <v>21770</v>
      </c>
      <c r="B1090" t="s">
        <v>5054</v>
      </c>
      <c r="C1090" s="2">
        <v>5.0399999999999903</v>
      </c>
      <c r="D1090" s="1">
        <v>112</v>
      </c>
      <c r="E1090" s="2">
        <v>166.166666666666</v>
      </c>
      <c r="F1090" s="1">
        <v>18</v>
      </c>
      <c r="G1090" s="1">
        <v>14807.3</v>
      </c>
      <c r="H1090" s="1" t="s">
        <v>10</v>
      </c>
      <c r="I1090" t="str">
        <f t="shared" si="16"/>
        <v>OPEN CLOSED METAL SIGN [21770]</v>
      </c>
    </row>
    <row r="1091" spans="1:9" x14ac:dyDescent="0.3">
      <c r="A1091" s="1">
        <v>21772</v>
      </c>
      <c r="B1091" t="s">
        <v>5053</v>
      </c>
      <c r="C1091" s="1">
        <v>12.75</v>
      </c>
      <c r="D1091" s="1">
        <v>1</v>
      </c>
      <c r="E1091" s="1">
        <v>1</v>
      </c>
      <c r="F1091" s="1">
        <v>1</v>
      </c>
      <c r="G1091" s="1">
        <v>12.75</v>
      </c>
      <c r="H1091" s="1" t="s">
        <v>8</v>
      </c>
      <c r="I1091" t="str">
        <f t="shared" ref="I1091:I1154" si="17">B1091&amp;" ["&amp;A1091&amp;"]"</f>
        <v>VINTAGE METAL CAKE STAND CREAM [21772]</v>
      </c>
    </row>
    <row r="1092" spans="1:9" x14ac:dyDescent="0.3">
      <c r="A1092" s="1">
        <v>21773</v>
      </c>
      <c r="B1092" t="s">
        <v>5052</v>
      </c>
      <c r="C1092" s="1">
        <v>1.49</v>
      </c>
      <c r="D1092" s="1">
        <v>40</v>
      </c>
      <c r="E1092" s="1">
        <v>65.680000000000007</v>
      </c>
      <c r="F1092" s="1">
        <v>25</v>
      </c>
      <c r="G1092" s="1">
        <v>1899.4</v>
      </c>
      <c r="H1092" s="1" t="s">
        <v>9</v>
      </c>
      <c r="I1092" t="str">
        <f t="shared" si="17"/>
        <v>DECORATIVE ROSE BATHROOM BOTTLE [21773]</v>
      </c>
    </row>
    <row r="1093" spans="1:9" x14ac:dyDescent="0.3">
      <c r="A1093" s="1">
        <v>21774</v>
      </c>
      <c r="B1093" t="s">
        <v>5051</v>
      </c>
      <c r="C1093" s="1">
        <v>1.66</v>
      </c>
      <c r="D1093" s="1">
        <v>49</v>
      </c>
      <c r="E1093" s="1">
        <v>68.44</v>
      </c>
      <c r="F1093" s="1">
        <v>25</v>
      </c>
      <c r="G1093" s="1">
        <v>2129.81</v>
      </c>
      <c r="H1093" s="1" t="s">
        <v>9</v>
      </c>
      <c r="I1093" t="str">
        <f t="shared" si="17"/>
        <v>DECORATIVE CATS BATHROOM BOTTLE [21774]</v>
      </c>
    </row>
    <row r="1094" spans="1:9" x14ac:dyDescent="0.3">
      <c r="A1094" s="1">
        <v>21775</v>
      </c>
      <c r="B1094" t="s">
        <v>5050</v>
      </c>
      <c r="C1094" s="1">
        <v>1.72</v>
      </c>
      <c r="D1094" s="1">
        <v>29</v>
      </c>
      <c r="E1094" s="1">
        <v>34.96</v>
      </c>
      <c r="F1094" s="1">
        <v>25</v>
      </c>
      <c r="G1094" s="1">
        <v>1326.29</v>
      </c>
      <c r="H1094" s="1" t="s">
        <v>9</v>
      </c>
      <c r="I1094" t="str">
        <f t="shared" si="17"/>
        <v>DECORATIVE FLORE BATHROOM BOTTLE [21775]</v>
      </c>
    </row>
    <row r="1095" spans="1:9" x14ac:dyDescent="0.3">
      <c r="A1095" s="1">
        <v>21777</v>
      </c>
      <c r="B1095" t="s">
        <v>5049</v>
      </c>
      <c r="C1095" s="1">
        <v>7.95</v>
      </c>
      <c r="D1095" s="1">
        <v>87</v>
      </c>
      <c r="E1095" s="2">
        <v>86.615384615384599</v>
      </c>
      <c r="F1095" s="1">
        <v>13</v>
      </c>
      <c r="G1095" s="1">
        <v>9075.51</v>
      </c>
      <c r="H1095" s="1" t="s">
        <v>10</v>
      </c>
      <c r="I1095" t="str">
        <f t="shared" si="17"/>
        <v>RECIPE BOX WITH METAL HEART [21777]</v>
      </c>
    </row>
    <row r="1096" spans="1:9" x14ac:dyDescent="0.3">
      <c r="A1096" s="1">
        <v>21779</v>
      </c>
      <c r="B1096" t="s">
        <v>5048</v>
      </c>
      <c r="C1096" s="1">
        <v>4.2300000000000004</v>
      </c>
      <c r="D1096" s="1">
        <v>150.5</v>
      </c>
      <c r="E1096" s="1">
        <v>150.5</v>
      </c>
      <c r="F1096" s="1">
        <v>2</v>
      </c>
      <c r="G1096" s="1">
        <v>1097.8</v>
      </c>
      <c r="H1096" s="1" t="s">
        <v>10</v>
      </c>
      <c r="I1096" t="str">
        <f t="shared" si="17"/>
        <v>MA CAMPAGNE MINI WOODEN CHEST [21779]</v>
      </c>
    </row>
    <row r="1097" spans="1:9" x14ac:dyDescent="0.3">
      <c r="A1097" s="1">
        <v>21780</v>
      </c>
      <c r="B1097" t="s">
        <v>5047</v>
      </c>
      <c r="C1097" s="2">
        <v>8.3349999999999902</v>
      </c>
      <c r="D1097" s="1">
        <v>101.5</v>
      </c>
      <c r="E1097" s="1">
        <v>101.5</v>
      </c>
      <c r="F1097" s="1">
        <v>2</v>
      </c>
      <c r="G1097" s="1">
        <v>1745.85</v>
      </c>
      <c r="H1097" s="1" t="s">
        <v>10</v>
      </c>
      <c r="I1097" t="str">
        <f t="shared" si="17"/>
        <v>MA CAMPAGNE 4 DRAWER WALL SHELF [21780]</v>
      </c>
    </row>
    <row r="1098" spans="1:9" x14ac:dyDescent="0.3">
      <c r="A1098" s="1">
        <v>21781</v>
      </c>
      <c r="B1098" t="s">
        <v>5046</v>
      </c>
      <c r="C1098" s="1">
        <v>15.67</v>
      </c>
      <c r="D1098" s="1">
        <v>25.5</v>
      </c>
      <c r="E1098" s="1">
        <v>32.75</v>
      </c>
      <c r="F1098" s="1">
        <v>20</v>
      </c>
      <c r="G1098" s="1">
        <v>10125.719999999999</v>
      </c>
      <c r="H1098" s="1" t="s">
        <v>9</v>
      </c>
      <c r="I1098" t="str">
        <f t="shared" si="17"/>
        <v>MA CAMPAGNE CUTLERY BOX [21781]</v>
      </c>
    </row>
    <row r="1099" spans="1:9" x14ac:dyDescent="0.3">
      <c r="A1099" s="1">
        <v>21784</v>
      </c>
      <c r="B1099" t="s">
        <v>5045</v>
      </c>
      <c r="C1099" s="1">
        <v>11.17</v>
      </c>
      <c r="D1099" s="1">
        <v>12</v>
      </c>
      <c r="E1099" s="2">
        <v>13.1818181818181</v>
      </c>
      <c r="F1099" s="1">
        <v>22</v>
      </c>
      <c r="G1099" s="2">
        <v>3538.2799999999902</v>
      </c>
      <c r="H1099" s="1" t="s">
        <v>9</v>
      </c>
      <c r="I1099" t="str">
        <f t="shared" si="17"/>
        <v>SHOE SHINE BOX [21784]</v>
      </c>
    </row>
    <row r="1100" spans="1:9" x14ac:dyDescent="0.3">
      <c r="A1100" s="1">
        <v>21785</v>
      </c>
      <c r="B1100" t="s">
        <v>5044</v>
      </c>
      <c r="C1100" s="1">
        <v>0.85</v>
      </c>
      <c r="D1100" s="1">
        <v>55</v>
      </c>
      <c r="E1100" s="2">
        <v>133.666666666666</v>
      </c>
      <c r="F1100" s="1">
        <v>15</v>
      </c>
      <c r="G1100" s="1">
        <v>1514.63</v>
      </c>
      <c r="H1100" s="1" t="s">
        <v>9</v>
      </c>
      <c r="I1100" t="str">
        <f t="shared" si="17"/>
        <v>RAIN PONCHO [21785]</v>
      </c>
    </row>
    <row r="1101" spans="1:9" x14ac:dyDescent="0.3">
      <c r="A1101" s="1">
        <v>21786</v>
      </c>
      <c r="B1101" t="s">
        <v>5043</v>
      </c>
      <c r="C1101" s="1">
        <v>0.44500000000000001</v>
      </c>
      <c r="D1101" s="1">
        <v>186</v>
      </c>
      <c r="E1101" s="2">
        <v>266.82142857142799</v>
      </c>
      <c r="F1101" s="1">
        <v>25</v>
      </c>
      <c r="G1101" s="1">
        <v>3049.03</v>
      </c>
      <c r="H1101" s="1" t="s">
        <v>10</v>
      </c>
      <c r="I1101" t="str">
        <f t="shared" si="17"/>
        <v>RAIN HAT WITH RED SPOTS [21786]</v>
      </c>
    </row>
    <row r="1102" spans="1:9" x14ac:dyDescent="0.3">
      <c r="A1102" s="1">
        <v>21787</v>
      </c>
      <c r="B1102" t="s">
        <v>5042</v>
      </c>
      <c r="C1102" s="1">
        <v>0.83</v>
      </c>
      <c r="D1102" s="1">
        <v>471</v>
      </c>
      <c r="E1102" s="1">
        <v>605.4</v>
      </c>
      <c r="F1102" s="1">
        <v>22</v>
      </c>
      <c r="G1102" s="1">
        <v>11926.08</v>
      </c>
      <c r="H1102" s="1" t="s">
        <v>10</v>
      </c>
      <c r="I1102" t="str">
        <f t="shared" si="17"/>
        <v>RAIN PONCHO WITH RED SPOTS [21787]</v>
      </c>
    </row>
    <row r="1103" spans="1:9" x14ac:dyDescent="0.3">
      <c r="A1103" s="1">
        <v>21788</v>
      </c>
      <c r="B1103" t="s">
        <v>5041</v>
      </c>
      <c r="C1103" s="1">
        <v>0.85</v>
      </c>
      <c r="D1103" s="1">
        <v>119</v>
      </c>
      <c r="E1103" s="1">
        <v>135</v>
      </c>
      <c r="F1103" s="1">
        <v>25</v>
      </c>
      <c r="G1103" s="1">
        <v>2725.09</v>
      </c>
      <c r="H1103" s="1" t="s">
        <v>10</v>
      </c>
      <c r="I1103" t="str">
        <f t="shared" si="17"/>
        <v>KIDS RAIN MAC BLUE [21788]</v>
      </c>
    </row>
    <row r="1104" spans="1:9" x14ac:dyDescent="0.3">
      <c r="A1104" s="1">
        <v>21789</v>
      </c>
      <c r="B1104" t="s">
        <v>5040</v>
      </c>
      <c r="C1104" s="1">
        <v>0.85</v>
      </c>
      <c r="D1104" s="1">
        <v>94</v>
      </c>
      <c r="E1104" s="1">
        <v>116.8</v>
      </c>
      <c r="F1104" s="1">
        <v>25</v>
      </c>
      <c r="G1104" s="1">
        <v>2437.0700000000002</v>
      </c>
      <c r="H1104" s="1" t="s">
        <v>10</v>
      </c>
      <c r="I1104" t="str">
        <f t="shared" si="17"/>
        <v>KIDS RAIN MAC PINK [21789]</v>
      </c>
    </row>
    <row r="1105" spans="1:9" x14ac:dyDescent="0.3">
      <c r="A1105" s="1">
        <v>21790</v>
      </c>
      <c r="B1105" t="s">
        <v>5039</v>
      </c>
      <c r="C1105" s="1">
        <v>0.83</v>
      </c>
      <c r="D1105" s="1">
        <v>820</v>
      </c>
      <c r="E1105" s="1">
        <v>1089.76</v>
      </c>
      <c r="F1105" s="1">
        <v>25</v>
      </c>
      <c r="G1105" s="1">
        <v>23506.17</v>
      </c>
      <c r="H1105" s="1" t="s">
        <v>10</v>
      </c>
      <c r="I1105" t="str">
        <f t="shared" si="17"/>
        <v>VINTAGE SNAP CARDS [21790]</v>
      </c>
    </row>
    <row r="1106" spans="1:9" x14ac:dyDescent="0.3">
      <c r="A1106" s="1">
        <v>21791</v>
      </c>
      <c r="B1106" t="s">
        <v>5038</v>
      </c>
      <c r="C1106" s="1">
        <v>1.24</v>
      </c>
      <c r="D1106" s="1">
        <v>556</v>
      </c>
      <c r="E1106" s="1">
        <v>704.16</v>
      </c>
      <c r="F1106" s="1">
        <v>25</v>
      </c>
      <c r="G1106" s="1">
        <v>22858.6</v>
      </c>
      <c r="H1106" s="1" t="s">
        <v>10</v>
      </c>
      <c r="I1106" t="str">
        <f t="shared" si="17"/>
        <v>VINTAGE HEADS AND TAILS CARD GAME [21791]</v>
      </c>
    </row>
    <row r="1107" spans="1:9" x14ac:dyDescent="0.3">
      <c r="A1107" s="1">
        <v>21792</v>
      </c>
      <c r="B1107" t="s">
        <v>5037</v>
      </c>
      <c r="C1107" s="1">
        <v>6.75</v>
      </c>
      <c r="D1107" s="1">
        <v>12</v>
      </c>
      <c r="E1107" s="1">
        <v>24.7</v>
      </c>
      <c r="F1107" s="1">
        <v>20</v>
      </c>
      <c r="G1107" s="1">
        <v>2517.88</v>
      </c>
      <c r="H1107" s="1" t="s">
        <v>9</v>
      </c>
      <c r="I1107" t="str">
        <f t="shared" si="17"/>
        <v>CLASSIC FRENCH STYLE BASKET GREEN [21792]</v>
      </c>
    </row>
    <row r="1108" spans="1:9" x14ac:dyDescent="0.3">
      <c r="A1108" s="1">
        <v>21793</v>
      </c>
      <c r="B1108" t="s">
        <v>5036</v>
      </c>
      <c r="C1108" s="1">
        <v>6.75</v>
      </c>
      <c r="D1108" s="1">
        <v>6.5</v>
      </c>
      <c r="E1108" s="2">
        <v>16.045454545454501</v>
      </c>
      <c r="F1108" s="1">
        <v>22</v>
      </c>
      <c r="G1108" s="1">
        <v>1627.36</v>
      </c>
      <c r="H1108" s="1" t="s">
        <v>8</v>
      </c>
      <c r="I1108" t="str">
        <f t="shared" si="17"/>
        <v>CLASSIC FRENCH STYLE BASKET BROWN [21793]</v>
      </c>
    </row>
    <row r="1109" spans="1:9" x14ac:dyDescent="0.3">
      <c r="A1109" s="1">
        <v>21794</v>
      </c>
      <c r="B1109" t="s">
        <v>5035</v>
      </c>
      <c r="C1109" s="1">
        <v>6.75</v>
      </c>
      <c r="D1109" s="1">
        <v>17</v>
      </c>
      <c r="E1109" s="2">
        <v>33.952380952380899</v>
      </c>
      <c r="F1109" s="1">
        <v>21</v>
      </c>
      <c r="G1109" s="1">
        <v>3552.09</v>
      </c>
      <c r="H1109" s="1" t="s">
        <v>9</v>
      </c>
      <c r="I1109" t="str">
        <f t="shared" si="17"/>
        <v>CLASSIC FRENCH STYLE BASKET NATURAL [21794]</v>
      </c>
    </row>
    <row r="1110" spans="1:9" x14ac:dyDescent="0.3">
      <c r="A1110" s="1">
        <v>21795</v>
      </c>
      <c r="B1110" t="s">
        <v>5034</v>
      </c>
      <c r="C1110" s="1">
        <v>12.75</v>
      </c>
      <c r="D1110" s="1">
        <v>15</v>
      </c>
      <c r="E1110" s="1">
        <v>49</v>
      </c>
      <c r="F1110" s="1">
        <v>9</v>
      </c>
      <c r="G1110" s="2">
        <v>3734.9399999999901</v>
      </c>
      <c r="H1110" s="1" t="s">
        <v>9</v>
      </c>
      <c r="I1110" t="str">
        <f t="shared" si="17"/>
        <v>SET OF 3 BLUE STRIPE BASKET [21795]</v>
      </c>
    </row>
    <row r="1111" spans="1:9" x14ac:dyDescent="0.3">
      <c r="A1111" s="1">
        <v>21796</v>
      </c>
      <c r="B1111" t="s">
        <v>5033</v>
      </c>
      <c r="C1111" s="1">
        <v>12.75</v>
      </c>
      <c r="D1111" s="1">
        <v>11</v>
      </c>
      <c r="E1111" s="1">
        <v>36</v>
      </c>
      <c r="F1111" s="1">
        <v>9</v>
      </c>
      <c r="G1111" s="1">
        <v>2782.19</v>
      </c>
      <c r="H1111" s="1" t="s">
        <v>9</v>
      </c>
      <c r="I1111" t="str">
        <f t="shared" si="17"/>
        <v>SET OF 3 RED STRIPE BASKETS [21796]</v>
      </c>
    </row>
    <row r="1112" spans="1:9" x14ac:dyDescent="0.3">
      <c r="A1112" s="1">
        <v>21801</v>
      </c>
      <c r="B1112" t="s">
        <v>5032</v>
      </c>
      <c r="C1112" s="1">
        <v>0.42</v>
      </c>
      <c r="D1112" s="1">
        <v>36</v>
      </c>
      <c r="E1112" s="1">
        <v>169.9</v>
      </c>
      <c r="F1112" s="1">
        <v>20</v>
      </c>
      <c r="G1112" s="1">
        <v>1467.66</v>
      </c>
      <c r="H1112" s="1" t="s">
        <v>9</v>
      </c>
      <c r="I1112" t="str">
        <f t="shared" si="17"/>
        <v>CHRISTMAS TREE DECORATION WITH BELL [21801]</v>
      </c>
    </row>
    <row r="1113" spans="1:9" x14ac:dyDescent="0.3">
      <c r="A1113" s="1">
        <v>21802</v>
      </c>
      <c r="B1113" t="s">
        <v>5031</v>
      </c>
      <c r="C1113" s="1">
        <v>0.43</v>
      </c>
      <c r="D1113" s="1">
        <v>114</v>
      </c>
      <c r="E1113" s="2">
        <v>208.42857142857099</v>
      </c>
      <c r="F1113" s="1">
        <v>21</v>
      </c>
      <c r="G1113" s="1">
        <v>1917.2</v>
      </c>
      <c r="H1113" s="1" t="s">
        <v>10</v>
      </c>
      <c r="I1113" t="str">
        <f t="shared" si="17"/>
        <v>CHRISTMAS TREE HEART DECORATION [21802]</v>
      </c>
    </row>
    <row r="1114" spans="1:9" x14ac:dyDescent="0.3">
      <c r="A1114" s="1">
        <v>21803</v>
      </c>
      <c r="B1114" t="s">
        <v>5030</v>
      </c>
      <c r="C1114" s="1">
        <v>0.43</v>
      </c>
      <c r="D1114" s="1">
        <v>127</v>
      </c>
      <c r="E1114" s="1">
        <v>223.15</v>
      </c>
      <c r="F1114" s="1">
        <v>20</v>
      </c>
      <c r="G1114" s="1">
        <v>1938.96</v>
      </c>
      <c r="H1114" s="1" t="s">
        <v>10</v>
      </c>
      <c r="I1114" t="str">
        <f t="shared" si="17"/>
        <v>CHRISTMAS TREE STAR DECORATION [21803]</v>
      </c>
    </row>
    <row r="1115" spans="1:9" x14ac:dyDescent="0.3">
      <c r="A1115" s="1">
        <v>21804</v>
      </c>
      <c r="B1115" t="s">
        <v>5029</v>
      </c>
      <c r="C1115" s="1">
        <v>3.75</v>
      </c>
      <c r="D1115" s="1">
        <v>49</v>
      </c>
      <c r="E1115" s="2">
        <v>54.272727272727202</v>
      </c>
      <c r="F1115" s="1">
        <v>11</v>
      </c>
      <c r="G1115" s="1">
        <v>2240.9899999999998</v>
      </c>
      <c r="H1115" s="1" t="s">
        <v>9</v>
      </c>
      <c r="I1115" t="str">
        <f t="shared" si="17"/>
        <v>WHITE CHRISTMAS GARLAND STARS TREES [21804]</v>
      </c>
    </row>
    <row r="1116" spans="1:9" x14ac:dyDescent="0.3">
      <c r="A1116" s="1">
        <v>21805</v>
      </c>
      <c r="B1116" t="s">
        <v>5028</v>
      </c>
      <c r="C1116" s="1">
        <v>0.42</v>
      </c>
      <c r="D1116" s="1">
        <v>223</v>
      </c>
      <c r="E1116" s="2">
        <v>246.777777777777</v>
      </c>
      <c r="F1116" s="1">
        <v>9</v>
      </c>
      <c r="G1116" s="1">
        <v>957.63</v>
      </c>
      <c r="H1116" s="1" t="s">
        <v>10</v>
      </c>
      <c r="I1116" t="str">
        <f t="shared" si="17"/>
        <v>WHITE CHRISTMAS TREE DECORATION [21805]</v>
      </c>
    </row>
    <row r="1117" spans="1:9" x14ac:dyDescent="0.3">
      <c r="A1117" s="1">
        <v>21806</v>
      </c>
      <c r="B1117" t="s">
        <v>5027</v>
      </c>
      <c r="C1117" s="1">
        <v>0.44</v>
      </c>
      <c r="D1117" s="1">
        <v>166</v>
      </c>
      <c r="E1117" s="2">
        <v>246.09090909090901</v>
      </c>
      <c r="F1117" s="1">
        <v>11</v>
      </c>
      <c r="G1117" s="1">
        <v>1179.43</v>
      </c>
      <c r="H1117" s="1" t="s">
        <v>10</v>
      </c>
      <c r="I1117" t="str">
        <f t="shared" si="17"/>
        <v>WHITE CHRISTMAS HEART DECORATION [21806]</v>
      </c>
    </row>
    <row r="1118" spans="1:9" x14ac:dyDescent="0.3">
      <c r="A1118" s="1">
        <v>21807</v>
      </c>
      <c r="B1118" t="s">
        <v>5026</v>
      </c>
      <c r="C1118" s="1">
        <v>0.43</v>
      </c>
      <c r="D1118" s="1">
        <v>50</v>
      </c>
      <c r="E1118" s="2">
        <v>189.70588235294099</v>
      </c>
      <c r="F1118" s="1">
        <v>17</v>
      </c>
      <c r="G1118" s="1">
        <v>1422.45</v>
      </c>
      <c r="H1118" s="1" t="s">
        <v>9</v>
      </c>
      <c r="I1118" t="str">
        <f t="shared" si="17"/>
        <v>WHITE CHRISTMAS STAR DECORATION [21807]</v>
      </c>
    </row>
    <row r="1119" spans="1:9" x14ac:dyDescent="0.3">
      <c r="A1119" s="1">
        <v>21808</v>
      </c>
      <c r="B1119" t="s">
        <v>5025</v>
      </c>
      <c r="C1119" s="1">
        <v>3.7450000000000001</v>
      </c>
      <c r="D1119" s="1">
        <v>16.5</v>
      </c>
      <c r="E1119" s="1">
        <v>71.5</v>
      </c>
      <c r="F1119" s="1">
        <v>14</v>
      </c>
      <c r="G1119" s="1">
        <v>2715.53</v>
      </c>
      <c r="H1119" s="1" t="s">
        <v>9</v>
      </c>
      <c r="I1119" t="str">
        <f t="shared" si="17"/>
        <v>CHRISTMAS GARLAND STARS,TREES [21808]</v>
      </c>
    </row>
    <row r="1120" spans="1:9" x14ac:dyDescent="0.3">
      <c r="A1120" s="1">
        <v>21809</v>
      </c>
      <c r="B1120" t="s">
        <v>5024</v>
      </c>
      <c r="C1120" s="1">
        <v>1.25</v>
      </c>
      <c r="D1120" s="1">
        <v>54</v>
      </c>
      <c r="E1120" s="2">
        <v>177.35294117647001</v>
      </c>
      <c r="F1120" s="1">
        <v>17</v>
      </c>
      <c r="G1120" s="1">
        <v>2427.89</v>
      </c>
      <c r="H1120" s="1" t="s">
        <v>9</v>
      </c>
      <c r="I1120" t="str">
        <f t="shared" si="17"/>
        <v>CHRISTMAS HANGING TREE WITH BELL [21809]</v>
      </c>
    </row>
    <row r="1121" spans="1:9" x14ac:dyDescent="0.3">
      <c r="A1121" s="1">
        <v>21810</v>
      </c>
      <c r="B1121" t="s">
        <v>5023</v>
      </c>
      <c r="C1121" s="1">
        <v>1.25</v>
      </c>
      <c r="D1121" s="1">
        <v>118.5</v>
      </c>
      <c r="E1121" s="1">
        <v>434.9375</v>
      </c>
      <c r="F1121" s="1">
        <v>16</v>
      </c>
      <c r="G1121" s="1">
        <v>4374.41</v>
      </c>
      <c r="H1121" s="1" t="s">
        <v>10</v>
      </c>
      <c r="I1121" t="str">
        <f t="shared" si="17"/>
        <v>CHRISTMAS HANGING STAR WITH BELL [21810]</v>
      </c>
    </row>
    <row r="1122" spans="1:9" x14ac:dyDescent="0.3">
      <c r="A1122" s="1">
        <v>21811</v>
      </c>
      <c r="B1122" t="s">
        <v>5022</v>
      </c>
      <c r="C1122" s="1">
        <v>1.3</v>
      </c>
      <c r="D1122" s="1">
        <v>54</v>
      </c>
      <c r="E1122" s="1">
        <v>253.6</v>
      </c>
      <c r="F1122" s="1">
        <v>24</v>
      </c>
      <c r="G1122" s="1">
        <v>4577.18</v>
      </c>
      <c r="H1122" s="1" t="s">
        <v>9</v>
      </c>
      <c r="I1122" t="str">
        <f t="shared" si="17"/>
        <v>CHRISTMAS HANGING HEART WITH BELL [21811]</v>
      </c>
    </row>
    <row r="1123" spans="1:9" x14ac:dyDescent="0.3">
      <c r="A1123" s="1">
        <v>21812</v>
      </c>
      <c r="B1123" t="s">
        <v>5021</v>
      </c>
      <c r="C1123" s="1">
        <v>5.33</v>
      </c>
      <c r="D1123" s="1">
        <v>10</v>
      </c>
      <c r="E1123" s="2">
        <v>33.5416666666666</v>
      </c>
      <c r="F1123" s="1">
        <v>24</v>
      </c>
      <c r="G1123" s="1">
        <v>3917.49</v>
      </c>
      <c r="H1123" s="1" t="s">
        <v>9</v>
      </c>
      <c r="I1123" t="str">
        <f t="shared" si="17"/>
        <v>GARLAND WITH HEARTS AND BELLS [21812]</v>
      </c>
    </row>
    <row r="1124" spans="1:9" x14ac:dyDescent="0.3">
      <c r="A1124" s="1">
        <v>21813</v>
      </c>
      <c r="B1124" t="s">
        <v>5020</v>
      </c>
      <c r="C1124" s="1">
        <v>5.09</v>
      </c>
      <c r="D1124" s="1">
        <v>42</v>
      </c>
      <c r="E1124" s="1">
        <v>50.9375</v>
      </c>
      <c r="F1124" s="1">
        <v>16</v>
      </c>
      <c r="G1124" s="1">
        <v>3761.41</v>
      </c>
      <c r="H1124" s="1" t="s">
        <v>9</v>
      </c>
      <c r="I1124" t="str">
        <f t="shared" si="17"/>
        <v>GARLAND WITH STARS AND BELLS [21813]</v>
      </c>
    </row>
    <row r="1125" spans="1:9" x14ac:dyDescent="0.3">
      <c r="A1125" s="1">
        <v>21814</v>
      </c>
      <c r="B1125" t="s">
        <v>1070</v>
      </c>
      <c r="C1125" s="2">
        <v>1.4849999999999901</v>
      </c>
      <c r="D1125" s="1">
        <v>15.5</v>
      </c>
      <c r="E1125" s="2">
        <v>37.2222222222222</v>
      </c>
      <c r="F1125" s="1">
        <v>18</v>
      </c>
      <c r="G1125" s="1">
        <v>1016.53</v>
      </c>
      <c r="H1125" s="1" t="s">
        <v>9</v>
      </c>
      <c r="I1125" t="str">
        <f t="shared" si="17"/>
        <v>HEART T-LIGHT HOLDER [21814]</v>
      </c>
    </row>
    <row r="1126" spans="1:9" x14ac:dyDescent="0.3">
      <c r="A1126" s="1">
        <v>21815</v>
      </c>
      <c r="B1126" t="s">
        <v>5019</v>
      </c>
      <c r="C1126" s="1">
        <v>1.4550000000000001</v>
      </c>
      <c r="D1126" s="1">
        <v>19</v>
      </c>
      <c r="E1126" s="1">
        <v>42.4375</v>
      </c>
      <c r="F1126" s="1">
        <v>16</v>
      </c>
      <c r="G1126" s="1">
        <v>1060.24</v>
      </c>
      <c r="H1126" s="1" t="s">
        <v>9</v>
      </c>
      <c r="I1126" t="str">
        <f t="shared" si="17"/>
        <v>STAR  T-LIGHT HOLDER [21815]</v>
      </c>
    </row>
    <row r="1127" spans="1:9" x14ac:dyDescent="0.3">
      <c r="A1127" s="1">
        <v>21816</v>
      </c>
      <c r="B1127" t="s">
        <v>5018</v>
      </c>
      <c r="C1127" s="1">
        <v>1.45</v>
      </c>
      <c r="D1127" s="1">
        <v>18.5</v>
      </c>
      <c r="E1127" s="1">
        <v>42.2</v>
      </c>
      <c r="F1127" s="1">
        <v>10</v>
      </c>
      <c r="G1127" s="2">
        <v>637.33999999999901</v>
      </c>
      <c r="H1127" s="1" t="s">
        <v>9</v>
      </c>
      <c r="I1127" t="str">
        <f t="shared" si="17"/>
        <v>CHRISTMAS TREE T-LIGHT HOLDER [21816]</v>
      </c>
    </row>
    <row r="1128" spans="1:9" x14ac:dyDescent="0.3">
      <c r="A1128" s="1">
        <v>21817</v>
      </c>
      <c r="B1128" t="s">
        <v>5017</v>
      </c>
      <c r="C1128" s="1">
        <v>0.85</v>
      </c>
      <c r="D1128" s="1">
        <v>131</v>
      </c>
      <c r="E1128" s="1">
        <v>168.7</v>
      </c>
      <c r="F1128" s="1">
        <v>10</v>
      </c>
      <c r="G1128" s="1">
        <v>1077.19</v>
      </c>
      <c r="H1128" s="1" t="s">
        <v>10</v>
      </c>
      <c r="I1128" t="str">
        <f t="shared" si="17"/>
        <v>GLITTER CHRISTMAS TREE [21817]</v>
      </c>
    </row>
    <row r="1129" spans="1:9" x14ac:dyDescent="0.3">
      <c r="A1129" s="1">
        <v>21818</v>
      </c>
      <c r="B1129" t="s">
        <v>5016</v>
      </c>
      <c r="C1129" s="1">
        <v>0.85</v>
      </c>
      <c r="D1129" s="1">
        <v>56.5</v>
      </c>
      <c r="E1129" s="2">
        <v>190.72727272727201</v>
      </c>
      <c r="F1129" s="1">
        <v>22</v>
      </c>
      <c r="G1129" s="1">
        <v>2549.4499999999998</v>
      </c>
      <c r="H1129" s="1" t="s">
        <v>9</v>
      </c>
      <c r="I1129" t="str">
        <f t="shared" si="17"/>
        <v>GLITTER CHRISTMAS HEART [21818]</v>
      </c>
    </row>
    <row r="1130" spans="1:9" x14ac:dyDescent="0.3">
      <c r="A1130" s="1">
        <v>21819</v>
      </c>
      <c r="B1130" t="s">
        <v>5015</v>
      </c>
      <c r="C1130" s="1">
        <v>0.85</v>
      </c>
      <c r="D1130" s="1">
        <v>144</v>
      </c>
      <c r="E1130" s="2">
        <v>274.78571428571399</v>
      </c>
      <c r="F1130" s="1">
        <v>14</v>
      </c>
      <c r="G1130" s="1">
        <v>2247.14</v>
      </c>
      <c r="H1130" s="1" t="s">
        <v>10</v>
      </c>
      <c r="I1130" t="str">
        <f t="shared" si="17"/>
        <v>GLITTER CHRISTMAS STAR [21819]</v>
      </c>
    </row>
    <row r="1131" spans="1:9" x14ac:dyDescent="0.3">
      <c r="A1131" s="1">
        <v>21820</v>
      </c>
      <c r="B1131" t="s">
        <v>5014</v>
      </c>
      <c r="C1131" s="1">
        <v>3.84</v>
      </c>
      <c r="D1131" s="1">
        <v>13</v>
      </c>
      <c r="E1131" s="2">
        <v>36.136363636363598</v>
      </c>
      <c r="F1131" s="1">
        <v>22</v>
      </c>
      <c r="G1131" s="1">
        <v>3132.39</v>
      </c>
      <c r="H1131" s="1" t="s">
        <v>9</v>
      </c>
      <c r="I1131" t="str">
        <f t="shared" si="17"/>
        <v>GLITTER HEART GARLAND WITH BELLS [21820]</v>
      </c>
    </row>
    <row r="1132" spans="1:9" x14ac:dyDescent="0.3">
      <c r="A1132" s="1">
        <v>21821</v>
      </c>
      <c r="B1132" t="s">
        <v>5013</v>
      </c>
      <c r="C1132" s="1">
        <v>3.855</v>
      </c>
      <c r="D1132" s="1">
        <v>25</v>
      </c>
      <c r="E1132" s="2">
        <v>50.928571428571402</v>
      </c>
      <c r="F1132" s="1">
        <v>14</v>
      </c>
      <c r="G1132" s="1">
        <v>2866.6</v>
      </c>
      <c r="H1132" s="1" t="s">
        <v>9</v>
      </c>
      <c r="I1132" t="str">
        <f t="shared" si="17"/>
        <v>GLITTER STAR GARLAND WITH BELLS [21821]</v>
      </c>
    </row>
    <row r="1133" spans="1:9" x14ac:dyDescent="0.3">
      <c r="A1133" s="1">
        <v>21822</v>
      </c>
      <c r="B1133" t="s">
        <v>5012</v>
      </c>
      <c r="C1133" s="1">
        <v>1.95</v>
      </c>
      <c r="D1133" s="1">
        <v>69</v>
      </c>
      <c r="E1133" s="1">
        <v>101</v>
      </c>
      <c r="F1133" s="1">
        <v>10</v>
      </c>
      <c r="G1133" s="1">
        <v>1343.7</v>
      </c>
      <c r="H1133" s="1" t="s">
        <v>10</v>
      </c>
      <c r="I1133" t="str">
        <f t="shared" si="17"/>
        <v>GLITTER CHRISTMAS TREE WITH BELLS [21822]</v>
      </c>
    </row>
    <row r="1134" spans="1:9" x14ac:dyDescent="0.3">
      <c r="A1134" s="1">
        <v>21823</v>
      </c>
      <c r="B1134" t="s">
        <v>5011</v>
      </c>
      <c r="C1134" s="1">
        <v>1.45</v>
      </c>
      <c r="D1134" s="1">
        <v>53</v>
      </c>
      <c r="E1134" s="1">
        <v>145</v>
      </c>
      <c r="F1134" s="1">
        <v>17</v>
      </c>
      <c r="G1134" s="2">
        <v>2446.5499999999902</v>
      </c>
      <c r="H1134" s="1" t="s">
        <v>9</v>
      </c>
      <c r="I1134" t="str">
        <f t="shared" si="17"/>
        <v>PAINTED METAL HEART WITH HOLLY BELL [21823]</v>
      </c>
    </row>
    <row r="1135" spans="1:9" x14ac:dyDescent="0.3">
      <c r="A1135" s="1">
        <v>21824</v>
      </c>
      <c r="B1135" t="s">
        <v>5010</v>
      </c>
      <c r="C1135" s="1">
        <v>1.45</v>
      </c>
      <c r="D1135" s="1">
        <v>118</v>
      </c>
      <c r="E1135" s="1">
        <v>214</v>
      </c>
      <c r="F1135" s="1">
        <v>13</v>
      </c>
      <c r="G1135" s="1">
        <v>2351.46</v>
      </c>
      <c r="H1135" s="1" t="s">
        <v>10</v>
      </c>
      <c r="I1135" t="str">
        <f t="shared" si="17"/>
        <v>PAINTED METAL STAR WITH HOLLY BELLS [21824]</v>
      </c>
    </row>
    <row r="1136" spans="1:9" x14ac:dyDescent="0.3">
      <c r="A1136" s="1">
        <v>21825</v>
      </c>
      <c r="B1136" t="s">
        <v>5009</v>
      </c>
      <c r="C1136" s="1">
        <v>1.45</v>
      </c>
      <c r="D1136" s="1">
        <v>117.5</v>
      </c>
      <c r="E1136" s="2">
        <v>122.166666666666</v>
      </c>
      <c r="F1136" s="1">
        <v>6</v>
      </c>
      <c r="G1136" s="1">
        <v>1053.19</v>
      </c>
      <c r="H1136" s="1" t="s">
        <v>10</v>
      </c>
      <c r="I1136" t="str">
        <f t="shared" si="17"/>
        <v>PAINTED METAL TREE WITH HOLLY BELLS [21825]</v>
      </c>
    </row>
    <row r="1137" spans="1:9" x14ac:dyDescent="0.3">
      <c r="A1137" s="1">
        <v>21826</v>
      </c>
      <c r="B1137" t="s">
        <v>5008</v>
      </c>
      <c r="C1137" s="1">
        <v>1.2749999999999999</v>
      </c>
      <c r="D1137" s="1">
        <v>94</v>
      </c>
      <c r="E1137" s="1">
        <v>112.5</v>
      </c>
      <c r="F1137" s="1">
        <v>16</v>
      </c>
      <c r="G1137" s="1">
        <v>2326.87</v>
      </c>
      <c r="H1137" s="1" t="s">
        <v>10</v>
      </c>
      <c r="I1137" t="str">
        <f t="shared" si="17"/>
        <v>EIGHT PIECE DINOSAUR SET [21826]</v>
      </c>
    </row>
    <row r="1138" spans="1:9" x14ac:dyDescent="0.3">
      <c r="A1138" s="1">
        <v>21827</v>
      </c>
      <c r="B1138" t="s">
        <v>5007</v>
      </c>
      <c r="C1138" s="1">
        <v>1.25</v>
      </c>
      <c r="D1138" s="1">
        <v>52.5</v>
      </c>
      <c r="E1138" s="2">
        <v>59.642857142857103</v>
      </c>
      <c r="F1138" s="1">
        <v>14</v>
      </c>
      <c r="G1138" s="1">
        <v>1068.8900000000001</v>
      </c>
      <c r="H1138" s="1" t="s">
        <v>9</v>
      </c>
      <c r="I1138" t="str">
        <f t="shared" si="17"/>
        <v>EIGHT PIECE CREEPY CRAWLIE SET [21827]</v>
      </c>
    </row>
    <row r="1139" spans="1:9" x14ac:dyDescent="0.3">
      <c r="A1139" s="1">
        <v>21828</v>
      </c>
      <c r="B1139" t="s">
        <v>5006</v>
      </c>
      <c r="C1139" s="1">
        <v>1.27</v>
      </c>
      <c r="D1139" s="1">
        <v>24</v>
      </c>
      <c r="E1139" s="1">
        <v>44.2</v>
      </c>
      <c r="F1139" s="1">
        <v>25</v>
      </c>
      <c r="G1139" s="2">
        <v>1396.62</v>
      </c>
      <c r="H1139" s="1" t="s">
        <v>9</v>
      </c>
      <c r="I1139" t="str">
        <f t="shared" si="17"/>
        <v>EIGHT PIECE SNAKE  SET [21828]</v>
      </c>
    </row>
    <row r="1140" spans="1:9" x14ac:dyDescent="0.3">
      <c r="A1140" s="1">
        <v>21829</v>
      </c>
      <c r="B1140" t="s">
        <v>5005</v>
      </c>
      <c r="C1140" s="1">
        <v>0.21</v>
      </c>
      <c r="D1140" s="1">
        <v>692</v>
      </c>
      <c r="E1140" s="1">
        <v>653.695652173913</v>
      </c>
      <c r="F1140" s="1">
        <v>23</v>
      </c>
      <c r="G1140" s="1">
        <v>3242.18</v>
      </c>
      <c r="H1140" s="1" t="s">
        <v>10</v>
      </c>
      <c r="I1140" t="str">
        <f t="shared" si="17"/>
        <v>DINOSAUR KEYRINGS ASSORTED [21829]</v>
      </c>
    </row>
    <row r="1141" spans="1:9" x14ac:dyDescent="0.3">
      <c r="A1141" s="1">
        <v>21830</v>
      </c>
      <c r="B1141" t="s">
        <v>5004</v>
      </c>
      <c r="C1141" s="1">
        <v>0.42</v>
      </c>
      <c r="D1141" s="1">
        <v>264.5</v>
      </c>
      <c r="E1141" s="2">
        <v>319.08333333333297</v>
      </c>
      <c r="F1141" s="1">
        <v>24</v>
      </c>
      <c r="G1141" s="1">
        <v>3185.6</v>
      </c>
      <c r="H1141" s="1" t="s">
        <v>10</v>
      </c>
      <c r="I1141" t="str">
        <f t="shared" si="17"/>
        <v>ASSORTED CREEPY CRAWLIES [21830]</v>
      </c>
    </row>
    <row r="1142" spans="1:9" x14ac:dyDescent="0.3">
      <c r="A1142" s="1">
        <v>21832</v>
      </c>
      <c r="B1142" t="s">
        <v>5003</v>
      </c>
      <c r="C1142" s="1">
        <v>1.75</v>
      </c>
      <c r="D1142" s="1">
        <v>77</v>
      </c>
      <c r="E1142" s="1">
        <v>133.52000000000001</v>
      </c>
      <c r="F1142" s="1">
        <v>25</v>
      </c>
      <c r="G1142" s="1">
        <v>5836.76</v>
      </c>
      <c r="H1142" s="1" t="s">
        <v>10</v>
      </c>
      <c r="I1142" t="str">
        <f t="shared" si="17"/>
        <v>CHOCOLATE CALCULATOR [21832]</v>
      </c>
    </row>
    <row r="1143" spans="1:9" x14ac:dyDescent="0.3">
      <c r="A1143" s="1">
        <v>21833</v>
      </c>
      <c r="B1143" t="s">
        <v>5002</v>
      </c>
      <c r="C1143" s="1">
        <v>1.7</v>
      </c>
      <c r="D1143" s="1">
        <v>192</v>
      </c>
      <c r="E1143" s="1">
        <v>249.56</v>
      </c>
      <c r="F1143" s="1">
        <v>25</v>
      </c>
      <c r="G1143" s="1">
        <v>10681.67</v>
      </c>
      <c r="H1143" s="1" t="s">
        <v>10</v>
      </c>
      <c r="I1143" t="str">
        <f t="shared" si="17"/>
        <v>CAMOUFLAGE LED TORCH [21833]</v>
      </c>
    </row>
    <row r="1144" spans="1:9" x14ac:dyDescent="0.3">
      <c r="A1144" s="1">
        <v>21836</v>
      </c>
      <c r="B1144" t="s">
        <v>5001</v>
      </c>
      <c r="C1144" s="1">
        <v>3.835</v>
      </c>
      <c r="D1144" s="1">
        <v>15.5</v>
      </c>
      <c r="E1144" s="2">
        <v>17.785714285714199</v>
      </c>
      <c r="F1144" s="1">
        <v>14</v>
      </c>
      <c r="G1144" s="1">
        <v>1003.89</v>
      </c>
      <c r="H1144" s="1" t="s">
        <v>9</v>
      </c>
      <c r="I1144" t="str">
        <f t="shared" si="17"/>
        <v>GINGHAM OVEN GLOVE RED HEART [21836]</v>
      </c>
    </row>
    <row r="1145" spans="1:9" x14ac:dyDescent="0.3">
      <c r="A1145" s="1">
        <v>21837</v>
      </c>
      <c r="B1145" t="s">
        <v>5000</v>
      </c>
      <c r="C1145" s="1">
        <v>6.4050000000000002</v>
      </c>
      <c r="D1145" s="1">
        <v>40</v>
      </c>
      <c r="E1145" s="2">
        <v>40.6666666666666</v>
      </c>
      <c r="F1145" s="1">
        <v>6</v>
      </c>
      <c r="G1145" s="1">
        <v>1622.64</v>
      </c>
      <c r="H1145" s="1" t="s">
        <v>9</v>
      </c>
      <c r="I1145" t="str">
        <f t="shared" si="17"/>
        <v>CROSS STITCH ALPHABET CUSHION COVER [21837]</v>
      </c>
    </row>
    <row r="1146" spans="1:9" x14ac:dyDescent="0.3">
      <c r="A1146" s="1">
        <v>21838</v>
      </c>
      <c r="B1146" t="s">
        <v>4999</v>
      </c>
      <c r="C1146" s="1">
        <v>5.45</v>
      </c>
      <c r="D1146" s="1">
        <v>1</v>
      </c>
      <c r="E1146" s="1">
        <v>1</v>
      </c>
      <c r="F1146" s="1">
        <v>1</v>
      </c>
      <c r="G1146" s="1">
        <v>5.45</v>
      </c>
      <c r="H1146" s="1" t="s">
        <v>8</v>
      </c>
      <c r="I1146" t="str">
        <f t="shared" si="17"/>
        <v>DADDY MOUSE RED GINGHAM BOW TIE [21838]</v>
      </c>
    </row>
    <row r="1147" spans="1:9" x14ac:dyDescent="0.3">
      <c r="A1147" s="1">
        <v>21839</v>
      </c>
      <c r="B1147" t="s">
        <v>4998</v>
      </c>
      <c r="C1147" s="1">
        <v>5.45</v>
      </c>
      <c r="D1147" s="1">
        <v>15</v>
      </c>
      <c r="E1147" s="2">
        <v>15.4615384615384</v>
      </c>
      <c r="F1147" s="1">
        <v>13</v>
      </c>
      <c r="G1147" s="1">
        <v>1085.5899999999999</v>
      </c>
      <c r="H1147" s="1" t="s">
        <v>9</v>
      </c>
      <c r="I1147" t="str">
        <f t="shared" si="17"/>
        <v>MUMMY MOUSE RED GINGHAM RIBBON [21839]</v>
      </c>
    </row>
    <row r="1148" spans="1:9" x14ac:dyDescent="0.3">
      <c r="A1148" s="1">
        <v>21841</v>
      </c>
      <c r="B1148" t="s">
        <v>4997</v>
      </c>
      <c r="C1148" s="1">
        <v>4.25</v>
      </c>
      <c r="D1148" s="1">
        <v>12</v>
      </c>
      <c r="E1148" s="1">
        <v>23</v>
      </c>
      <c r="F1148" s="1">
        <v>19</v>
      </c>
      <c r="G1148" s="1">
        <v>1857.47</v>
      </c>
      <c r="H1148" s="1" t="s">
        <v>9</v>
      </c>
      <c r="I1148" t="str">
        <f t="shared" si="17"/>
        <v>BABY MOUSE RED GINGHAM DRESS [21841]</v>
      </c>
    </row>
    <row r="1149" spans="1:9" x14ac:dyDescent="0.3">
      <c r="A1149" s="1">
        <v>21842</v>
      </c>
      <c r="B1149" t="s">
        <v>4996</v>
      </c>
      <c r="C1149" s="1">
        <v>2.48</v>
      </c>
      <c r="D1149" s="1">
        <v>116</v>
      </c>
      <c r="E1149" s="1">
        <v>137.75</v>
      </c>
      <c r="F1149" s="1">
        <v>4</v>
      </c>
      <c r="G1149" s="1">
        <v>1308.74</v>
      </c>
      <c r="H1149" s="1" t="s">
        <v>10</v>
      </c>
      <c r="I1149" t="str">
        <f t="shared" si="17"/>
        <v>PINK HEART CANDY BUTTON CALCULATOR [21842]</v>
      </c>
    </row>
    <row r="1150" spans="1:9" x14ac:dyDescent="0.3">
      <c r="A1150" s="1">
        <v>21843</v>
      </c>
      <c r="B1150" t="s">
        <v>4995</v>
      </c>
      <c r="C1150" s="1">
        <v>10.95</v>
      </c>
      <c r="D1150" s="1">
        <v>173.5</v>
      </c>
      <c r="E1150" s="2">
        <v>204.266666666666</v>
      </c>
      <c r="F1150" s="1">
        <v>25</v>
      </c>
      <c r="G1150" s="1">
        <v>64918.3</v>
      </c>
      <c r="H1150" s="1" t="s">
        <v>10</v>
      </c>
      <c r="I1150" t="str">
        <f t="shared" si="17"/>
        <v>RETRO SPOT CAKE STAND [21843]</v>
      </c>
    </row>
    <row r="1151" spans="1:9" x14ac:dyDescent="0.3">
      <c r="A1151" s="1">
        <v>21844</v>
      </c>
      <c r="B1151" t="s">
        <v>4994</v>
      </c>
      <c r="C1151" s="1">
        <v>2.87</v>
      </c>
      <c r="D1151" s="1">
        <v>184</v>
      </c>
      <c r="E1151" s="2">
        <v>191.92857142857099</v>
      </c>
      <c r="F1151" s="1">
        <v>25</v>
      </c>
      <c r="G1151" s="1">
        <v>15329.44</v>
      </c>
      <c r="H1151" s="1" t="s">
        <v>10</v>
      </c>
      <c r="I1151" t="str">
        <f t="shared" si="17"/>
        <v>RETRO SPOT MUG [21844]</v>
      </c>
    </row>
    <row r="1152" spans="1:9" x14ac:dyDescent="0.3">
      <c r="A1152" s="1">
        <v>21845</v>
      </c>
      <c r="B1152" t="s">
        <v>4993</v>
      </c>
      <c r="C1152" s="1">
        <v>2.95</v>
      </c>
      <c r="D1152" s="1">
        <v>40</v>
      </c>
      <c r="E1152" s="1">
        <v>45.0625</v>
      </c>
      <c r="F1152" s="1">
        <v>16</v>
      </c>
      <c r="G1152" s="1">
        <v>2336.41</v>
      </c>
      <c r="H1152" s="1" t="s">
        <v>9</v>
      </c>
      <c r="I1152" t="str">
        <f t="shared" si="17"/>
        <v>DAIRY MAID STRIPE MUG [21845]</v>
      </c>
    </row>
    <row r="1153" spans="1:9" x14ac:dyDescent="0.3">
      <c r="A1153" s="1">
        <v>21846</v>
      </c>
      <c r="B1153" t="s">
        <v>4992</v>
      </c>
      <c r="C1153" s="1">
        <v>4.4000000000000004</v>
      </c>
      <c r="D1153" s="1">
        <v>14.5</v>
      </c>
      <c r="E1153" s="2">
        <v>66.7083333333333</v>
      </c>
      <c r="F1153" s="1">
        <v>24</v>
      </c>
      <c r="G1153" s="1">
        <v>3803.4</v>
      </c>
      <c r="H1153" s="1" t="s">
        <v>9</v>
      </c>
      <c r="I1153" t="str">
        <f t="shared" si="17"/>
        <v>PINK DIAMANTE PEN IN GIFT BOX [21846]</v>
      </c>
    </row>
    <row r="1154" spans="1:9" x14ac:dyDescent="0.3">
      <c r="A1154" s="1">
        <v>21847</v>
      </c>
      <c r="B1154" t="s">
        <v>4991</v>
      </c>
      <c r="C1154" s="1">
        <v>4.21</v>
      </c>
      <c r="D1154" s="1">
        <v>3</v>
      </c>
      <c r="E1154" s="1">
        <v>17.350000000000001</v>
      </c>
      <c r="F1154" s="1">
        <v>20</v>
      </c>
      <c r="G1154" s="1">
        <v>675.37</v>
      </c>
      <c r="H1154" s="1" t="s">
        <v>8</v>
      </c>
      <c r="I1154" t="str">
        <f t="shared" si="17"/>
        <v>GREEN  DIAMANTE PEN IN GIFT BOX [21847]</v>
      </c>
    </row>
    <row r="1155" spans="1:9" x14ac:dyDescent="0.3">
      <c r="A1155" s="1">
        <v>21849</v>
      </c>
      <c r="B1155" t="s">
        <v>4990</v>
      </c>
      <c r="C1155" s="1">
        <v>4.29</v>
      </c>
      <c r="D1155" s="1">
        <v>9</v>
      </c>
      <c r="E1155" s="2">
        <v>27.5217391304347</v>
      </c>
      <c r="F1155" s="1">
        <v>23</v>
      </c>
      <c r="G1155" s="1">
        <v>1483.51</v>
      </c>
      <c r="H1155" s="1" t="s">
        <v>8</v>
      </c>
      <c r="I1155" t="str">
        <f t="shared" ref="I1155:I1218" si="18">B1155&amp;" ["&amp;A1155&amp;"]"</f>
        <v>SILVER DIAMANTE PEN IN GIFT BOX [21849]</v>
      </c>
    </row>
    <row r="1156" spans="1:9" x14ac:dyDescent="0.3">
      <c r="A1156" s="1">
        <v>21850</v>
      </c>
      <c r="B1156" t="s">
        <v>4989</v>
      </c>
      <c r="C1156" s="1">
        <v>4.58</v>
      </c>
      <c r="D1156" s="1">
        <v>5</v>
      </c>
      <c r="E1156" s="2">
        <v>19.434782608695599</v>
      </c>
      <c r="F1156" s="1">
        <v>23</v>
      </c>
      <c r="G1156" s="1">
        <v>1072.98</v>
      </c>
      <c r="H1156" s="1" t="s">
        <v>8</v>
      </c>
      <c r="I1156" t="str">
        <f t="shared" si="18"/>
        <v>BLUE  DIAMANTE PEN IN GIFT BOX [21850]</v>
      </c>
    </row>
    <row r="1157" spans="1:9" x14ac:dyDescent="0.3">
      <c r="A1157" s="1">
        <v>21851</v>
      </c>
      <c r="B1157" t="s">
        <v>4988</v>
      </c>
      <c r="C1157" s="1">
        <v>4.4000000000000004</v>
      </c>
      <c r="D1157" s="1">
        <v>7</v>
      </c>
      <c r="E1157" s="1">
        <v>25.12</v>
      </c>
      <c r="F1157" s="1">
        <v>25</v>
      </c>
      <c r="G1157" s="1">
        <v>1473.56</v>
      </c>
      <c r="H1157" s="1" t="s">
        <v>8</v>
      </c>
      <c r="I1157" t="str">
        <f t="shared" si="18"/>
        <v>LILAC DIAMANTE PEN IN GIFT BOX [21851]</v>
      </c>
    </row>
    <row r="1158" spans="1:9" x14ac:dyDescent="0.3">
      <c r="A1158" s="1">
        <v>21852</v>
      </c>
      <c r="B1158" t="s">
        <v>4987</v>
      </c>
      <c r="C1158" s="1">
        <v>6.95</v>
      </c>
      <c r="D1158" s="1">
        <v>2</v>
      </c>
      <c r="E1158" s="1">
        <v>2</v>
      </c>
      <c r="F1158" s="1">
        <v>1</v>
      </c>
      <c r="G1158" s="1">
        <v>13.9</v>
      </c>
      <c r="H1158" s="1" t="s">
        <v>8</v>
      </c>
      <c r="I1158" t="str">
        <f t="shared" si="18"/>
        <v>EMPIRE TEDDY [21852]</v>
      </c>
    </row>
    <row r="1159" spans="1:9" x14ac:dyDescent="0.3">
      <c r="A1159" s="1">
        <v>21853</v>
      </c>
      <c r="B1159" t="s">
        <v>4986</v>
      </c>
      <c r="C1159" s="1">
        <v>5.1150000000000002</v>
      </c>
      <c r="D1159" s="1">
        <v>1.5</v>
      </c>
      <c r="E1159" s="1">
        <v>1.5</v>
      </c>
      <c r="F1159" s="1">
        <v>2</v>
      </c>
      <c r="G1159" s="2">
        <v>15.399999999999901</v>
      </c>
      <c r="H1159" s="1" t="s">
        <v>8</v>
      </c>
      <c r="I1159" t="str">
        <f t="shared" si="18"/>
        <v>GUMBALL CUSTOM CARS TOP TRUMPS GAME [21853]</v>
      </c>
    </row>
    <row r="1160" spans="1:9" x14ac:dyDescent="0.3">
      <c r="A1160" s="1">
        <v>21854</v>
      </c>
      <c r="B1160" t="s">
        <v>4985</v>
      </c>
      <c r="C1160" s="1">
        <v>5.17</v>
      </c>
      <c r="D1160" s="1">
        <v>1</v>
      </c>
      <c r="E1160" s="1">
        <v>1</v>
      </c>
      <c r="F1160" s="1">
        <v>1</v>
      </c>
      <c r="G1160" s="1">
        <v>5.17</v>
      </c>
      <c r="H1160" s="1" t="s">
        <v>8</v>
      </c>
      <c r="I1160" t="str">
        <f t="shared" si="18"/>
        <v>EURO FOOTBALL STARS TOP TRUMPS GAME [21854]</v>
      </c>
    </row>
    <row r="1161" spans="1:9" x14ac:dyDescent="0.3">
      <c r="A1161" s="1">
        <v>21857</v>
      </c>
      <c r="B1161" t="s">
        <v>4984</v>
      </c>
      <c r="C1161" s="1">
        <v>5.12</v>
      </c>
      <c r="D1161" s="1">
        <v>2</v>
      </c>
      <c r="E1161" s="1">
        <v>2</v>
      </c>
      <c r="F1161" s="1">
        <v>1</v>
      </c>
      <c r="G1161" s="1">
        <v>10.23</v>
      </c>
      <c r="H1161" s="1" t="s">
        <v>8</v>
      </c>
      <c r="I1161" t="str">
        <f t="shared" si="18"/>
        <v>STAR WARS TOP TRUMPS GAME [21857]</v>
      </c>
    </row>
    <row r="1162" spans="1:9" x14ac:dyDescent="0.3">
      <c r="A1162" s="1">
        <v>21858</v>
      </c>
      <c r="B1162" t="s">
        <v>4983</v>
      </c>
      <c r="C1162" s="1">
        <v>5.1150000000000002</v>
      </c>
      <c r="D1162" s="1">
        <v>1</v>
      </c>
      <c r="E1162" s="1">
        <v>1</v>
      </c>
      <c r="F1162" s="1">
        <v>2</v>
      </c>
      <c r="G1162" s="1">
        <v>10.23</v>
      </c>
      <c r="H1162" s="1" t="s">
        <v>8</v>
      </c>
      <c r="I1162" t="str">
        <f t="shared" si="18"/>
        <v>HIGH SCHOOL MUSICAL 3 TOP TRUMPS [21858]</v>
      </c>
    </row>
    <row r="1163" spans="1:9" x14ac:dyDescent="0.3">
      <c r="A1163" s="1">
        <v>21860</v>
      </c>
      <c r="B1163" t="s">
        <v>4982</v>
      </c>
      <c r="C1163" s="1">
        <v>5.17</v>
      </c>
      <c r="D1163" s="1">
        <v>1</v>
      </c>
      <c r="E1163" s="1">
        <v>1</v>
      </c>
      <c r="F1163" s="1">
        <v>1</v>
      </c>
      <c r="G1163" s="1">
        <v>5.17</v>
      </c>
      <c r="H1163" s="1" t="s">
        <v>8</v>
      </c>
      <c r="I1163" t="str">
        <f t="shared" si="18"/>
        <v>DR WHO TOP TRUMPS GAME [21860]</v>
      </c>
    </row>
    <row r="1164" spans="1:9" x14ac:dyDescent="0.3">
      <c r="A1164" s="1">
        <v>21864</v>
      </c>
      <c r="B1164" t="s">
        <v>4981</v>
      </c>
      <c r="C1164" s="1">
        <v>2.38</v>
      </c>
      <c r="D1164" s="1">
        <v>60</v>
      </c>
      <c r="E1164" s="1">
        <v>74.12</v>
      </c>
      <c r="F1164" s="1">
        <v>25</v>
      </c>
      <c r="G1164" s="1">
        <v>4431.54</v>
      </c>
      <c r="H1164" s="1" t="s">
        <v>9</v>
      </c>
      <c r="I1164" t="str">
        <f t="shared" si="18"/>
        <v>UNION JACK FLAG PASSPORT COVER [21864]</v>
      </c>
    </row>
    <row r="1165" spans="1:9" x14ac:dyDescent="0.3">
      <c r="A1165" s="1">
        <v>21865</v>
      </c>
      <c r="B1165" t="s">
        <v>4980</v>
      </c>
      <c r="C1165" s="1">
        <v>2.29</v>
      </c>
      <c r="D1165" s="1">
        <v>30</v>
      </c>
      <c r="E1165" s="1">
        <v>35.840000000000003</v>
      </c>
      <c r="F1165" s="1">
        <v>25</v>
      </c>
      <c r="G1165" s="1">
        <v>2085.64</v>
      </c>
      <c r="H1165" s="1" t="s">
        <v>9</v>
      </c>
      <c r="I1165" t="str">
        <f t="shared" si="18"/>
        <v>PINK UNION JACK  PASSPORT COVER [21865]</v>
      </c>
    </row>
    <row r="1166" spans="1:9" x14ac:dyDescent="0.3">
      <c r="A1166" s="1">
        <v>21866</v>
      </c>
      <c r="B1166" t="s">
        <v>4979</v>
      </c>
      <c r="C1166" s="1">
        <v>1.44</v>
      </c>
      <c r="D1166" s="1">
        <v>69</v>
      </c>
      <c r="E1166" s="1">
        <v>86.72</v>
      </c>
      <c r="F1166" s="1">
        <v>25</v>
      </c>
      <c r="G1166" s="1">
        <v>3591.5</v>
      </c>
      <c r="H1166" s="1" t="s">
        <v>10</v>
      </c>
      <c r="I1166" t="str">
        <f t="shared" si="18"/>
        <v>UNION JACK FLAG LUGGAGE TAG [21866]</v>
      </c>
    </row>
    <row r="1167" spans="1:9" x14ac:dyDescent="0.3">
      <c r="A1167" s="1">
        <v>21867</v>
      </c>
      <c r="B1167" t="s">
        <v>4978</v>
      </c>
      <c r="C1167" s="1">
        <v>1.4</v>
      </c>
      <c r="D1167" s="1">
        <v>37</v>
      </c>
      <c r="E1167" s="1">
        <v>45.76</v>
      </c>
      <c r="F1167" s="1">
        <v>25</v>
      </c>
      <c r="G1167" s="1">
        <v>1562.87</v>
      </c>
      <c r="H1167" s="1" t="s">
        <v>9</v>
      </c>
      <c r="I1167" t="str">
        <f t="shared" si="18"/>
        <v>PINK UNION JACK  LUGGAGE TAG [21867]</v>
      </c>
    </row>
    <row r="1168" spans="1:9" x14ac:dyDescent="0.3">
      <c r="A1168" s="1">
        <v>21868</v>
      </c>
      <c r="B1168" t="s">
        <v>4977</v>
      </c>
      <c r="C1168" s="1">
        <v>1.26</v>
      </c>
      <c r="D1168" s="1">
        <v>353</v>
      </c>
      <c r="E1168" s="2">
        <v>431.28571428571399</v>
      </c>
      <c r="F1168" s="1">
        <v>21</v>
      </c>
      <c r="G1168" s="1">
        <v>11104.42</v>
      </c>
      <c r="H1168" s="1" t="s">
        <v>10</v>
      </c>
      <c r="I1168" t="str">
        <f t="shared" si="18"/>
        <v>POTTING SHED TEA MUG [21868]</v>
      </c>
    </row>
    <row r="1169" spans="1:9" x14ac:dyDescent="0.3">
      <c r="A1169" s="1">
        <v>21869</v>
      </c>
      <c r="B1169" t="s">
        <v>4976</v>
      </c>
      <c r="C1169" s="1">
        <v>1.17</v>
      </c>
      <c r="D1169" s="1">
        <v>216</v>
      </c>
      <c r="E1169" s="2">
        <v>210.666666666666</v>
      </c>
      <c r="F1169" s="1">
        <v>6</v>
      </c>
      <c r="G1169" s="1">
        <v>1469.58</v>
      </c>
      <c r="H1169" s="1" t="s">
        <v>10</v>
      </c>
      <c r="I1169" t="str">
        <f t="shared" si="18"/>
        <v>POTTING SHED COFFEE MUG [21869]</v>
      </c>
    </row>
    <row r="1170" spans="1:9" x14ac:dyDescent="0.3">
      <c r="A1170" s="1">
        <v>21870</v>
      </c>
      <c r="B1170" t="s">
        <v>4975</v>
      </c>
      <c r="C1170" s="1">
        <v>1.27</v>
      </c>
      <c r="D1170" s="1">
        <v>328</v>
      </c>
      <c r="E1170" s="2">
        <v>320.052631578947</v>
      </c>
      <c r="F1170" s="1">
        <v>19</v>
      </c>
      <c r="G1170" s="1">
        <v>7620.91</v>
      </c>
      <c r="H1170" s="1" t="s">
        <v>10</v>
      </c>
      <c r="I1170" t="str">
        <f t="shared" si="18"/>
        <v>I CAN ONLY PLEASE ONE PERSON MUG [21870]</v>
      </c>
    </row>
    <row r="1171" spans="1:9" x14ac:dyDescent="0.3">
      <c r="A1171" s="1">
        <v>21871</v>
      </c>
      <c r="B1171" t="s">
        <v>4974</v>
      </c>
      <c r="C1171" s="1">
        <v>1.23</v>
      </c>
      <c r="D1171" s="1">
        <v>333</v>
      </c>
      <c r="E1171" s="1">
        <v>459.68</v>
      </c>
      <c r="F1171" s="1">
        <v>25</v>
      </c>
      <c r="G1171" s="1">
        <v>13654.89</v>
      </c>
      <c r="H1171" s="1" t="s">
        <v>10</v>
      </c>
      <c r="I1171" t="str">
        <f t="shared" si="18"/>
        <v>SAVE THE PLANET MUG [21871]</v>
      </c>
    </row>
    <row r="1172" spans="1:9" x14ac:dyDescent="0.3">
      <c r="A1172" s="1">
        <v>21872</v>
      </c>
      <c r="B1172" t="s">
        <v>4973</v>
      </c>
      <c r="C1172" s="1">
        <v>1.25</v>
      </c>
      <c r="D1172" s="1">
        <v>105</v>
      </c>
      <c r="E1172" s="1">
        <v>203.68</v>
      </c>
      <c r="F1172" s="1">
        <v>25</v>
      </c>
      <c r="G1172" s="1">
        <v>5163.8</v>
      </c>
      <c r="H1172" s="1" t="s">
        <v>10</v>
      </c>
      <c r="I1172" t="str">
        <f t="shared" si="18"/>
        <v>GLAMOROUS  MUG [21872]</v>
      </c>
    </row>
    <row r="1173" spans="1:9" x14ac:dyDescent="0.3">
      <c r="A1173" s="1">
        <v>21873</v>
      </c>
      <c r="B1173" t="s">
        <v>4972</v>
      </c>
      <c r="C1173" s="1">
        <v>1.31</v>
      </c>
      <c r="D1173" s="1">
        <v>34</v>
      </c>
      <c r="E1173" s="1">
        <v>80.400000000000006</v>
      </c>
      <c r="F1173" s="1">
        <v>25</v>
      </c>
      <c r="G1173" s="2">
        <v>2360.0099999999902</v>
      </c>
      <c r="H1173" s="1" t="s">
        <v>9</v>
      </c>
      <c r="I1173" t="str">
        <f t="shared" si="18"/>
        <v>IF YOU CAN'T STAND THE HEAT MUG [21873]</v>
      </c>
    </row>
    <row r="1174" spans="1:9" x14ac:dyDescent="0.3">
      <c r="A1174" s="1">
        <v>21874</v>
      </c>
      <c r="B1174" t="s">
        <v>4971</v>
      </c>
      <c r="C1174" s="1">
        <v>1.29</v>
      </c>
      <c r="D1174" s="1">
        <v>185</v>
      </c>
      <c r="E1174" s="1">
        <v>253.28</v>
      </c>
      <c r="F1174" s="1">
        <v>25</v>
      </c>
      <c r="G1174" s="1">
        <v>8209.17</v>
      </c>
      <c r="H1174" s="1" t="s">
        <v>10</v>
      </c>
      <c r="I1174" t="str">
        <f t="shared" si="18"/>
        <v>GIN AND TONIC MUG [21874]</v>
      </c>
    </row>
    <row r="1175" spans="1:9" x14ac:dyDescent="0.3">
      <c r="A1175" s="1">
        <v>21875</v>
      </c>
      <c r="B1175" t="s">
        <v>4970</v>
      </c>
      <c r="C1175" s="1">
        <v>1.29</v>
      </c>
      <c r="D1175" s="1">
        <v>133</v>
      </c>
      <c r="E1175" s="1">
        <v>272.72000000000003</v>
      </c>
      <c r="F1175" s="1">
        <v>25</v>
      </c>
      <c r="G1175" s="1">
        <v>7882.08</v>
      </c>
      <c r="H1175" s="1" t="s">
        <v>10</v>
      </c>
      <c r="I1175" t="str">
        <f t="shared" si="18"/>
        <v>KINGS CHOICE MUG [21875]</v>
      </c>
    </row>
    <row r="1176" spans="1:9" x14ac:dyDescent="0.3">
      <c r="A1176" s="1">
        <v>21876</v>
      </c>
      <c r="B1176" t="s">
        <v>4969</v>
      </c>
      <c r="C1176" s="1">
        <v>1.37</v>
      </c>
      <c r="D1176" s="1">
        <v>159</v>
      </c>
      <c r="E1176" s="1">
        <v>226.52</v>
      </c>
      <c r="F1176" s="1">
        <v>25</v>
      </c>
      <c r="G1176" s="1">
        <v>7351.25</v>
      </c>
      <c r="H1176" s="1" t="s">
        <v>10</v>
      </c>
      <c r="I1176" t="str">
        <f t="shared" si="18"/>
        <v>POTTERING MUG [21876]</v>
      </c>
    </row>
    <row r="1177" spans="1:9" x14ac:dyDescent="0.3">
      <c r="A1177" s="1">
        <v>21877</v>
      </c>
      <c r="B1177" t="s">
        <v>4968</v>
      </c>
      <c r="C1177" s="1">
        <v>1.21</v>
      </c>
      <c r="D1177" s="1">
        <v>393</v>
      </c>
      <c r="E1177" s="1">
        <v>562.16</v>
      </c>
      <c r="F1177" s="1">
        <v>25</v>
      </c>
      <c r="G1177" s="1">
        <v>15954.75</v>
      </c>
      <c r="H1177" s="1" t="s">
        <v>10</v>
      </c>
      <c r="I1177" t="str">
        <f t="shared" si="18"/>
        <v>HOME SWEET HOME MUG [21877]</v>
      </c>
    </row>
    <row r="1178" spans="1:9" x14ac:dyDescent="0.3">
      <c r="A1178" s="1">
        <v>21878</v>
      </c>
      <c r="B1178" t="s">
        <v>4967</v>
      </c>
      <c r="C1178" s="1">
        <v>0.89</v>
      </c>
      <c r="D1178" s="1">
        <v>107.5</v>
      </c>
      <c r="E1178" s="2">
        <v>253.90909090909</v>
      </c>
      <c r="F1178" s="1">
        <v>22</v>
      </c>
      <c r="G1178" s="2">
        <v>4586.4799999999996</v>
      </c>
      <c r="H1178" s="1" t="s">
        <v>10</v>
      </c>
      <c r="I1178" t="str">
        <f t="shared" si="18"/>
        <v>PACK OF 6 SANDCASTLE FLAGS ASSORTED [21878]</v>
      </c>
    </row>
    <row r="1179" spans="1:9" x14ac:dyDescent="0.3">
      <c r="A1179" s="1">
        <v>21879</v>
      </c>
      <c r="B1179" t="s">
        <v>4966</v>
      </c>
      <c r="C1179" s="1">
        <v>0.67</v>
      </c>
      <c r="D1179" s="1">
        <v>24</v>
      </c>
      <c r="E1179" s="2">
        <v>68.043478260869506</v>
      </c>
      <c r="F1179" s="1">
        <v>23</v>
      </c>
      <c r="G1179" s="1">
        <v>661.52</v>
      </c>
      <c r="H1179" s="1" t="s">
        <v>9</v>
      </c>
      <c r="I1179" t="str">
        <f t="shared" si="18"/>
        <v>HEARTS GIFT TAPE [21879]</v>
      </c>
    </row>
    <row r="1180" spans="1:9" x14ac:dyDescent="0.3">
      <c r="A1180" s="1">
        <v>21880</v>
      </c>
      <c r="B1180" t="s">
        <v>4965</v>
      </c>
      <c r="C1180" s="1">
        <v>0.63500000000000001</v>
      </c>
      <c r="D1180" s="1">
        <v>62</v>
      </c>
      <c r="E1180" s="1">
        <v>95.5</v>
      </c>
      <c r="F1180" s="1">
        <v>25</v>
      </c>
      <c r="G1180" s="1">
        <v>1289.83</v>
      </c>
      <c r="H1180" s="1" t="s">
        <v>10</v>
      </c>
      <c r="I1180" t="str">
        <f t="shared" si="18"/>
        <v>RED AND WHITE SPOT TAPE [21880]</v>
      </c>
    </row>
    <row r="1181" spans="1:9" x14ac:dyDescent="0.3">
      <c r="A1181" s="1">
        <v>21881</v>
      </c>
      <c r="B1181" t="s">
        <v>4964</v>
      </c>
      <c r="C1181" s="1">
        <v>0.69</v>
      </c>
      <c r="D1181" s="1">
        <v>26</v>
      </c>
      <c r="E1181" s="2">
        <v>57.826086956521699</v>
      </c>
      <c r="F1181" s="1">
        <v>23</v>
      </c>
      <c r="G1181" s="1">
        <v>551.66</v>
      </c>
      <c r="H1181" s="1" t="s">
        <v>9</v>
      </c>
      <c r="I1181" t="str">
        <f t="shared" si="18"/>
        <v>CUTE CATS TAPE [21881]</v>
      </c>
    </row>
    <row r="1182" spans="1:9" x14ac:dyDescent="0.3">
      <c r="A1182" s="1">
        <v>21882</v>
      </c>
      <c r="B1182" t="s">
        <v>4963</v>
      </c>
      <c r="C1182" s="1">
        <v>0.67</v>
      </c>
      <c r="D1182" s="1">
        <v>28.5</v>
      </c>
      <c r="E1182" s="1">
        <v>52.1</v>
      </c>
      <c r="F1182" s="1">
        <v>20</v>
      </c>
      <c r="G1182" s="1">
        <v>483.02</v>
      </c>
      <c r="H1182" s="1" t="s">
        <v>9</v>
      </c>
      <c r="I1182" t="str">
        <f t="shared" si="18"/>
        <v>SKULLS TAPE [21882]</v>
      </c>
    </row>
    <row r="1183" spans="1:9" x14ac:dyDescent="0.3">
      <c r="A1183" s="1">
        <v>21883</v>
      </c>
      <c r="B1183" t="s">
        <v>4962</v>
      </c>
      <c r="C1183" s="1">
        <v>0.67</v>
      </c>
      <c r="D1183" s="1">
        <v>39</v>
      </c>
      <c r="E1183" s="1">
        <v>93.92</v>
      </c>
      <c r="F1183" s="1">
        <v>25</v>
      </c>
      <c r="G1183" s="1">
        <v>1199.48</v>
      </c>
      <c r="H1183" s="1" t="s">
        <v>9</v>
      </c>
      <c r="I1183" t="str">
        <f t="shared" si="18"/>
        <v>STARS GIFT TAPE [21883]</v>
      </c>
    </row>
    <row r="1184" spans="1:9" x14ac:dyDescent="0.3">
      <c r="A1184" s="1">
        <v>21884</v>
      </c>
      <c r="B1184" t="s">
        <v>4961</v>
      </c>
      <c r="C1184" s="1">
        <v>0.88</v>
      </c>
      <c r="D1184" s="1">
        <v>19.5</v>
      </c>
      <c r="E1184" s="1">
        <v>47.625</v>
      </c>
      <c r="F1184" s="1">
        <v>24</v>
      </c>
      <c r="G1184" s="2">
        <v>592.93999999999903</v>
      </c>
      <c r="H1184" s="1" t="s">
        <v>9</v>
      </c>
      <c r="I1184" t="str">
        <f t="shared" si="18"/>
        <v>CAKES AND BOWS GIFT  TAPE [21884]</v>
      </c>
    </row>
    <row r="1185" spans="1:9" x14ac:dyDescent="0.3">
      <c r="A1185" s="1">
        <v>21888</v>
      </c>
      <c r="B1185" t="s">
        <v>4960</v>
      </c>
      <c r="C1185" s="1">
        <v>3.94</v>
      </c>
      <c r="D1185" s="1">
        <v>118</v>
      </c>
      <c r="E1185" s="1">
        <v>140.80000000000001</v>
      </c>
      <c r="F1185" s="1">
        <v>25</v>
      </c>
      <c r="G1185" s="1">
        <v>13862.17</v>
      </c>
      <c r="H1185" s="1" t="s">
        <v>10</v>
      </c>
      <c r="I1185" t="str">
        <f t="shared" si="18"/>
        <v>BINGO SET [21888]</v>
      </c>
    </row>
    <row r="1186" spans="1:9" x14ac:dyDescent="0.3">
      <c r="A1186" s="1">
        <v>21889</v>
      </c>
      <c r="B1186" t="s">
        <v>4959</v>
      </c>
      <c r="C1186" s="1">
        <v>1.29</v>
      </c>
      <c r="D1186" s="1">
        <v>421</v>
      </c>
      <c r="E1186" s="1">
        <v>512.20000000000005</v>
      </c>
      <c r="F1186" s="1">
        <v>25</v>
      </c>
      <c r="G1186" s="1">
        <v>17095.66</v>
      </c>
      <c r="H1186" s="1" t="s">
        <v>10</v>
      </c>
      <c r="I1186" t="str">
        <f t="shared" si="18"/>
        <v>WOODEN BOX OF DOMINOES [21889]</v>
      </c>
    </row>
    <row r="1187" spans="1:9" x14ac:dyDescent="0.3">
      <c r="A1187" s="1">
        <v>21890</v>
      </c>
      <c r="B1187" t="s">
        <v>4958</v>
      </c>
      <c r="C1187" s="1">
        <v>3.19</v>
      </c>
      <c r="D1187" s="1">
        <v>92</v>
      </c>
      <c r="E1187" s="1">
        <v>139.56</v>
      </c>
      <c r="F1187" s="1">
        <v>25</v>
      </c>
      <c r="G1187" s="1">
        <v>10451.6</v>
      </c>
      <c r="H1187" s="1" t="s">
        <v>10</v>
      </c>
      <c r="I1187" t="str">
        <f t="shared" si="18"/>
        <v>S/6 WOODEN SKITTLES IN COTTON BAG [21890]</v>
      </c>
    </row>
    <row r="1188" spans="1:9" x14ac:dyDescent="0.3">
      <c r="A1188" s="1">
        <v>21891</v>
      </c>
      <c r="B1188" t="s">
        <v>4957</v>
      </c>
      <c r="C1188" s="1">
        <v>1.3</v>
      </c>
      <c r="D1188" s="1">
        <v>434</v>
      </c>
      <c r="E1188" s="1">
        <v>485.68</v>
      </c>
      <c r="F1188" s="1">
        <v>25</v>
      </c>
      <c r="G1188" s="1">
        <v>15547.75</v>
      </c>
      <c r="H1188" s="1" t="s">
        <v>10</v>
      </c>
      <c r="I1188" t="str">
        <f t="shared" si="18"/>
        <v>TRADITIONAL WOODEN SKIPPING ROPE [21891]</v>
      </c>
    </row>
    <row r="1189" spans="1:9" x14ac:dyDescent="0.3">
      <c r="A1189" s="1">
        <v>21892</v>
      </c>
      <c r="B1189" t="s">
        <v>4956</v>
      </c>
      <c r="C1189" s="1">
        <v>1.31</v>
      </c>
      <c r="D1189" s="1">
        <v>230</v>
      </c>
      <c r="E1189" s="1">
        <v>313.04000000000002</v>
      </c>
      <c r="F1189" s="1">
        <v>25</v>
      </c>
      <c r="G1189" s="1">
        <v>10151.280000000001</v>
      </c>
      <c r="H1189" s="1" t="s">
        <v>10</v>
      </c>
      <c r="I1189" t="str">
        <f t="shared" si="18"/>
        <v>TRADITIONAL WOODEN CATCH CUP GAME [21892]</v>
      </c>
    </row>
    <row r="1190" spans="1:9" x14ac:dyDescent="0.3">
      <c r="A1190" s="1">
        <v>21893</v>
      </c>
      <c r="B1190" t="s">
        <v>4955</v>
      </c>
      <c r="C1190" s="1">
        <v>4.25</v>
      </c>
      <c r="D1190" s="1">
        <v>36</v>
      </c>
      <c r="E1190" s="2">
        <v>57.3333333333333</v>
      </c>
      <c r="F1190" s="1">
        <v>3</v>
      </c>
      <c r="G1190" s="1">
        <v>587.79999999999995</v>
      </c>
      <c r="H1190" s="1" t="s">
        <v>9</v>
      </c>
      <c r="I1190" t="str">
        <f t="shared" si="18"/>
        <v>POTTING SHED SEED TIN [21893]</v>
      </c>
    </row>
    <row r="1191" spans="1:9" x14ac:dyDescent="0.3">
      <c r="A1191" s="1">
        <v>21894</v>
      </c>
      <c r="B1191" t="s">
        <v>4954</v>
      </c>
      <c r="C1191" s="1">
        <v>1.36</v>
      </c>
      <c r="D1191" s="1">
        <v>42</v>
      </c>
      <c r="E1191" s="1">
        <v>52.8</v>
      </c>
      <c r="F1191" s="1">
        <v>25</v>
      </c>
      <c r="G1191" s="1">
        <v>1836.14</v>
      </c>
      <c r="H1191" s="1" t="s">
        <v>9</v>
      </c>
      <c r="I1191" t="str">
        <f t="shared" si="18"/>
        <v>POTTING SHED SEED ENVELOPES [21894]</v>
      </c>
    </row>
    <row r="1192" spans="1:9" x14ac:dyDescent="0.3">
      <c r="A1192" s="1">
        <v>21895</v>
      </c>
      <c r="B1192" t="s">
        <v>4953</v>
      </c>
      <c r="C1192" s="1">
        <v>4.25</v>
      </c>
      <c r="D1192" s="1">
        <v>19.5</v>
      </c>
      <c r="E1192" s="1">
        <v>46.25</v>
      </c>
      <c r="F1192" s="1">
        <v>12</v>
      </c>
      <c r="G1192" s="1">
        <v>1718.63</v>
      </c>
      <c r="H1192" s="1" t="s">
        <v>9</v>
      </c>
      <c r="I1192" t="str">
        <f t="shared" si="18"/>
        <v>POTTING SHED SOW 'N' GROW SET [21895]</v>
      </c>
    </row>
    <row r="1193" spans="1:9" x14ac:dyDescent="0.3">
      <c r="A1193" s="1">
        <v>21896</v>
      </c>
      <c r="B1193" t="s">
        <v>4952</v>
      </c>
      <c r="C1193" s="1">
        <v>2.17</v>
      </c>
      <c r="D1193" s="1">
        <v>50</v>
      </c>
      <c r="E1193" s="1">
        <v>95.48</v>
      </c>
      <c r="F1193" s="1">
        <v>25</v>
      </c>
      <c r="G1193" s="1">
        <v>4944.04</v>
      </c>
      <c r="H1193" s="1" t="s">
        <v>9</v>
      </c>
      <c r="I1193" t="str">
        <f t="shared" si="18"/>
        <v>POTTING SHED TWINE [21896]</v>
      </c>
    </row>
    <row r="1194" spans="1:9" x14ac:dyDescent="0.3">
      <c r="A1194" s="1">
        <v>21897</v>
      </c>
      <c r="B1194" t="s">
        <v>4951</v>
      </c>
      <c r="C1194" s="1">
        <v>2.95</v>
      </c>
      <c r="D1194" s="1">
        <v>29</v>
      </c>
      <c r="E1194" s="2">
        <v>57.733333333333299</v>
      </c>
      <c r="F1194" s="1">
        <v>15</v>
      </c>
      <c r="G1194" s="1">
        <v>2641.36</v>
      </c>
      <c r="H1194" s="1" t="s">
        <v>9</v>
      </c>
      <c r="I1194" t="str">
        <f t="shared" si="18"/>
        <v>POTTING SHED CANDLE CITRONELLA [21897]</v>
      </c>
    </row>
    <row r="1195" spans="1:9" x14ac:dyDescent="0.3">
      <c r="A1195" s="1">
        <v>21898</v>
      </c>
      <c r="B1195" t="s">
        <v>4950</v>
      </c>
      <c r="C1195" s="1">
        <v>2.95</v>
      </c>
      <c r="D1195" s="1">
        <v>34</v>
      </c>
      <c r="E1195" s="2">
        <v>55.133333333333297</v>
      </c>
      <c r="F1195" s="1">
        <v>15</v>
      </c>
      <c r="G1195" s="1">
        <v>2538.81</v>
      </c>
      <c r="H1195" s="1" t="s">
        <v>9</v>
      </c>
      <c r="I1195" t="str">
        <f t="shared" si="18"/>
        <v>POTTING SHED ROSE CANDLE [21898]</v>
      </c>
    </row>
    <row r="1196" spans="1:9" x14ac:dyDescent="0.3">
      <c r="A1196" s="1">
        <v>21899</v>
      </c>
      <c r="B1196" t="s">
        <v>4949</v>
      </c>
      <c r="C1196" s="1">
        <v>0.66</v>
      </c>
      <c r="D1196" s="1">
        <v>198.5</v>
      </c>
      <c r="E1196" s="2">
        <v>256.692307692307</v>
      </c>
      <c r="F1196" s="1">
        <v>25</v>
      </c>
      <c r="G1196" s="1">
        <v>4319.21</v>
      </c>
      <c r="H1196" s="1" t="s">
        <v>10</v>
      </c>
      <c r="I1196" t="str">
        <f t="shared" si="18"/>
        <v>KEY FOB , GARAGE DESIGN [21899]</v>
      </c>
    </row>
    <row r="1197" spans="1:9" x14ac:dyDescent="0.3">
      <c r="A1197" s="1">
        <v>21900</v>
      </c>
      <c r="B1197" t="s">
        <v>4948</v>
      </c>
      <c r="C1197" s="1">
        <v>0.68</v>
      </c>
      <c r="D1197" s="1">
        <v>285</v>
      </c>
      <c r="E1197" s="1">
        <v>332.92</v>
      </c>
      <c r="F1197" s="1">
        <v>25</v>
      </c>
      <c r="G1197" s="1">
        <v>5529.14</v>
      </c>
      <c r="H1197" s="1" t="s">
        <v>10</v>
      </c>
      <c r="I1197" t="str">
        <f t="shared" si="18"/>
        <v>KEY FOB , SHED [21900]</v>
      </c>
    </row>
    <row r="1198" spans="1:9" x14ac:dyDescent="0.3">
      <c r="A1198" s="1">
        <v>21901</v>
      </c>
      <c r="B1198" t="s">
        <v>4947</v>
      </c>
      <c r="C1198" s="1">
        <v>0.67</v>
      </c>
      <c r="D1198" s="1">
        <v>188</v>
      </c>
      <c r="E1198" s="1">
        <v>246.32</v>
      </c>
      <c r="F1198" s="1">
        <v>25</v>
      </c>
      <c r="G1198" s="1">
        <v>4061.51</v>
      </c>
      <c r="H1198" s="1" t="s">
        <v>10</v>
      </c>
      <c r="I1198" t="str">
        <f t="shared" si="18"/>
        <v>KEY FOB , BACK DOOR [21901]</v>
      </c>
    </row>
    <row r="1199" spans="1:9" x14ac:dyDescent="0.3">
      <c r="A1199" s="1">
        <v>21902</v>
      </c>
      <c r="B1199" t="s">
        <v>4946</v>
      </c>
      <c r="C1199" s="1">
        <v>0.66</v>
      </c>
      <c r="D1199" s="1">
        <v>137</v>
      </c>
      <c r="E1199" s="1">
        <v>214.36</v>
      </c>
      <c r="F1199" s="1">
        <v>25</v>
      </c>
      <c r="G1199" s="1">
        <v>3408.03</v>
      </c>
      <c r="H1199" s="1" t="s">
        <v>10</v>
      </c>
      <c r="I1199" t="str">
        <f t="shared" si="18"/>
        <v>KEY FOB , FRONT  DOOR [21902]</v>
      </c>
    </row>
    <row r="1200" spans="1:9" x14ac:dyDescent="0.3">
      <c r="A1200" s="1">
        <v>21903</v>
      </c>
      <c r="B1200" t="s">
        <v>4945</v>
      </c>
      <c r="C1200" s="1">
        <v>2.11</v>
      </c>
      <c r="D1200" s="1">
        <v>91</v>
      </c>
      <c r="E1200" s="1">
        <v>137.44</v>
      </c>
      <c r="F1200" s="1">
        <v>25</v>
      </c>
      <c r="G1200" s="1">
        <v>6908.87</v>
      </c>
      <c r="H1200" s="1" t="s">
        <v>10</v>
      </c>
      <c r="I1200" t="str">
        <f t="shared" si="18"/>
        <v>MAN FLU METAL SIGN [21903]</v>
      </c>
    </row>
    <row r="1201" spans="1:9" x14ac:dyDescent="0.3">
      <c r="A1201" s="1">
        <v>21904</v>
      </c>
      <c r="B1201" t="s">
        <v>4944</v>
      </c>
      <c r="C1201" s="1">
        <v>2.1</v>
      </c>
      <c r="D1201" s="1">
        <v>23</v>
      </c>
      <c r="E1201" s="2">
        <v>42.0555555555555</v>
      </c>
      <c r="F1201" s="1">
        <v>18</v>
      </c>
      <c r="G1201" s="1">
        <v>1201.52</v>
      </c>
      <c r="H1201" s="1" t="s">
        <v>9</v>
      </c>
      <c r="I1201" t="str">
        <f t="shared" si="18"/>
        <v>HOUSE WRECKING METAL SIGN [21904]</v>
      </c>
    </row>
    <row r="1202" spans="1:9" x14ac:dyDescent="0.3">
      <c r="A1202" s="1">
        <v>21905</v>
      </c>
      <c r="B1202" t="s">
        <v>4943</v>
      </c>
      <c r="C1202" s="1">
        <v>1.99</v>
      </c>
      <c r="D1202" s="1">
        <v>32</v>
      </c>
      <c r="E1202" s="1">
        <v>64.599999999999994</v>
      </c>
      <c r="F1202" s="1">
        <v>25</v>
      </c>
      <c r="G1202" s="1">
        <v>2141.0700000000002</v>
      </c>
      <c r="H1202" s="1" t="s">
        <v>9</v>
      </c>
      <c r="I1202" t="str">
        <f t="shared" si="18"/>
        <v>MORE BUTTER METAL SIGN [21905]</v>
      </c>
    </row>
    <row r="1203" spans="1:9" x14ac:dyDescent="0.3">
      <c r="A1203" s="1">
        <v>21906</v>
      </c>
      <c r="B1203" t="s">
        <v>4942</v>
      </c>
      <c r="C1203" s="1">
        <v>7.35</v>
      </c>
      <c r="D1203" s="1">
        <v>40</v>
      </c>
      <c r="E1203" s="1">
        <v>71.44</v>
      </c>
      <c r="F1203" s="1">
        <v>25</v>
      </c>
      <c r="G1203" s="1">
        <v>12879.46</v>
      </c>
      <c r="H1203" s="1" t="s">
        <v>9</v>
      </c>
      <c r="I1203" t="str">
        <f t="shared" si="18"/>
        <v>PHARMACIE FIRST AID TIN [21906]</v>
      </c>
    </row>
    <row r="1204" spans="1:9" x14ac:dyDescent="0.3">
      <c r="A1204" s="1">
        <v>21907</v>
      </c>
      <c r="B1204" t="s">
        <v>4941</v>
      </c>
      <c r="C1204" s="1">
        <v>2.105</v>
      </c>
      <c r="D1204" s="1">
        <v>224.5</v>
      </c>
      <c r="E1204" s="1">
        <v>215.125</v>
      </c>
      <c r="F1204" s="1">
        <v>24</v>
      </c>
      <c r="G1204" s="1">
        <v>10866.22</v>
      </c>
      <c r="H1204" s="1" t="s">
        <v>10</v>
      </c>
      <c r="I1204" t="str">
        <f t="shared" si="18"/>
        <v>I'M ON HOLIDAY METAL SIGN [21907]</v>
      </c>
    </row>
    <row r="1205" spans="1:9" x14ac:dyDescent="0.3">
      <c r="A1205" s="1">
        <v>21908</v>
      </c>
      <c r="B1205" t="s">
        <v>4940</v>
      </c>
      <c r="C1205" s="1">
        <v>2.08</v>
      </c>
      <c r="D1205" s="1">
        <v>281</v>
      </c>
      <c r="E1205" s="1">
        <v>387.12</v>
      </c>
      <c r="F1205" s="1">
        <v>25</v>
      </c>
      <c r="G1205" s="1">
        <v>19125.98</v>
      </c>
      <c r="H1205" s="1" t="s">
        <v>10</v>
      </c>
      <c r="I1205" t="str">
        <f t="shared" si="18"/>
        <v>CHOCOLATE THIS WAY METAL SIGN [21908]</v>
      </c>
    </row>
    <row r="1206" spans="1:9" x14ac:dyDescent="0.3">
      <c r="A1206" s="1">
        <v>21910</v>
      </c>
      <c r="B1206" t="s">
        <v>4939</v>
      </c>
      <c r="C1206" s="1">
        <v>1.65</v>
      </c>
      <c r="D1206" s="1">
        <v>44</v>
      </c>
      <c r="E1206" s="2">
        <v>71.066666666666606</v>
      </c>
      <c r="F1206" s="1">
        <v>15</v>
      </c>
      <c r="G1206" s="1">
        <v>1398.18</v>
      </c>
      <c r="H1206" s="1" t="s">
        <v>9</v>
      </c>
      <c r="I1206" t="str">
        <f t="shared" si="18"/>
        <v>WAY OUT METAL SIGN [21910]</v>
      </c>
    </row>
    <row r="1207" spans="1:9" x14ac:dyDescent="0.3">
      <c r="A1207" s="1">
        <v>21911</v>
      </c>
      <c r="B1207" t="s">
        <v>4938</v>
      </c>
      <c r="C1207" s="1">
        <v>1.72</v>
      </c>
      <c r="D1207" s="1">
        <v>99</v>
      </c>
      <c r="E1207" s="2">
        <v>149.76470588235199</v>
      </c>
      <c r="F1207" s="1">
        <v>17</v>
      </c>
      <c r="G1207" s="1">
        <v>4080.85</v>
      </c>
      <c r="H1207" s="1" t="s">
        <v>10</v>
      </c>
      <c r="I1207" t="str">
        <f t="shared" si="18"/>
        <v>GARDEN METAL SIGN [21911]</v>
      </c>
    </row>
    <row r="1208" spans="1:9" x14ac:dyDescent="0.3">
      <c r="A1208" s="1">
        <v>21912</v>
      </c>
      <c r="B1208" t="s">
        <v>4937</v>
      </c>
      <c r="C1208" s="1">
        <v>3.97</v>
      </c>
      <c r="D1208" s="1">
        <v>123</v>
      </c>
      <c r="E1208" s="1">
        <v>149.36000000000001</v>
      </c>
      <c r="F1208" s="1">
        <v>25</v>
      </c>
      <c r="G1208" s="1">
        <v>14651.33</v>
      </c>
      <c r="H1208" s="1" t="s">
        <v>10</v>
      </c>
      <c r="I1208" t="str">
        <f t="shared" si="18"/>
        <v>VINTAGE SNAKES &amp; LADDERS [21912]</v>
      </c>
    </row>
    <row r="1209" spans="1:9" x14ac:dyDescent="0.3">
      <c r="A1209" s="1">
        <v>21913</v>
      </c>
      <c r="B1209" t="s">
        <v>4936</v>
      </c>
      <c r="C1209" s="1">
        <v>3.88</v>
      </c>
      <c r="D1209" s="1">
        <v>30</v>
      </c>
      <c r="E1209" s="1">
        <v>45.16</v>
      </c>
      <c r="F1209" s="1">
        <v>25</v>
      </c>
      <c r="G1209" s="1">
        <v>4302.4799999999996</v>
      </c>
      <c r="H1209" s="1" t="s">
        <v>9</v>
      </c>
      <c r="I1209" t="str">
        <f t="shared" si="18"/>
        <v>VINTAGE SEASIDE JIGSAW PUZZLES [21913]</v>
      </c>
    </row>
    <row r="1210" spans="1:9" x14ac:dyDescent="0.3">
      <c r="A1210" s="1">
        <v>21914</v>
      </c>
      <c r="B1210" t="s">
        <v>4935</v>
      </c>
      <c r="C1210" s="1">
        <v>1.27</v>
      </c>
      <c r="D1210" s="1">
        <v>438</v>
      </c>
      <c r="E1210" s="2">
        <v>563.26086956521704</v>
      </c>
      <c r="F1210" s="1">
        <v>23</v>
      </c>
      <c r="G1210" s="1">
        <v>17713.54</v>
      </c>
      <c r="H1210" s="1" t="s">
        <v>10</v>
      </c>
      <c r="I1210" t="str">
        <f t="shared" si="18"/>
        <v>BLUE HARMONICA IN BOX [21914]</v>
      </c>
    </row>
    <row r="1211" spans="1:9" x14ac:dyDescent="0.3">
      <c r="A1211" s="1">
        <v>21915</v>
      </c>
      <c r="B1211" t="s">
        <v>4934</v>
      </c>
      <c r="C1211" s="1">
        <v>1.1599999999999999</v>
      </c>
      <c r="D1211" s="1">
        <v>1241</v>
      </c>
      <c r="E1211" s="2">
        <v>1577.78260869565</v>
      </c>
      <c r="F1211" s="1">
        <v>23</v>
      </c>
      <c r="G1211" s="1">
        <v>42664.54</v>
      </c>
      <c r="H1211" s="1" t="s">
        <v>10</v>
      </c>
      <c r="I1211" t="str">
        <f t="shared" si="18"/>
        <v>RED  HARMONICA IN BOX [21915]</v>
      </c>
    </row>
    <row r="1212" spans="1:9" x14ac:dyDescent="0.3">
      <c r="A1212" s="1">
        <v>21916</v>
      </c>
      <c r="B1212" t="s">
        <v>4933</v>
      </c>
      <c r="C1212" s="1">
        <v>0.43</v>
      </c>
      <c r="D1212" s="1">
        <v>316</v>
      </c>
      <c r="E1212" s="1">
        <v>440.44</v>
      </c>
      <c r="F1212" s="1">
        <v>25</v>
      </c>
      <c r="G1212" s="1">
        <v>4751.0600000000004</v>
      </c>
      <c r="H1212" s="1" t="s">
        <v>10</v>
      </c>
      <c r="I1212" t="str">
        <f t="shared" si="18"/>
        <v>SET 12 RETRO WHITE CHALK STICKS [21916]</v>
      </c>
    </row>
    <row r="1213" spans="1:9" x14ac:dyDescent="0.3">
      <c r="A1213" s="1">
        <v>21917</v>
      </c>
      <c r="B1213" t="s">
        <v>4932</v>
      </c>
      <c r="C1213" s="1">
        <v>0.43</v>
      </c>
      <c r="D1213" s="1">
        <v>281</v>
      </c>
      <c r="E1213" s="1">
        <v>320.39999999999998</v>
      </c>
      <c r="F1213" s="1">
        <v>25</v>
      </c>
      <c r="G1213" s="2">
        <v>3324.22</v>
      </c>
      <c r="H1213" s="1" t="s">
        <v>10</v>
      </c>
      <c r="I1213" t="str">
        <f t="shared" si="18"/>
        <v>SET 12 KIDS  WHITE CHALK STICKS [21917]</v>
      </c>
    </row>
    <row r="1214" spans="1:9" x14ac:dyDescent="0.3">
      <c r="A1214" s="1">
        <v>21918</v>
      </c>
      <c r="B1214" t="s">
        <v>4931</v>
      </c>
      <c r="C1214" s="1">
        <v>0.42</v>
      </c>
      <c r="D1214" s="1">
        <v>466</v>
      </c>
      <c r="E1214" s="1">
        <v>583.91999999999996</v>
      </c>
      <c r="F1214" s="1">
        <v>25</v>
      </c>
      <c r="G1214" s="1">
        <v>6013.14</v>
      </c>
      <c r="H1214" s="1" t="s">
        <v>10</v>
      </c>
      <c r="I1214" t="str">
        <f t="shared" si="18"/>
        <v>SET 12 KIDS COLOUR  CHALK STICKS [21918]</v>
      </c>
    </row>
    <row r="1215" spans="1:9" x14ac:dyDescent="0.3">
      <c r="A1215" s="1">
        <v>21919</v>
      </c>
      <c r="B1215" t="s">
        <v>4930</v>
      </c>
      <c r="C1215" s="1">
        <v>5.0599999999999996</v>
      </c>
      <c r="D1215" s="1">
        <v>1.5</v>
      </c>
      <c r="E1215" s="1">
        <v>1.5</v>
      </c>
      <c r="F1215" s="1">
        <v>4</v>
      </c>
      <c r="G1215" s="1">
        <v>30.47</v>
      </c>
      <c r="H1215" s="1" t="s">
        <v>8</v>
      </c>
      <c r="I1215" t="str">
        <f t="shared" si="18"/>
        <v>Electronic Talking Breath-A-Loser [21919]</v>
      </c>
    </row>
    <row r="1216" spans="1:9" x14ac:dyDescent="0.3">
      <c r="A1216" s="1">
        <v>21922</v>
      </c>
      <c r="B1216" t="s">
        <v>4929</v>
      </c>
      <c r="C1216" s="1">
        <v>7.95</v>
      </c>
      <c r="D1216" s="1">
        <v>42</v>
      </c>
      <c r="E1216" s="2">
        <v>68.714285714285694</v>
      </c>
      <c r="F1216" s="1">
        <v>21</v>
      </c>
      <c r="G1216" s="1">
        <v>11199.18</v>
      </c>
      <c r="H1216" s="1" t="s">
        <v>9</v>
      </c>
      <c r="I1216" t="str">
        <f t="shared" si="18"/>
        <v>UNION STRIPE WITH FRINGE  HAMMOCK [21922]</v>
      </c>
    </row>
    <row r="1217" spans="1:9" x14ac:dyDescent="0.3">
      <c r="A1217" s="1">
        <v>21923</v>
      </c>
      <c r="B1217" t="s">
        <v>4928</v>
      </c>
      <c r="C1217" s="1">
        <v>7.95</v>
      </c>
      <c r="D1217" s="1">
        <v>21</v>
      </c>
      <c r="E1217" s="2">
        <v>37.4444444444444</v>
      </c>
      <c r="F1217" s="1">
        <v>9</v>
      </c>
      <c r="G1217" s="1">
        <v>2662.64</v>
      </c>
      <c r="H1217" s="1" t="s">
        <v>9</v>
      </c>
      <c r="I1217" t="str">
        <f t="shared" si="18"/>
        <v>RED/CREAM STRIPE FRINGE HAMMOCK [21923]</v>
      </c>
    </row>
    <row r="1218" spans="1:9" x14ac:dyDescent="0.3">
      <c r="A1218" s="1">
        <v>21924</v>
      </c>
      <c r="B1218" t="s">
        <v>4927</v>
      </c>
      <c r="C1218" s="1">
        <v>7.95</v>
      </c>
      <c r="D1218" s="1">
        <v>22</v>
      </c>
      <c r="E1218" s="1">
        <v>31.5</v>
      </c>
      <c r="F1218" s="1">
        <v>10</v>
      </c>
      <c r="G1218" s="1">
        <v>2486.66</v>
      </c>
      <c r="H1218" s="1" t="s">
        <v>9</v>
      </c>
      <c r="I1218" t="str">
        <f t="shared" si="18"/>
        <v>BLUE/CREAM STRIPE FRINGE HAMMOCK [21924]</v>
      </c>
    </row>
    <row r="1219" spans="1:9" x14ac:dyDescent="0.3">
      <c r="A1219" s="1">
        <v>21925</v>
      </c>
      <c r="B1219" t="s">
        <v>4926</v>
      </c>
      <c r="C1219" s="1">
        <v>1.25</v>
      </c>
      <c r="D1219" s="1">
        <v>37</v>
      </c>
      <c r="E1219" s="2">
        <v>57.190476190476097</v>
      </c>
      <c r="F1219" s="1">
        <v>21</v>
      </c>
      <c r="G1219" s="1">
        <v>1562.33</v>
      </c>
      <c r="H1219" s="1" t="s">
        <v>9</v>
      </c>
      <c r="I1219" t="str">
        <f t="shared" ref="I1219:I1282" si="19">B1219&amp;" ["&amp;A1219&amp;"]"</f>
        <v>UNION STRIPE CUSHION COVER [21925]</v>
      </c>
    </row>
    <row r="1220" spans="1:9" x14ac:dyDescent="0.3">
      <c r="A1220" s="1">
        <v>21926</v>
      </c>
      <c r="B1220" t="s">
        <v>4925</v>
      </c>
      <c r="C1220" s="1">
        <v>1.25</v>
      </c>
      <c r="D1220" s="1">
        <v>35</v>
      </c>
      <c r="E1220" s="1">
        <v>50.45</v>
      </c>
      <c r="F1220" s="1">
        <v>20</v>
      </c>
      <c r="G1220" s="1">
        <v>1325.27</v>
      </c>
      <c r="H1220" s="1" t="s">
        <v>9</v>
      </c>
      <c r="I1220" t="str">
        <f t="shared" si="19"/>
        <v>RED/CREAM STRIPE CUSHION COVER [21926]</v>
      </c>
    </row>
    <row r="1221" spans="1:9" x14ac:dyDescent="0.3">
      <c r="A1221" s="1">
        <v>21927</v>
      </c>
      <c r="B1221" t="s">
        <v>4924</v>
      </c>
      <c r="C1221" s="1">
        <v>1.25</v>
      </c>
      <c r="D1221" s="1">
        <v>39</v>
      </c>
      <c r="E1221" s="1">
        <v>60</v>
      </c>
      <c r="F1221" s="1">
        <v>21</v>
      </c>
      <c r="G1221" s="1">
        <v>1728.24</v>
      </c>
      <c r="H1221" s="1" t="s">
        <v>9</v>
      </c>
      <c r="I1221" t="str">
        <f t="shared" si="19"/>
        <v>BLUE/CREAM STRIPE CUSHION COVER [21927]</v>
      </c>
    </row>
    <row r="1222" spans="1:9" x14ac:dyDescent="0.3">
      <c r="A1222" s="1">
        <v>21928</v>
      </c>
      <c r="B1222" t="s">
        <v>4923</v>
      </c>
      <c r="C1222" s="2">
        <v>1.90499999999999</v>
      </c>
      <c r="D1222" s="1">
        <v>775</v>
      </c>
      <c r="E1222" s="2">
        <v>866.71428571428498</v>
      </c>
      <c r="F1222" s="1">
        <v>25</v>
      </c>
      <c r="G1222" s="1">
        <v>46202.52</v>
      </c>
      <c r="H1222" s="1" t="s">
        <v>10</v>
      </c>
      <c r="I1222" t="str">
        <f t="shared" si="19"/>
        <v>JUMBO BAG SCANDINAVIAN PAISLEY [21928]</v>
      </c>
    </row>
    <row r="1223" spans="1:9" x14ac:dyDescent="0.3">
      <c r="A1223" s="1">
        <v>21929</v>
      </c>
      <c r="B1223" t="s">
        <v>4922</v>
      </c>
      <c r="C1223" s="2">
        <v>1.9849999999999901</v>
      </c>
      <c r="D1223" s="1">
        <v>945.5</v>
      </c>
      <c r="E1223" s="1">
        <v>1067</v>
      </c>
      <c r="F1223" s="1">
        <v>24</v>
      </c>
      <c r="G1223" s="1">
        <v>49651.99</v>
      </c>
      <c r="H1223" s="1" t="s">
        <v>10</v>
      </c>
      <c r="I1223" t="str">
        <f t="shared" si="19"/>
        <v>JUMBO BAG PINK VINTAGE PAISLEY [21929]</v>
      </c>
    </row>
    <row r="1224" spans="1:9" x14ac:dyDescent="0.3">
      <c r="A1224" s="1">
        <v>21930</v>
      </c>
      <c r="B1224" t="s">
        <v>4921</v>
      </c>
      <c r="C1224" s="1">
        <v>2.0499999999999998</v>
      </c>
      <c r="D1224" s="1">
        <v>475</v>
      </c>
      <c r="E1224" s="1">
        <v>535.6</v>
      </c>
      <c r="F1224" s="1">
        <v>25</v>
      </c>
      <c r="G1224" s="2">
        <v>27368.0799999999</v>
      </c>
      <c r="H1224" s="1" t="s">
        <v>10</v>
      </c>
      <c r="I1224" t="str">
        <f t="shared" si="19"/>
        <v>JUMBO STORAGE BAG SKULLS [21930]</v>
      </c>
    </row>
    <row r="1225" spans="1:9" x14ac:dyDescent="0.3">
      <c r="A1225" s="1">
        <v>21931</v>
      </c>
      <c r="B1225" t="s">
        <v>4920</v>
      </c>
      <c r="C1225" s="1">
        <v>2.12</v>
      </c>
      <c r="D1225" s="1">
        <v>1177</v>
      </c>
      <c r="E1225" s="1">
        <v>1167.28</v>
      </c>
      <c r="F1225" s="1">
        <v>25</v>
      </c>
      <c r="G1225" s="1">
        <v>61537.55</v>
      </c>
      <c r="H1225" s="1" t="s">
        <v>10</v>
      </c>
      <c r="I1225" t="str">
        <f t="shared" si="19"/>
        <v>JUMBO STORAGE BAG SUKI [21931]</v>
      </c>
    </row>
    <row r="1226" spans="1:9" x14ac:dyDescent="0.3">
      <c r="A1226" s="1">
        <v>21932</v>
      </c>
      <c r="B1226" t="s">
        <v>4919</v>
      </c>
      <c r="C1226" s="1">
        <v>2.73</v>
      </c>
      <c r="D1226" s="1">
        <v>100</v>
      </c>
      <c r="E1226" s="1">
        <v>154.84</v>
      </c>
      <c r="F1226" s="1">
        <v>25</v>
      </c>
      <c r="G1226" s="1">
        <v>8498.61</v>
      </c>
      <c r="H1226" s="1" t="s">
        <v>10</v>
      </c>
      <c r="I1226" t="str">
        <f t="shared" si="19"/>
        <v>SCANDINAVIAN PAISLEY PICNIC BAG [21932]</v>
      </c>
    </row>
    <row r="1227" spans="1:9" x14ac:dyDescent="0.3">
      <c r="A1227" s="1">
        <v>21933</v>
      </c>
      <c r="B1227" t="s">
        <v>4918</v>
      </c>
      <c r="C1227" s="1">
        <v>2.73</v>
      </c>
      <c r="D1227" s="1">
        <v>84</v>
      </c>
      <c r="E1227" s="1">
        <v>164.64</v>
      </c>
      <c r="F1227" s="1">
        <v>25</v>
      </c>
      <c r="G1227" s="2">
        <v>9087.6299999999992</v>
      </c>
      <c r="H1227" s="1" t="s">
        <v>10</v>
      </c>
      <c r="I1227" t="str">
        <f t="shared" si="19"/>
        <v>PINK VINTAGE PAISLEY PICNIC BAG [21933]</v>
      </c>
    </row>
    <row r="1228" spans="1:9" x14ac:dyDescent="0.3">
      <c r="A1228" s="1">
        <v>21934</v>
      </c>
      <c r="B1228" t="s">
        <v>4917</v>
      </c>
      <c r="C1228" s="1">
        <v>1.84</v>
      </c>
      <c r="D1228" s="1">
        <v>137</v>
      </c>
      <c r="E1228" s="1">
        <v>183.88</v>
      </c>
      <c r="F1228" s="1">
        <v>25</v>
      </c>
      <c r="G1228" s="1">
        <v>8275.2199999999993</v>
      </c>
      <c r="H1228" s="1" t="s">
        <v>10</v>
      </c>
      <c r="I1228" t="str">
        <f t="shared" si="19"/>
        <v>SKULL SHOULDER BAG [21934]</v>
      </c>
    </row>
    <row r="1229" spans="1:9" x14ac:dyDescent="0.3">
      <c r="A1229" s="1">
        <v>21935</v>
      </c>
      <c r="B1229" t="s">
        <v>4916</v>
      </c>
      <c r="C1229" s="1">
        <v>1.85</v>
      </c>
      <c r="D1229" s="1">
        <v>270</v>
      </c>
      <c r="E1229" s="1">
        <v>285.08</v>
      </c>
      <c r="F1229" s="1">
        <v>25</v>
      </c>
      <c r="G1229" s="1">
        <v>13103.21</v>
      </c>
      <c r="H1229" s="1" t="s">
        <v>10</v>
      </c>
      <c r="I1229" t="str">
        <f t="shared" si="19"/>
        <v>SUKI  SHOULDER BAG [21935]</v>
      </c>
    </row>
    <row r="1230" spans="1:9" x14ac:dyDescent="0.3">
      <c r="A1230" s="1">
        <v>21936</v>
      </c>
      <c r="B1230" t="s">
        <v>4915</v>
      </c>
      <c r="C1230" s="1">
        <v>2.94</v>
      </c>
      <c r="D1230" s="1">
        <v>193</v>
      </c>
      <c r="E1230" s="2">
        <v>289.07407407407402</v>
      </c>
      <c r="F1230" s="1">
        <v>25</v>
      </c>
      <c r="G1230" s="1">
        <v>22741.31</v>
      </c>
      <c r="H1230" s="1" t="s">
        <v>10</v>
      </c>
      <c r="I1230" t="str">
        <f t="shared" si="19"/>
        <v>RED/WHITE SPOT PICNIC BAG [21936]</v>
      </c>
    </row>
    <row r="1231" spans="1:9" x14ac:dyDescent="0.3">
      <c r="A1231" s="1">
        <v>21937</v>
      </c>
      <c r="B1231" t="s">
        <v>4914</v>
      </c>
      <c r="C1231" s="1">
        <v>2.95</v>
      </c>
      <c r="D1231" s="1">
        <v>147</v>
      </c>
      <c r="E1231" s="2">
        <v>195.23809523809501</v>
      </c>
      <c r="F1231" s="1">
        <v>21</v>
      </c>
      <c r="G1231" s="1">
        <v>12038.82</v>
      </c>
      <c r="H1231" s="1" t="s">
        <v>10</v>
      </c>
      <c r="I1231" t="str">
        <f t="shared" si="19"/>
        <v>STRAWBERRY   PICNIC BAG [21937]</v>
      </c>
    </row>
    <row r="1232" spans="1:9" x14ac:dyDescent="0.3">
      <c r="A1232" s="1">
        <v>21942</v>
      </c>
      <c r="B1232" t="s">
        <v>4913</v>
      </c>
      <c r="C1232" s="1">
        <v>0.96</v>
      </c>
      <c r="D1232" s="1">
        <v>19</v>
      </c>
      <c r="E1232" s="2">
        <v>69.6666666666666</v>
      </c>
      <c r="F1232" s="1">
        <v>24</v>
      </c>
      <c r="G1232" s="1">
        <v>1136.28</v>
      </c>
      <c r="H1232" s="1" t="s">
        <v>9</v>
      </c>
      <c r="I1232" t="str">
        <f t="shared" si="19"/>
        <v>SKULLS DESIGN FLANNEL [21942]</v>
      </c>
    </row>
    <row r="1233" spans="1:9" x14ac:dyDescent="0.3">
      <c r="A1233" s="1">
        <v>21943</v>
      </c>
      <c r="B1233" t="s">
        <v>4912</v>
      </c>
      <c r="C1233" s="1">
        <v>0.97</v>
      </c>
      <c r="D1233" s="1">
        <v>17</v>
      </c>
      <c r="E1233" s="1">
        <v>24.625</v>
      </c>
      <c r="F1233" s="1">
        <v>24</v>
      </c>
      <c r="G1233" s="1">
        <v>529.16</v>
      </c>
      <c r="H1233" s="1" t="s">
        <v>9</v>
      </c>
      <c r="I1233" t="str">
        <f t="shared" si="19"/>
        <v>CAKES AND RABBITS DESIGN FLANNEL [21943]</v>
      </c>
    </row>
    <row r="1234" spans="1:9" x14ac:dyDescent="0.3">
      <c r="A1234" s="1">
        <v>21944</v>
      </c>
      <c r="B1234" t="s">
        <v>4911</v>
      </c>
      <c r="C1234" s="1">
        <v>0.94</v>
      </c>
      <c r="D1234" s="1">
        <v>28</v>
      </c>
      <c r="E1234" s="2">
        <v>77.782608695652101</v>
      </c>
      <c r="F1234" s="1">
        <v>23</v>
      </c>
      <c r="G1234" s="1">
        <v>1106.01</v>
      </c>
      <c r="H1234" s="1" t="s">
        <v>9</v>
      </c>
      <c r="I1234" t="str">
        <f t="shared" si="19"/>
        <v>KITTENS DESIGN FLANNEL [21944]</v>
      </c>
    </row>
    <row r="1235" spans="1:9" x14ac:dyDescent="0.3">
      <c r="A1235" s="1">
        <v>21945</v>
      </c>
      <c r="B1235" t="s">
        <v>4910</v>
      </c>
      <c r="C1235" s="2">
        <v>0.94499999999999995</v>
      </c>
      <c r="D1235" s="1">
        <v>30.5</v>
      </c>
      <c r="E1235" s="2">
        <v>77.5833333333333</v>
      </c>
      <c r="F1235" s="1">
        <v>24</v>
      </c>
      <c r="G1235" s="1">
        <v>1307.0999999999999</v>
      </c>
      <c r="H1235" s="1" t="s">
        <v>9</v>
      </c>
      <c r="I1235" t="str">
        <f t="shared" si="19"/>
        <v>STRAWBERRIES  DESIGN FLANNEL [21945]</v>
      </c>
    </row>
    <row r="1236" spans="1:9" x14ac:dyDescent="0.3">
      <c r="A1236" s="1">
        <v>21946</v>
      </c>
      <c r="B1236" t="s">
        <v>4909</v>
      </c>
      <c r="C1236" s="1">
        <v>0.85</v>
      </c>
      <c r="D1236" s="1">
        <v>13</v>
      </c>
      <c r="E1236" s="2">
        <v>29.761904761904699</v>
      </c>
      <c r="F1236" s="1">
        <v>21</v>
      </c>
      <c r="G1236" s="2">
        <v>358.969999999999</v>
      </c>
      <c r="H1236" s="1" t="s">
        <v>9</v>
      </c>
      <c r="I1236" t="str">
        <f t="shared" si="19"/>
        <v>PARTY TIME DESIGN FLANNEL [21946]</v>
      </c>
    </row>
    <row r="1237" spans="1:9" x14ac:dyDescent="0.3">
      <c r="A1237" s="1">
        <v>21947</v>
      </c>
      <c r="B1237" t="s">
        <v>4908</v>
      </c>
      <c r="C1237" s="1">
        <v>1.37</v>
      </c>
      <c r="D1237" s="1">
        <v>56</v>
      </c>
      <c r="E1237" s="1">
        <v>67</v>
      </c>
      <c r="F1237" s="1">
        <v>25</v>
      </c>
      <c r="G1237" s="1">
        <v>2302.81</v>
      </c>
      <c r="H1237" s="1" t="s">
        <v>9</v>
      </c>
      <c r="I1237" t="str">
        <f t="shared" si="19"/>
        <v>SET OF 6 HEART CHOPSTICKS [21947]</v>
      </c>
    </row>
    <row r="1238" spans="1:9" x14ac:dyDescent="0.3">
      <c r="A1238" s="1">
        <v>21948</v>
      </c>
      <c r="B1238" t="s">
        <v>4907</v>
      </c>
      <c r="C1238" s="1">
        <v>1.52</v>
      </c>
      <c r="D1238" s="1">
        <v>47</v>
      </c>
      <c r="E1238" s="1">
        <v>91.72</v>
      </c>
      <c r="F1238" s="1">
        <v>25</v>
      </c>
      <c r="G1238" s="1">
        <v>2921.36</v>
      </c>
      <c r="H1238" s="1" t="s">
        <v>9</v>
      </c>
      <c r="I1238" t="str">
        <f t="shared" si="19"/>
        <v>SET OF 6 CAKE CHOPSTICKS [21948]</v>
      </c>
    </row>
    <row r="1239" spans="1:9" x14ac:dyDescent="0.3">
      <c r="A1239" s="1">
        <v>21949</v>
      </c>
      <c r="B1239" t="s">
        <v>4906</v>
      </c>
      <c r="C1239" s="1">
        <v>1.34</v>
      </c>
      <c r="D1239" s="1">
        <v>55</v>
      </c>
      <c r="E1239" s="1">
        <v>103.92</v>
      </c>
      <c r="F1239" s="1">
        <v>25</v>
      </c>
      <c r="G1239" s="2">
        <v>3164.18</v>
      </c>
      <c r="H1239" s="1" t="s">
        <v>9</v>
      </c>
      <c r="I1239" t="str">
        <f t="shared" si="19"/>
        <v>SET OF 6 STRAWBERRY CHOPSTICKS [21949]</v>
      </c>
    </row>
    <row r="1240" spans="1:9" x14ac:dyDescent="0.3">
      <c r="A1240" s="1">
        <v>21950</v>
      </c>
      <c r="B1240" t="s">
        <v>4905</v>
      </c>
      <c r="C1240" s="1">
        <v>2.5099999999999998</v>
      </c>
      <c r="D1240" s="1">
        <v>5</v>
      </c>
      <c r="E1240" s="1">
        <v>42.2</v>
      </c>
      <c r="F1240" s="1">
        <v>5</v>
      </c>
      <c r="G1240" s="1">
        <v>263.63</v>
      </c>
      <c r="H1240" s="1" t="s">
        <v>8</v>
      </c>
      <c r="I1240" t="str">
        <f t="shared" si="19"/>
        <v>SET OF 6 DOTS CHOPSTICKS [21950]</v>
      </c>
    </row>
    <row r="1241" spans="1:9" x14ac:dyDescent="0.3">
      <c r="A1241" s="1">
        <v>21955</v>
      </c>
      <c r="B1241" t="s">
        <v>4904</v>
      </c>
      <c r="C1241" s="1">
        <v>7.5449999999999999</v>
      </c>
      <c r="D1241" s="1">
        <v>68</v>
      </c>
      <c r="E1241" s="2">
        <v>130.36666666666599</v>
      </c>
      <c r="F1241" s="1">
        <v>25</v>
      </c>
      <c r="G1241" s="1">
        <v>23734.400000000001</v>
      </c>
      <c r="H1241" s="1" t="s">
        <v>10</v>
      </c>
      <c r="I1241" t="str">
        <f t="shared" si="19"/>
        <v>UNION JACK GUNS &amp; ROSES  DOORMAT [21955]</v>
      </c>
    </row>
    <row r="1242" spans="1:9" x14ac:dyDescent="0.3">
      <c r="A1242" s="1">
        <v>21967</v>
      </c>
      <c r="B1242" t="s">
        <v>4903</v>
      </c>
      <c r="C1242" s="1">
        <v>0.28999999999999998</v>
      </c>
      <c r="D1242" s="1">
        <v>326.5</v>
      </c>
      <c r="E1242" s="2">
        <v>652.16666666666595</v>
      </c>
      <c r="F1242" s="1">
        <v>24</v>
      </c>
      <c r="G1242" s="1">
        <v>4401.4399999999996</v>
      </c>
      <c r="H1242" s="1" t="s">
        <v>10</v>
      </c>
      <c r="I1242" t="str">
        <f t="shared" si="19"/>
        <v>PACK OF 12 SKULL TISSUES [21967]</v>
      </c>
    </row>
    <row r="1243" spans="1:9" x14ac:dyDescent="0.3">
      <c r="A1243" s="1">
        <v>21972</v>
      </c>
      <c r="B1243" t="s">
        <v>4902</v>
      </c>
      <c r="C1243" s="1">
        <v>1.49</v>
      </c>
      <c r="D1243" s="1">
        <v>49</v>
      </c>
      <c r="E1243" s="1">
        <v>42.2</v>
      </c>
      <c r="F1243" s="1">
        <v>25</v>
      </c>
      <c r="G1243" s="1">
        <v>1560.82</v>
      </c>
      <c r="H1243" s="1" t="s">
        <v>9</v>
      </c>
      <c r="I1243" t="str">
        <f t="shared" si="19"/>
        <v>SET OF 36 DINOSAUR PAPER DOILIES [21972]</v>
      </c>
    </row>
    <row r="1244" spans="1:9" x14ac:dyDescent="0.3">
      <c r="A1244" s="1">
        <v>21973</v>
      </c>
      <c r="B1244" t="s">
        <v>4901</v>
      </c>
      <c r="C1244" s="1">
        <v>1.45</v>
      </c>
      <c r="D1244" s="1">
        <v>58</v>
      </c>
      <c r="E1244" s="1">
        <v>72.608695652173907</v>
      </c>
      <c r="F1244" s="1">
        <v>23</v>
      </c>
      <c r="G1244" s="1">
        <v>2420.0300000000002</v>
      </c>
      <c r="H1244" s="1" t="s">
        <v>9</v>
      </c>
      <c r="I1244" t="str">
        <f t="shared" si="19"/>
        <v>SET OF 36 MUSHROOM PAPER DOILIES [21973]</v>
      </c>
    </row>
    <row r="1245" spans="1:9" x14ac:dyDescent="0.3">
      <c r="A1245" s="1">
        <v>21974</v>
      </c>
      <c r="B1245" t="s">
        <v>4900</v>
      </c>
      <c r="C1245" s="1">
        <v>1.57</v>
      </c>
      <c r="D1245" s="1">
        <v>262</v>
      </c>
      <c r="E1245" s="1">
        <v>281.83999999999997</v>
      </c>
      <c r="F1245" s="1">
        <v>25</v>
      </c>
      <c r="G1245" s="1">
        <v>10622.15</v>
      </c>
      <c r="H1245" s="1" t="s">
        <v>10</v>
      </c>
      <c r="I1245" t="str">
        <f t="shared" si="19"/>
        <v>SET OF 36 PAISLEY FLOWER DOILIES [21974]</v>
      </c>
    </row>
    <row r="1246" spans="1:9" x14ac:dyDescent="0.3">
      <c r="A1246" s="1">
        <v>21975</v>
      </c>
      <c r="B1246" t="s">
        <v>4899</v>
      </c>
      <c r="C1246" s="1">
        <v>0.49</v>
      </c>
      <c r="D1246" s="1">
        <v>1247</v>
      </c>
      <c r="E1246" s="1">
        <v>1253.28</v>
      </c>
      <c r="F1246" s="1">
        <v>25</v>
      </c>
      <c r="G1246" s="1">
        <v>15236.62</v>
      </c>
      <c r="H1246" s="1" t="s">
        <v>10</v>
      </c>
      <c r="I1246" t="str">
        <f t="shared" si="19"/>
        <v>PACK OF 60 DINOSAUR CAKE CASES [21975]</v>
      </c>
    </row>
    <row r="1247" spans="1:9" x14ac:dyDescent="0.3">
      <c r="A1247" s="1">
        <v>21976</v>
      </c>
      <c r="B1247" t="s">
        <v>4898</v>
      </c>
      <c r="C1247" s="1">
        <v>0.56000000000000005</v>
      </c>
      <c r="D1247" s="1">
        <v>576</v>
      </c>
      <c r="E1247" s="1">
        <v>582.79999999999995</v>
      </c>
      <c r="F1247" s="1">
        <v>25</v>
      </c>
      <c r="G1247" s="1">
        <v>7792.37</v>
      </c>
      <c r="H1247" s="1" t="s">
        <v>10</v>
      </c>
      <c r="I1247" t="str">
        <f t="shared" si="19"/>
        <v>PACK OF 60 MUSHROOM CAKE CASES [21976]</v>
      </c>
    </row>
    <row r="1248" spans="1:9" x14ac:dyDescent="0.3">
      <c r="A1248" s="1">
        <v>21977</v>
      </c>
      <c r="B1248" t="s">
        <v>4897</v>
      </c>
      <c r="C1248" s="1">
        <v>0.5</v>
      </c>
      <c r="D1248" s="1">
        <v>2372</v>
      </c>
      <c r="E1248" s="1">
        <v>2242.44</v>
      </c>
      <c r="F1248" s="1">
        <v>25</v>
      </c>
      <c r="G1248" s="1">
        <v>28081.73</v>
      </c>
      <c r="H1248" s="1" t="s">
        <v>10</v>
      </c>
      <c r="I1248" t="str">
        <f t="shared" si="19"/>
        <v>PACK OF 60 PINK PAISLEY CAKE CASES [21977]</v>
      </c>
    </row>
    <row r="1249" spans="1:9" x14ac:dyDescent="0.3">
      <c r="A1249" s="1">
        <v>21980</v>
      </c>
      <c r="B1249" t="s">
        <v>4896</v>
      </c>
      <c r="C1249" s="1">
        <v>0.28999999999999998</v>
      </c>
      <c r="D1249" s="1">
        <v>615</v>
      </c>
      <c r="E1249" s="2">
        <v>1160.62962962962</v>
      </c>
      <c r="F1249" s="1">
        <v>25</v>
      </c>
      <c r="G1249" s="1">
        <v>8650.14</v>
      </c>
      <c r="H1249" s="1" t="s">
        <v>10</v>
      </c>
      <c r="I1249" t="str">
        <f t="shared" si="19"/>
        <v>PACK OF 12 RED SPOTTY TISSUES [21980]</v>
      </c>
    </row>
    <row r="1250" spans="1:9" x14ac:dyDescent="0.3">
      <c r="A1250" s="1">
        <v>21981</v>
      </c>
      <c r="B1250" t="s">
        <v>4895</v>
      </c>
      <c r="C1250" s="1">
        <v>0.3</v>
      </c>
      <c r="D1250" s="1">
        <v>422</v>
      </c>
      <c r="E1250" s="2">
        <v>1139.3043478260799</v>
      </c>
      <c r="F1250" s="1">
        <v>23</v>
      </c>
      <c r="G1250" s="1">
        <v>7129.46</v>
      </c>
      <c r="H1250" s="1" t="s">
        <v>10</v>
      </c>
      <c r="I1250" t="str">
        <f t="shared" si="19"/>
        <v>PACK OF 12 WOODLAND TISSUES [21981]</v>
      </c>
    </row>
    <row r="1251" spans="1:9" x14ac:dyDescent="0.3">
      <c r="A1251" s="1">
        <v>21982</v>
      </c>
      <c r="B1251" t="s">
        <v>4894</v>
      </c>
      <c r="C1251" s="1">
        <v>0.3</v>
      </c>
      <c r="D1251" s="1">
        <v>601</v>
      </c>
      <c r="E1251" s="2">
        <v>1457.95454545454</v>
      </c>
      <c r="F1251" s="1">
        <v>22</v>
      </c>
      <c r="G1251" s="1">
        <v>10387.83</v>
      </c>
      <c r="H1251" s="1" t="s">
        <v>10</v>
      </c>
      <c r="I1251" t="str">
        <f t="shared" si="19"/>
        <v>PACK OF 12 SUKI TISSUES [21982]</v>
      </c>
    </row>
    <row r="1252" spans="1:9" x14ac:dyDescent="0.3">
      <c r="A1252" s="1">
        <v>21983</v>
      </c>
      <c r="B1252" t="s">
        <v>4893</v>
      </c>
      <c r="C1252" s="1">
        <v>0.3</v>
      </c>
      <c r="D1252" s="1">
        <v>206</v>
      </c>
      <c r="E1252" s="1">
        <v>244.72</v>
      </c>
      <c r="F1252" s="1">
        <v>25</v>
      </c>
      <c r="G1252" s="1">
        <v>1875.02</v>
      </c>
      <c r="H1252" s="1" t="s">
        <v>10</v>
      </c>
      <c r="I1252" t="str">
        <f t="shared" si="19"/>
        <v>PACK OF 12 BLUE PAISLEY TISSUES [21983]</v>
      </c>
    </row>
    <row r="1253" spans="1:9" x14ac:dyDescent="0.3">
      <c r="A1253" s="1">
        <v>21984</v>
      </c>
      <c r="B1253" t="s">
        <v>4892</v>
      </c>
      <c r="C1253" s="1">
        <v>0.28999999999999998</v>
      </c>
      <c r="D1253" s="1">
        <v>294</v>
      </c>
      <c r="E1253" s="1">
        <v>1014.04</v>
      </c>
      <c r="F1253" s="1">
        <v>25</v>
      </c>
      <c r="G1253" s="1">
        <v>7023.95</v>
      </c>
      <c r="H1253" s="1" t="s">
        <v>10</v>
      </c>
      <c r="I1253" t="str">
        <f t="shared" si="19"/>
        <v>PACK OF 12 PINK PAISLEY TISSUES [21984]</v>
      </c>
    </row>
    <row r="1254" spans="1:9" x14ac:dyDescent="0.3">
      <c r="A1254" s="1">
        <v>21985</v>
      </c>
      <c r="B1254" t="s">
        <v>4891</v>
      </c>
      <c r="C1254" s="1">
        <v>0.31</v>
      </c>
      <c r="D1254" s="1">
        <v>728</v>
      </c>
      <c r="E1254" s="1">
        <v>1020.92</v>
      </c>
      <c r="F1254" s="1">
        <v>25</v>
      </c>
      <c r="G1254" s="1">
        <v>8972.11</v>
      </c>
      <c r="H1254" s="1" t="s">
        <v>10</v>
      </c>
      <c r="I1254" t="str">
        <f t="shared" si="19"/>
        <v>PACK OF 12 HEARTS DESIGN TISSUES [21985]</v>
      </c>
    </row>
    <row r="1255" spans="1:9" x14ac:dyDescent="0.3">
      <c r="A1255" s="1">
        <v>21986</v>
      </c>
      <c r="B1255" t="s">
        <v>4890</v>
      </c>
      <c r="C1255" s="1">
        <v>0.3</v>
      </c>
      <c r="D1255" s="1">
        <v>294</v>
      </c>
      <c r="E1255" s="2">
        <v>499.11111111111097</v>
      </c>
      <c r="F1255" s="1">
        <v>25</v>
      </c>
      <c r="G1255" s="1">
        <v>4786.13</v>
      </c>
      <c r="H1255" s="1" t="s">
        <v>10</v>
      </c>
      <c r="I1255" t="str">
        <f t="shared" si="19"/>
        <v>PACK OF 12 PINK SPOT TISSUES [21986]</v>
      </c>
    </row>
    <row r="1256" spans="1:9" x14ac:dyDescent="0.3">
      <c r="A1256" s="1">
        <v>21987</v>
      </c>
      <c r="B1256" t="s">
        <v>4889</v>
      </c>
      <c r="C1256" s="1">
        <v>0.65</v>
      </c>
      <c r="D1256" s="1">
        <v>165</v>
      </c>
      <c r="E1256" s="1">
        <v>256.68</v>
      </c>
      <c r="F1256" s="1">
        <v>25</v>
      </c>
      <c r="G1256" s="1">
        <v>3988.06</v>
      </c>
      <c r="H1256" s="1" t="s">
        <v>10</v>
      </c>
      <c r="I1256" t="str">
        <f t="shared" si="19"/>
        <v>PACK OF 6 SKULL PAPER CUPS [21987]</v>
      </c>
    </row>
    <row r="1257" spans="1:9" x14ac:dyDescent="0.3">
      <c r="A1257" s="1">
        <v>21988</v>
      </c>
      <c r="B1257" t="s">
        <v>4888</v>
      </c>
      <c r="C1257" s="1">
        <v>0.78</v>
      </c>
      <c r="D1257" s="1">
        <v>237</v>
      </c>
      <c r="E1257" s="1">
        <v>313.16000000000003</v>
      </c>
      <c r="F1257" s="1">
        <v>25</v>
      </c>
      <c r="G1257" s="1">
        <v>5820.1</v>
      </c>
      <c r="H1257" s="1" t="s">
        <v>10</v>
      </c>
      <c r="I1257" t="str">
        <f t="shared" si="19"/>
        <v>PACK OF 6 SKULL PAPER PLATES [21988]</v>
      </c>
    </row>
    <row r="1258" spans="1:9" x14ac:dyDescent="0.3">
      <c r="A1258" s="1">
        <v>21989</v>
      </c>
      <c r="B1258" t="s">
        <v>4887</v>
      </c>
      <c r="C1258" s="1">
        <v>0.88</v>
      </c>
      <c r="D1258" s="1">
        <v>193</v>
      </c>
      <c r="E1258" s="1">
        <v>342.08</v>
      </c>
      <c r="F1258" s="1">
        <v>25</v>
      </c>
      <c r="G1258" s="1">
        <v>6790.7</v>
      </c>
      <c r="H1258" s="1" t="s">
        <v>10</v>
      </c>
      <c r="I1258" t="str">
        <f t="shared" si="19"/>
        <v>PACK OF 20 SKULL PAPER NAPKINS [21989]</v>
      </c>
    </row>
    <row r="1259" spans="1:9" x14ac:dyDescent="0.3">
      <c r="A1259" s="1">
        <v>21990</v>
      </c>
      <c r="B1259" t="s">
        <v>4886</v>
      </c>
      <c r="C1259" s="1">
        <v>2.58</v>
      </c>
      <c r="D1259" s="1">
        <v>68</v>
      </c>
      <c r="E1259" s="1">
        <v>98.12</v>
      </c>
      <c r="F1259" s="1">
        <v>25</v>
      </c>
      <c r="G1259" s="1">
        <v>4530.54</v>
      </c>
      <c r="H1259" s="1" t="s">
        <v>10</v>
      </c>
      <c r="I1259" t="str">
        <f t="shared" si="19"/>
        <v>MODERN FLORAL STATIONERY SET [21990]</v>
      </c>
    </row>
    <row r="1260" spans="1:9" x14ac:dyDescent="0.3">
      <c r="A1260" s="1">
        <v>21991</v>
      </c>
      <c r="B1260" t="s">
        <v>4885</v>
      </c>
      <c r="C1260" s="1">
        <v>2.5</v>
      </c>
      <c r="D1260" s="1">
        <v>24</v>
      </c>
      <c r="E1260" s="2">
        <v>47.956521739130402</v>
      </c>
      <c r="F1260" s="1">
        <v>23</v>
      </c>
      <c r="G1260" s="1">
        <v>1927.54</v>
      </c>
      <c r="H1260" s="1" t="s">
        <v>9</v>
      </c>
      <c r="I1260" t="str">
        <f t="shared" si="19"/>
        <v>BOHEMIAN COLLAGE STATIONERY SET [21991]</v>
      </c>
    </row>
    <row r="1261" spans="1:9" x14ac:dyDescent="0.3">
      <c r="A1261" s="1">
        <v>21992</v>
      </c>
      <c r="B1261" t="s">
        <v>4884</v>
      </c>
      <c r="C1261" s="1">
        <v>2.5750000000000002</v>
      </c>
      <c r="D1261" s="1">
        <v>124</v>
      </c>
      <c r="E1261" s="2">
        <v>138.333333333333</v>
      </c>
      <c r="F1261" s="1">
        <v>24</v>
      </c>
      <c r="G1261" s="1">
        <v>6744.8</v>
      </c>
      <c r="H1261" s="1" t="s">
        <v>10</v>
      </c>
      <c r="I1261" t="str">
        <f t="shared" si="19"/>
        <v>VINTAGE PAISLEY STATIONERY SET [21992]</v>
      </c>
    </row>
    <row r="1262" spans="1:9" x14ac:dyDescent="0.3">
      <c r="A1262" s="1">
        <v>21993</v>
      </c>
      <c r="B1262" t="s">
        <v>4883</v>
      </c>
      <c r="C1262" s="2">
        <v>2.5549999999999899</v>
      </c>
      <c r="D1262" s="1">
        <v>72.5</v>
      </c>
      <c r="E1262" s="2">
        <v>118.708333333333</v>
      </c>
      <c r="F1262" s="1">
        <v>24</v>
      </c>
      <c r="G1262" s="1">
        <v>5216.88</v>
      </c>
      <c r="H1262" s="1" t="s">
        <v>10</v>
      </c>
      <c r="I1262" t="str">
        <f t="shared" si="19"/>
        <v>FLORAL FOLK STATIONERY SET [21993]</v>
      </c>
    </row>
    <row r="1263" spans="1:9" x14ac:dyDescent="0.3">
      <c r="A1263" s="1">
        <v>22016</v>
      </c>
      <c r="B1263" t="s">
        <v>4882</v>
      </c>
      <c r="C1263" s="1">
        <v>83.33</v>
      </c>
      <c r="D1263" s="1">
        <v>1</v>
      </c>
      <c r="E1263" s="1">
        <v>1</v>
      </c>
      <c r="F1263" s="1">
        <v>1</v>
      </c>
      <c r="G1263" s="1">
        <v>83.33</v>
      </c>
      <c r="H1263" s="1" t="s">
        <v>8</v>
      </c>
      <c r="I1263" t="str">
        <f t="shared" si="19"/>
        <v>Dotcomgiftshop Gift Voucher Â£100.00 [22016]</v>
      </c>
    </row>
    <row r="1264" spans="1:9" x14ac:dyDescent="0.3">
      <c r="A1264" s="1">
        <v>22021</v>
      </c>
      <c r="B1264" t="s">
        <v>4881</v>
      </c>
      <c r="C1264" s="1">
        <v>1.65</v>
      </c>
      <c r="D1264" s="1">
        <v>96.5</v>
      </c>
      <c r="E1264" s="1">
        <v>141.30000000000001</v>
      </c>
      <c r="F1264" s="1">
        <v>10</v>
      </c>
      <c r="G1264" s="1">
        <v>2430.31</v>
      </c>
      <c r="H1264" s="1" t="s">
        <v>10</v>
      </c>
      <c r="I1264" t="str">
        <f t="shared" si="19"/>
        <v>BLUE FELT EASTER EGG BASKET [22021]</v>
      </c>
    </row>
    <row r="1265" spans="1:9" x14ac:dyDescent="0.3">
      <c r="A1265" s="1">
        <v>22023</v>
      </c>
      <c r="B1265" t="s">
        <v>4880</v>
      </c>
      <c r="C1265" s="1">
        <v>0.43</v>
      </c>
      <c r="D1265" s="1">
        <v>145</v>
      </c>
      <c r="E1265" s="1">
        <v>199</v>
      </c>
      <c r="F1265" s="1">
        <v>25</v>
      </c>
      <c r="G1265" s="1">
        <v>2076.77</v>
      </c>
      <c r="H1265" s="1" t="s">
        <v>10</v>
      </c>
      <c r="I1265" t="str">
        <f t="shared" si="19"/>
        <v>EMPIRE BIRTHDAY CARD [22023]</v>
      </c>
    </row>
    <row r="1266" spans="1:9" x14ac:dyDescent="0.3">
      <c r="A1266" s="1">
        <v>22024</v>
      </c>
      <c r="B1266" t="s">
        <v>4879</v>
      </c>
      <c r="C1266" s="1">
        <v>0.42</v>
      </c>
      <c r="D1266" s="1">
        <v>183</v>
      </c>
      <c r="E1266" s="1">
        <v>215.64</v>
      </c>
      <c r="F1266" s="1">
        <v>25</v>
      </c>
      <c r="G1266" s="1">
        <v>2257</v>
      </c>
      <c r="H1266" s="1" t="s">
        <v>10</v>
      </c>
      <c r="I1266" t="str">
        <f t="shared" si="19"/>
        <v>RAINY LADIES BIRTHDAY CARD [22024]</v>
      </c>
    </row>
    <row r="1267" spans="1:9" x14ac:dyDescent="0.3">
      <c r="A1267" s="1">
        <v>22025</v>
      </c>
      <c r="B1267" t="s">
        <v>4878</v>
      </c>
      <c r="C1267" s="1">
        <v>0.43</v>
      </c>
      <c r="D1267" s="1">
        <v>139</v>
      </c>
      <c r="E1267" s="1">
        <v>158.80000000000001</v>
      </c>
      <c r="F1267" s="1">
        <v>25</v>
      </c>
      <c r="G1267" s="1">
        <v>1641.64</v>
      </c>
      <c r="H1267" s="1" t="s">
        <v>10</v>
      </c>
      <c r="I1267" t="str">
        <f t="shared" si="19"/>
        <v>RING OF ROSES BIRTHDAY CARD [22025]</v>
      </c>
    </row>
    <row r="1268" spans="1:9" x14ac:dyDescent="0.3">
      <c r="A1268" s="1">
        <v>22026</v>
      </c>
      <c r="B1268" t="s">
        <v>4877</v>
      </c>
      <c r="C1268" s="1">
        <v>0.43</v>
      </c>
      <c r="D1268" s="1">
        <v>156</v>
      </c>
      <c r="E1268" s="1">
        <v>161.16</v>
      </c>
      <c r="F1268" s="1">
        <v>25</v>
      </c>
      <c r="G1268" s="1">
        <v>1717.47</v>
      </c>
      <c r="H1268" s="1" t="s">
        <v>10</v>
      </c>
      <c r="I1268" t="str">
        <f t="shared" si="19"/>
        <v>BANQUET BIRTHDAY  CARD [22026]</v>
      </c>
    </row>
    <row r="1269" spans="1:9" x14ac:dyDescent="0.3">
      <c r="A1269" s="1">
        <v>22027</v>
      </c>
      <c r="B1269" t="s">
        <v>4876</v>
      </c>
      <c r="C1269" s="1">
        <v>0.42</v>
      </c>
      <c r="D1269" s="1">
        <v>431</v>
      </c>
      <c r="E1269" s="1">
        <v>451.88</v>
      </c>
      <c r="F1269" s="1">
        <v>25</v>
      </c>
      <c r="G1269" s="1">
        <v>4806.49</v>
      </c>
      <c r="H1269" s="1" t="s">
        <v>10</v>
      </c>
      <c r="I1269" t="str">
        <f t="shared" si="19"/>
        <v>TEA PARTY BIRTHDAY CARD [22027]</v>
      </c>
    </row>
    <row r="1270" spans="1:9" x14ac:dyDescent="0.3">
      <c r="A1270" s="1">
        <v>22028</v>
      </c>
      <c r="B1270" t="s">
        <v>4875</v>
      </c>
      <c r="C1270" s="1">
        <v>0.42</v>
      </c>
      <c r="D1270" s="1">
        <v>246</v>
      </c>
      <c r="E1270" s="1">
        <v>253.76</v>
      </c>
      <c r="F1270" s="1">
        <v>25</v>
      </c>
      <c r="G1270" s="1">
        <v>2665.13</v>
      </c>
      <c r="H1270" s="1" t="s">
        <v>10</v>
      </c>
      <c r="I1270" t="str">
        <f t="shared" si="19"/>
        <v>PENNY FARTHING BIRTHDAY CARD [22028]</v>
      </c>
    </row>
    <row r="1271" spans="1:9" x14ac:dyDescent="0.3">
      <c r="A1271" s="1">
        <v>22029</v>
      </c>
      <c r="B1271" t="s">
        <v>4874</v>
      </c>
      <c r="C1271" s="1">
        <v>0.42</v>
      </c>
      <c r="D1271" s="1">
        <v>594</v>
      </c>
      <c r="E1271" s="2">
        <v>567.80645161290295</v>
      </c>
      <c r="F1271" s="1">
        <v>25</v>
      </c>
      <c r="G1271" s="1">
        <v>7280.76</v>
      </c>
      <c r="H1271" s="1" t="s">
        <v>10</v>
      </c>
      <c r="I1271" t="str">
        <f t="shared" si="19"/>
        <v>SPACE BOY BIRTHDAY CARD [22029]</v>
      </c>
    </row>
    <row r="1272" spans="1:9" x14ac:dyDescent="0.3">
      <c r="A1272" s="1">
        <v>22030</v>
      </c>
      <c r="B1272" t="s">
        <v>4873</v>
      </c>
      <c r="C1272" s="1">
        <v>0.41499999999999998</v>
      </c>
      <c r="D1272" s="1">
        <v>466.5</v>
      </c>
      <c r="E1272" s="1">
        <v>530.625</v>
      </c>
      <c r="F1272" s="1">
        <v>24</v>
      </c>
      <c r="G1272" s="1">
        <v>5197.84</v>
      </c>
      <c r="H1272" s="1" t="s">
        <v>10</v>
      </c>
      <c r="I1272" t="str">
        <f t="shared" si="19"/>
        <v>SWALLOWS GREETING CARD [22030]</v>
      </c>
    </row>
    <row r="1273" spans="1:9" x14ac:dyDescent="0.3">
      <c r="A1273" s="1">
        <v>22031</v>
      </c>
      <c r="B1273" t="s">
        <v>4872</v>
      </c>
      <c r="C1273" s="1">
        <v>0.44</v>
      </c>
      <c r="D1273" s="1">
        <v>36</v>
      </c>
      <c r="E1273" s="1">
        <v>45</v>
      </c>
      <c r="F1273" s="1">
        <v>25</v>
      </c>
      <c r="G1273" s="1">
        <v>493.99</v>
      </c>
      <c r="H1273" s="1" t="s">
        <v>9</v>
      </c>
      <c r="I1273" t="str">
        <f t="shared" si="19"/>
        <v>BOTANICAL LAVENDER BIRTHDAY CARD [22031]</v>
      </c>
    </row>
    <row r="1274" spans="1:9" x14ac:dyDescent="0.3">
      <c r="A1274" s="1">
        <v>22032</v>
      </c>
      <c r="B1274" t="s">
        <v>4871</v>
      </c>
      <c r="C1274" s="1">
        <v>0.42</v>
      </c>
      <c r="D1274" s="1">
        <v>38</v>
      </c>
      <c r="E1274" s="2">
        <v>42.6086956521739</v>
      </c>
      <c r="F1274" s="1">
        <v>23</v>
      </c>
      <c r="G1274" s="1">
        <v>418.12</v>
      </c>
      <c r="H1274" s="1" t="s">
        <v>9</v>
      </c>
      <c r="I1274" t="str">
        <f t="shared" si="19"/>
        <v>BOTANICAL LILY GREETING CARD [22032]</v>
      </c>
    </row>
    <row r="1275" spans="1:9" x14ac:dyDescent="0.3">
      <c r="A1275" s="1">
        <v>22033</v>
      </c>
      <c r="B1275" t="s">
        <v>4870</v>
      </c>
      <c r="C1275" s="1">
        <v>0.42</v>
      </c>
      <c r="D1275" s="1">
        <v>72</v>
      </c>
      <c r="E1275" s="1">
        <v>80.150000000000006</v>
      </c>
      <c r="F1275" s="1">
        <v>20</v>
      </c>
      <c r="G1275" s="1">
        <v>681.93</v>
      </c>
      <c r="H1275" s="1" t="s">
        <v>10</v>
      </c>
      <c r="I1275" t="str">
        <f t="shared" si="19"/>
        <v>BOTANICAL ROSE GREETING CARD [22033]</v>
      </c>
    </row>
    <row r="1276" spans="1:9" x14ac:dyDescent="0.3">
      <c r="A1276" s="1">
        <v>22034</v>
      </c>
      <c r="B1276" t="s">
        <v>4869</v>
      </c>
      <c r="C1276" s="1">
        <v>0.42</v>
      </c>
      <c r="D1276" s="1">
        <v>60</v>
      </c>
      <c r="E1276" s="2">
        <v>179.666666666666</v>
      </c>
      <c r="F1276" s="1">
        <v>9</v>
      </c>
      <c r="G1276" s="1">
        <v>673.49</v>
      </c>
      <c r="H1276" s="1" t="s">
        <v>9</v>
      </c>
      <c r="I1276" t="str">
        <f t="shared" si="19"/>
        <v>ROBIN CHRISTMAS CARD [22034]</v>
      </c>
    </row>
    <row r="1277" spans="1:9" x14ac:dyDescent="0.3">
      <c r="A1277" s="1">
        <v>22035</v>
      </c>
      <c r="B1277" t="s">
        <v>4868</v>
      </c>
      <c r="C1277" s="1">
        <v>0.43</v>
      </c>
      <c r="D1277" s="1">
        <v>184</v>
      </c>
      <c r="E1277" s="2">
        <v>177.52173913043401</v>
      </c>
      <c r="F1277" s="1">
        <v>23</v>
      </c>
      <c r="G1277" s="1">
        <v>1731.24</v>
      </c>
      <c r="H1277" s="1" t="s">
        <v>10</v>
      </c>
      <c r="I1277" t="str">
        <f t="shared" si="19"/>
        <v>VINTAGE CARAVAN GREETING CARD [22035]</v>
      </c>
    </row>
    <row r="1278" spans="1:9" x14ac:dyDescent="0.3">
      <c r="A1278" s="1">
        <v>22036</v>
      </c>
      <c r="B1278" t="s">
        <v>4867</v>
      </c>
      <c r="C1278" s="1">
        <v>0.42</v>
      </c>
      <c r="D1278" s="1">
        <v>153</v>
      </c>
      <c r="E1278" s="1">
        <v>164.9</v>
      </c>
      <c r="F1278" s="1">
        <v>10</v>
      </c>
      <c r="G1278" s="1">
        <v>695.11</v>
      </c>
      <c r="H1278" s="1" t="s">
        <v>10</v>
      </c>
      <c r="I1278" t="str">
        <f t="shared" si="19"/>
        <v>DINOSAUR BIRTHDAY CARD [22036]</v>
      </c>
    </row>
    <row r="1279" spans="1:9" x14ac:dyDescent="0.3">
      <c r="A1279" s="1">
        <v>22037</v>
      </c>
      <c r="B1279" t="s">
        <v>4866</v>
      </c>
      <c r="C1279" s="1">
        <v>0.435</v>
      </c>
      <c r="D1279" s="1">
        <v>308</v>
      </c>
      <c r="E1279" s="2">
        <v>293.916666666666</v>
      </c>
      <c r="F1279" s="1">
        <v>24</v>
      </c>
      <c r="G1279" s="1">
        <v>3035.7</v>
      </c>
      <c r="H1279" s="1" t="s">
        <v>10</v>
      </c>
      <c r="I1279" t="str">
        <f t="shared" si="19"/>
        <v>ROBOT BIRTHDAY CARD [22037]</v>
      </c>
    </row>
    <row r="1280" spans="1:9" x14ac:dyDescent="0.3">
      <c r="A1280" s="1">
        <v>22038</v>
      </c>
      <c r="B1280" t="s">
        <v>4865</v>
      </c>
      <c r="C1280" s="1">
        <v>0.42</v>
      </c>
      <c r="D1280" s="1">
        <v>50</v>
      </c>
      <c r="E1280" s="2">
        <v>54.761904761904702</v>
      </c>
      <c r="F1280" s="1">
        <v>21</v>
      </c>
      <c r="G1280" s="1">
        <v>481</v>
      </c>
      <c r="H1280" s="1" t="s">
        <v>9</v>
      </c>
      <c r="I1280" t="str">
        <f t="shared" si="19"/>
        <v>BOTANICAL LAVENDER GIFT WRAP [22038]</v>
      </c>
    </row>
    <row r="1281" spans="1:9" x14ac:dyDescent="0.3">
      <c r="A1281" s="1">
        <v>22039</v>
      </c>
      <c r="B1281" t="s">
        <v>4864</v>
      </c>
      <c r="C1281" s="1">
        <v>0.42</v>
      </c>
      <c r="D1281" s="1">
        <v>25</v>
      </c>
      <c r="E1281" s="2">
        <v>56.6666666666666</v>
      </c>
      <c r="F1281" s="1">
        <v>15</v>
      </c>
      <c r="G1281" s="1">
        <v>353</v>
      </c>
      <c r="H1281" s="1" t="s">
        <v>9</v>
      </c>
      <c r="I1281" t="str">
        <f t="shared" si="19"/>
        <v>BOTANICAL LILY GIFT WRAP [22039]</v>
      </c>
    </row>
    <row r="1282" spans="1:9" x14ac:dyDescent="0.3">
      <c r="A1282" s="1">
        <v>22040</v>
      </c>
      <c r="B1282" t="s">
        <v>4863</v>
      </c>
      <c r="C1282" s="1">
        <v>0.42</v>
      </c>
      <c r="D1282" s="1">
        <v>75</v>
      </c>
      <c r="E1282" s="2">
        <v>122.39130434782599</v>
      </c>
      <c r="F1282" s="1">
        <v>23</v>
      </c>
      <c r="G1282" s="1">
        <v>1144.3</v>
      </c>
      <c r="H1282" s="1" t="s">
        <v>10</v>
      </c>
      <c r="I1282" t="str">
        <f t="shared" si="19"/>
        <v>BOTANICAL ROSE GIFT WRAP [22040]</v>
      </c>
    </row>
    <row r="1283" spans="1:9" x14ac:dyDescent="0.3">
      <c r="A1283" s="1">
        <v>22041</v>
      </c>
      <c r="B1283" t="s">
        <v>4862</v>
      </c>
      <c r="C1283" s="1">
        <v>2.4300000000000002</v>
      </c>
      <c r="D1283" s="1">
        <v>264</v>
      </c>
      <c r="E1283" s="1">
        <v>301.60000000000002</v>
      </c>
      <c r="F1283" s="1">
        <v>25</v>
      </c>
      <c r="G1283" s="1">
        <v>18650.87</v>
      </c>
      <c r="H1283" s="1" t="s">
        <v>10</v>
      </c>
      <c r="I1283" t="str">
        <f t="shared" ref="I1283:I1346" si="20">B1283&amp;" ["&amp;A1283&amp;"]"</f>
        <v>RECORD FRAME 7" SINGLE SIZE [22041]</v>
      </c>
    </row>
    <row r="1284" spans="1:9" x14ac:dyDescent="0.3">
      <c r="A1284" s="1">
        <v>22042</v>
      </c>
      <c r="B1284" t="s">
        <v>4861</v>
      </c>
      <c r="C1284" s="1">
        <v>0.42</v>
      </c>
      <c r="D1284" s="1">
        <v>54</v>
      </c>
      <c r="E1284" s="1">
        <v>108.625</v>
      </c>
      <c r="F1284" s="1">
        <v>16</v>
      </c>
      <c r="G1284" s="1">
        <v>627.19000000000005</v>
      </c>
      <c r="H1284" s="1" t="s">
        <v>9</v>
      </c>
      <c r="I1284" t="str">
        <f t="shared" si="20"/>
        <v>CHRISTMAS CARD SINGING ANGEL [22042]</v>
      </c>
    </row>
    <row r="1285" spans="1:9" x14ac:dyDescent="0.3">
      <c r="A1285" s="1">
        <v>22043</v>
      </c>
      <c r="B1285" t="s">
        <v>4860</v>
      </c>
      <c r="C1285" s="1">
        <v>0.42</v>
      </c>
      <c r="D1285" s="1">
        <v>50</v>
      </c>
      <c r="E1285" s="2">
        <v>146.46666666666599</v>
      </c>
      <c r="F1285" s="1">
        <v>15</v>
      </c>
      <c r="G1285" s="1">
        <v>619.25</v>
      </c>
      <c r="H1285" s="1" t="s">
        <v>9</v>
      </c>
      <c r="I1285" t="str">
        <f t="shared" si="20"/>
        <v>CHRISTMAS CARD SCREEN PRINT [22043]</v>
      </c>
    </row>
    <row r="1286" spans="1:9" x14ac:dyDescent="0.3">
      <c r="A1286" s="1">
        <v>22044</v>
      </c>
      <c r="B1286" t="s">
        <v>4859</v>
      </c>
      <c r="C1286" s="1">
        <v>0.42</v>
      </c>
      <c r="D1286" s="1">
        <v>60</v>
      </c>
      <c r="E1286" s="2">
        <v>176.363636363636</v>
      </c>
      <c r="F1286" s="1">
        <v>11</v>
      </c>
      <c r="G1286" s="1">
        <v>550.28</v>
      </c>
      <c r="H1286" s="1" t="s">
        <v>9</v>
      </c>
      <c r="I1286" t="str">
        <f t="shared" si="20"/>
        <v>CHRISTMAS CARD STACK OF PRESENTS [22044]</v>
      </c>
    </row>
    <row r="1287" spans="1:9" x14ac:dyDescent="0.3">
      <c r="A1287" s="1">
        <v>22045</v>
      </c>
      <c r="B1287" t="s">
        <v>4858</v>
      </c>
      <c r="C1287" s="1">
        <v>0.42</v>
      </c>
      <c r="D1287" s="1">
        <v>500</v>
      </c>
      <c r="E1287" s="2">
        <v>501.44827586206799</v>
      </c>
      <c r="F1287" s="1">
        <v>25</v>
      </c>
      <c r="G1287" s="1">
        <v>5981.64</v>
      </c>
      <c r="H1287" s="1" t="s">
        <v>10</v>
      </c>
      <c r="I1287" t="str">
        <f t="shared" si="20"/>
        <v>SPACE BOY GIFT WRAP [22045]</v>
      </c>
    </row>
    <row r="1288" spans="1:9" x14ac:dyDescent="0.3">
      <c r="A1288" s="1">
        <v>22046</v>
      </c>
      <c r="B1288" t="s">
        <v>4857</v>
      </c>
      <c r="C1288" s="1">
        <v>0.42</v>
      </c>
      <c r="D1288" s="1">
        <v>200</v>
      </c>
      <c r="E1288" s="1">
        <v>255</v>
      </c>
      <c r="F1288" s="1">
        <v>25</v>
      </c>
      <c r="G1288" s="1">
        <v>2613.5</v>
      </c>
      <c r="H1288" s="1" t="s">
        <v>10</v>
      </c>
      <c r="I1288" t="str">
        <f t="shared" si="20"/>
        <v>TEA PARTY  WRAPPING PAPER [22046]</v>
      </c>
    </row>
    <row r="1289" spans="1:9" x14ac:dyDescent="0.3">
      <c r="A1289" s="1">
        <v>22047</v>
      </c>
      <c r="B1289" t="s">
        <v>4856</v>
      </c>
      <c r="C1289" s="1">
        <v>0.42</v>
      </c>
      <c r="D1289" s="1">
        <v>275</v>
      </c>
      <c r="E1289" s="1">
        <v>330</v>
      </c>
      <c r="F1289" s="1">
        <v>25</v>
      </c>
      <c r="G1289" s="1">
        <v>3351</v>
      </c>
      <c r="H1289" s="1" t="s">
        <v>10</v>
      </c>
      <c r="I1289" t="str">
        <f t="shared" si="20"/>
        <v>EMPIRE GIFT WRAP [22047]</v>
      </c>
    </row>
    <row r="1290" spans="1:9" x14ac:dyDescent="0.3">
      <c r="A1290" s="1">
        <v>22048</v>
      </c>
      <c r="B1290" t="s">
        <v>4855</v>
      </c>
      <c r="C1290" s="1">
        <v>0.42</v>
      </c>
      <c r="D1290" s="1">
        <v>100</v>
      </c>
      <c r="E1290" s="2">
        <v>117.291666666666</v>
      </c>
      <c r="F1290" s="1">
        <v>24</v>
      </c>
      <c r="G1290" s="1">
        <v>1166.3</v>
      </c>
      <c r="H1290" s="1" t="s">
        <v>10</v>
      </c>
      <c r="I1290" t="str">
        <f t="shared" si="20"/>
        <v>BIRTHDAY BANQUET GIFT WRAP [22048]</v>
      </c>
    </row>
    <row r="1291" spans="1:9" x14ac:dyDescent="0.3">
      <c r="A1291" s="1">
        <v>22049</v>
      </c>
      <c r="B1291" t="s">
        <v>4854</v>
      </c>
      <c r="C1291" s="1">
        <v>0.42</v>
      </c>
      <c r="D1291" s="1">
        <v>300</v>
      </c>
      <c r="E1291" s="2">
        <v>388.888888888888</v>
      </c>
      <c r="F1291" s="1">
        <v>9</v>
      </c>
      <c r="G1291" s="1">
        <v>1015.75</v>
      </c>
      <c r="H1291" s="1" t="s">
        <v>10</v>
      </c>
      <c r="I1291" t="str">
        <f t="shared" si="20"/>
        <v>WRAP CHRISTMAS SCREEN PRINT [22049]</v>
      </c>
    </row>
    <row r="1292" spans="1:9" x14ac:dyDescent="0.3">
      <c r="A1292" s="1">
        <v>22050</v>
      </c>
      <c r="B1292" t="s">
        <v>4853</v>
      </c>
      <c r="C1292" s="1">
        <v>0.42</v>
      </c>
      <c r="D1292" s="1">
        <v>125</v>
      </c>
      <c r="E1292" s="1">
        <v>132</v>
      </c>
      <c r="F1292" s="1">
        <v>25</v>
      </c>
      <c r="G1292" s="1">
        <v>1354</v>
      </c>
      <c r="H1292" s="1" t="s">
        <v>10</v>
      </c>
      <c r="I1292" t="str">
        <f t="shared" si="20"/>
        <v>PINK PAISLEY ROSE GIFT WRAP [22050]</v>
      </c>
    </row>
    <row r="1293" spans="1:9" x14ac:dyDescent="0.3">
      <c r="A1293" s="1">
        <v>22051</v>
      </c>
      <c r="B1293" t="s">
        <v>4852</v>
      </c>
      <c r="C1293" s="1">
        <v>0.42</v>
      </c>
      <c r="D1293" s="1">
        <v>100</v>
      </c>
      <c r="E1293" s="2">
        <v>132.291666666666</v>
      </c>
      <c r="F1293" s="1">
        <v>24</v>
      </c>
      <c r="G1293" s="1">
        <v>1317.5</v>
      </c>
      <c r="H1293" s="1" t="s">
        <v>10</v>
      </c>
      <c r="I1293" t="str">
        <f t="shared" si="20"/>
        <v>BLUE SCANDINAVIAN PAISLEY WRAP [22051]</v>
      </c>
    </row>
    <row r="1294" spans="1:9" x14ac:dyDescent="0.3">
      <c r="A1294" s="1">
        <v>22052</v>
      </c>
      <c r="B1294" t="s">
        <v>4851</v>
      </c>
      <c r="C1294" s="1">
        <v>0.42</v>
      </c>
      <c r="D1294" s="1">
        <v>187.5</v>
      </c>
      <c r="E1294" s="2">
        <v>195.833333333333</v>
      </c>
      <c r="F1294" s="1">
        <v>18</v>
      </c>
      <c r="G1294" s="1">
        <v>1460.5</v>
      </c>
      <c r="H1294" s="1" t="s">
        <v>10</v>
      </c>
      <c r="I1294" t="str">
        <f t="shared" si="20"/>
        <v>VINTAGE CARAVAN GIFT WRAP [22052]</v>
      </c>
    </row>
    <row r="1295" spans="1:9" x14ac:dyDescent="0.3">
      <c r="A1295" s="1">
        <v>22053</v>
      </c>
      <c r="B1295" t="s">
        <v>4850</v>
      </c>
      <c r="C1295" s="1">
        <v>1.25</v>
      </c>
      <c r="D1295" s="1">
        <v>18.5</v>
      </c>
      <c r="E1295" s="2">
        <v>206.863636363636</v>
      </c>
      <c r="F1295" s="1">
        <v>22</v>
      </c>
      <c r="G1295" s="1">
        <v>4020.89</v>
      </c>
      <c r="H1295" s="1" t="s">
        <v>9</v>
      </c>
      <c r="I1295" t="str">
        <f t="shared" si="20"/>
        <v>EMPIRE DESIGN ROSETTE [22053]</v>
      </c>
    </row>
    <row r="1296" spans="1:9" x14ac:dyDescent="0.3">
      <c r="A1296" s="1">
        <v>22054</v>
      </c>
      <c r="B1296" t="s">
        <v>4849</v>
      </c>
      <c r="C1296" s="1">
        <v>1.875</v>
      </c>
      <c r="D1296" s="1">
        <v>77.5</v>
      </c>
      <c r="E1296" s="1">
        <v>90.25</v>
      </c>
      <c r="F1296" s="1">
        <v>4</v>
      </c>
      <c r="G1296" s="1">
        <v>655.01</v>
      </c>
      <c r="H1296" s="1" t="s">
        <v>10</v>
      </c>
      <c r="I1296" t="str">
        <f t="shared" si="20"/>
        <v>MINI CAKE STAND HANGING HEARTS [22054]</v>
      </c>
    </row>
    <row r="1297" spans="1:9" x14ac:dyDescent="0.3">
      <c r="A1297" s="1">
        <v>22055</v>
      </c>
      <c r="B1297" t="s">
        <v>4848</v>
      </c>
      <c r="C1297" s="1">
        <v>1.8</v>
      </c>
      <c r="D1297" s="1">
        <v>131.5</v>
      </c>
      <c r="E1297" s="2">
        <v>193.958333333333</v>
      </c>
      <c r="F1297" s="1">
        <v>24</v>
      </c>
      <c r="G1297" s="1">
        <v>8063.81</v>
      </c>
      <c r="H1297" s="1" t="s">
        <v>10</v>
      </c>
      <c r="I1297" t="str">
        <f t="shared" si="20"/>
        <v>MINI CAKE STAND  HANGING STRAWBERY [22055]</v>
      </c>
    </row>
    <row r="1298" spans="1:9" x14ac:dyDescent="0.3">
      <c r="A1298" s="1">
        <v>22056</v>
      </c>
      <c r="B1298" t="s">
        <v>4847</v>
      </c>
      <c r="C1298" s="1">
        <v>1.5049999999999999</v>
      </c>
      <c r="D1298" s="1">
        <v>37.5</v>
      </c>
      <c r="E1298" s="1">
        <v>75.875</v>
      </c>
      <c r="F1298" s="1">
        <v>8</v>
      </c>
      <c r="G1298" s="1">
        <v>656.87</v>
      </c>
      <c r="H1298" s="1" t="s">
        <v>9</v>
      </c>
      <c r="I1298" t="str">
        <f t="shared" si="20"/>
        <v>CERAMIC PLATE LOVE HEART DESIGN [22056]</v>
      </c>
    </row>
    <row r="1299" spans="1:9" x14ac:dyDescent="0.3">
      <c r="A1299" s="1">
        <v>22057</v>
      </c>
      <c r="B1299" t="s">
        <v>4846</v>
      </c>
      <c r="C1299" s="1">
        <v>1.49</v>
      </c>
      <c r="D1299" s="1">
        <v>67.5</v>
      </c>
      <c r="E1299" s="2">
        <v>120.166666666666</v>
      </c>
      <c r="F1299" s="1">
        <v>24</v>
      </c>
      <c r="G1299" s="1">
        <v>3943.09</v>
      </c>
      <c r="H1299" s="1" t="s">
        <v>10</v>
      </c>
      <c r="I1299" t="str">
        <f t="shared" si="20"/>
        <v>CERAMIC PLATE STRAWBERRY DESIGN [22057]</v>
      </c>
    </row>
    <row r="1300" spans="1:9" x14ac:dyDescent="0.3">
      <c r="A1300" s="1">
        <v>22058</v>
      </c>
      <c r="B1300" t="s">
        <v>4845</v>
      </c>
      <c r="C1300" s="1">
        <v>1.49</v>
      </c>
      <c r="D1300" s="1">
        <v>15</v>
      </c>
      <c r="E1300" s="2">
        <v>43.3333333333333</v>
      </c>
      <c r="F1300" s="1">
        <v>12</v>
      </c>
      <c r="G1300" s="1">
        <v>795.72</v>
      </c>
      <c r="H1300" s="1" t="s">
        <v>9</v>
      </c>
      <c r="I1300" t="str">
        <f t="shared" si="20"/>
        <v>CERAMIC LOVE HEARTS DESIGN MUG [22058]</v>
      </c>
    </row>
    <row r="1301" spans="1:9" x14ac:dyDescent="0.3">
      <c r="A1301" s="1">
        <v>22059</v>
      </c>
      <c r="B1301" t="s">
        <v>4844</v>
      </c>
      <c r="C1301" s="1">
        <v>1.49</v>
      </c>
      <c r="D1301" s="1">
        <v>146.5</v>
      </c>
      <c r="E1301" s="2">
        <v>170.61538461538399</v>
      </c>
      <c r="F1301" s="1">
        <v>24</v>
      </c>
      <c r="G1301" s="1">
        <v>6439.57</v>
      </c>
      <c r="H1301" s="1" t="s">
        <v>10</v>
      </c>
      <c r="I1301" t="str">
        <f t="shared" si="20"/>
        <v>CERAMIC STRWBERRY DESIGN MUG [22059]</v>
      </c>
    </row>
    <row r="1302" spans="1:9" x14ac:dyDescent="0.3">
      <c r="A1302" s="1">
        <v>22060</v>
      </c>
      <c r="B1302" t="s">
        <v>4843</v>
      </c>
      <c r="C1302" s="1">
        <v>9.4350000000000005</v>
      </c>
      <c r="D1302" s="1">
        <v>27.5</v>
      </c>
      <c r="E1302" s="2">
        <v>40.7222222222222</v>
      </c>
      <c r="F1302" s="1">
        <v>18</v>
      </c>
      <c r="G1302" s="1">
        <v>5691.41</v>
      </c>
      <c r="H1302" s="1" t="s">
        <v>9</v>
      </c>
      <c r="I1302" t="str">
        <f t="shared" si="20"/>
        <v>LARGE CAKE STAND HANGING HEARTS [22060]</v>
      </c>
    </row>
    <row r="1303" spans="1:9" x14ac:dyDescent="0.3">
      <c r="A1303" s="1">
        <v>22061</v>
      </c>
      <c r="B1303" t="s">
        <v>4842</v>
      </c>
      <c r="C1303" s="1">
        <v>9.9499999999999993</v>
      </c>
      <c r="D1303" s="1">
        <v>74</v>
      </c>
      <c r="E1303" s="1">
        <v>86.84</v>
      </c>
      <c r="F1303" s="1">
        <v>25</v>
      </c>
      <c r="G1303" s="1">
        <v>19121.37</v>
      </c>
      <c r="H1303" s="1" t="s">
        <v>10</v>
      </c>
      <c r="I1303" t="str">
        <f t="shared" si="20"/>
        <v>LARGE CAKE STAND  HANGING STRAWBERY [22061]</v>
      </c>
    </row>
    <row r="1304" spans="1:9" x14ac:dyDescent="0.3">
      <c r="A1304" s="1">
        <v>22062</v>
      </c>
      <c r="B1304" t="s">
        <v>4841</v>
      </c>
      <c r="C1304" s="1">
        <v>2.95</v>
      </c>
      <c r="D1304" s="1">
        <v>13</v>
      </c>
      <c r="E1304" s="2">
        <v>30.714285714285701</v>
      </c>
      <c r="F1304" s="1">
        <v>21</v>
      </c>
      <c r="G1304" s="1">
        <v>1151.8699999999999</v>
      </c>
      <c r="H1304" s="1" t="s">
        <v>9</v>
      </c>
      <c r="I1304" t="str">
        <f t="shared" si="20"/>
        <v>CERAMIC BOWL WITH LOVE HEART DESIGN [22062]</v>
      </c>
    </row>
    <row r="1305" spans="1:9" x14ac:dyDescent="0.3">
      <c r="A1305" s="1">
        <v>22063</v>
      </c>
      <c r="B1305" t="s">
        <v>4840</v>
      </c>
      <c r="C1305" s="1">
        <v>3.0150000000000001</v>
      </c>
      <c r="D1305" s="1">
        <v>67.5</v>
      </c>
      <c r="E1305" s="2">
        <v>87.5416666666666</v>
      </c>
      <c r="F1305" s="1">
        <v>24</v>
      </c>
      <c r="G1305" s="1">
        <v>6186.48</v>
      </c>
      <c r="H1305" s="1" t="s">
        <v>10</v>
      </c>
      <c r="I1305" t="str">
        <f t="shared" si="20"/>
        <v>CERAMIC BOWL WITH STRAWBERRY DESIGN [22063]</v>
      </c>
    </row>
    <row r="1306" spans="1:9" x14ac:dyDescent="0.3">
      <c r="A1306" s="1">
        <v>22064</v>
      </c>
      <c r="B1306" t="s">
        <v>4839</v>
      </c>
      <c r="C1306" s="1">
        <v>1.7</v>
      </c>
      <c r="D1306" s="1">
        <v>226</v>
      </c>
      <c r="E1306" s="1">
        <v>264.24</v>
      </c>
      <c r="F1306" s="1">
        <v>25</v>
      </c>
      <c r="G1306" s="1">
        <v>10592.66</v>
      </c>
      <c r="H1306" s="1" t="s">
        <v>10</v>
      </c>
      <c r="I1306" t="str">
        <f t="shared" si="20"/>
        <v>PINK DOUGHNUT TRINKET POT [22064]</v>
      </c>
    </row>
    <row r="1307" spans="1:9" x14ac:dyDescent="0.3">
      <c r="A1307" s="1">
        <v>22065</v>
      </c>
      <c r="B1307" t="s">
        <v>4838</v>
      </c>
      <c r="C1307" s="1">
        <v>1.45</v>
      </c>
      <c r="D1307" s="1">
        <v>203.5</v>
      </c>
      <c r="E1307" s="2">
        <v>479.888888888888</v>
      </c>
      <c r="F1307" s="1">
        <v>18</v>
      </c>
      <c r="G1307" s="1">
        <v>6267.05</v>
      </c>
      <c r="H1307" s="1" t="s">
        <v>10</v>
      </c>
      <c r="I1307" t="str">
        <f t="shared" si="20"/>
        <v>CHRISTMAS PUDDING TRINKET POT [22065]</v>
      </c>
    </row>
    <row r="1308" spans="1:9" x14ac:dyDescent="0.3">
      <c r="A1308" s="1">
        <v>22066</v>
      </c>
      <c r="B1308" t="s">
        <v>4837</v>
      </c>
      <c r="C1308" s="1">
        <v>1.45</v>
      </c>
      <c r="D1308" s="1">
        <v>69</v>
      </c>
      <c r="E1308" s="2">
        <v>112.823529411764</v>
      </c>
      <c r="F1308" s="1">
        <v>17</v>
      </c>
      <c r="G1308" s="2">
        <v>2137.5299999999902</v>
      </c>
      <c r="H1308" s="1" t="s">
        <v>10</v>
      </c>
      <c r="I1308" t="str">
        <f t="shared" si="20"/>
        <v>LOVE HEART TRINKET POT [22066]</v>
      </c>
    </row>
    <row r="1309" spans="1:9" x14ac:dyDescent="0.3">
      <c r="A1309" s="1">
        <v>22067</v>
      </c>
      <c r="B1309" t="s">
        <v>4836</v>
      </c>
      <c r="C1309" s="1">
        <v>1.7050000000000001</v>
      </c>
      <c r="D1309" s="1">
        <v>63.5</v>
      </c>
      <c r="E1309" s="1">
        <v>75.125</v>
      </c>
      <c r="F1309" s="1">
        <v>24</v>
      </c>
      <c r="G1309" s="1">
        <v>2999.04</v>
      </c>
      <c r="H1309" s="1" t="s">
        <v>10</v>
      </c>
      <c r="I1309" t="str">
        <f t="shared" si="20"/>
        <v>CHOC TRUFFLE GOLD TRINKET POT [22067]</v>
      </c>
    </row>
    <row r="1310" spans="1:9" x14ac:dyDescent="0.3">
      <c r="A1310" s="1">
        <v>22068</v>
      </c>
      <c r="B1310" t="s">
        <v>4835</v>
      </c>
      <c r="C1310" s="1">
        <v>1.9</v>
      </c>
      <c r="D1310" s="1">
        <v>37</v>
      </c>
      <c r="E1310" s="1">
        <v>37.68</v>
      </c>
      <c r="F1310" s="1">
        <v>24</v>
      </c>
      <c r="G1310" s="1">
        <v>1904.82</v>
      </c>
      <c r="H1310" s="1" t="s">
        <v>9</v>
      </c>
      <c r="I1310" t="str">
        <f t="shared" si="20"/>
        <v>BLACK PIRATE TREASURE CHEST [22068]</v>
      </c>
    </row>
    <row r="1311" spans="1:9" x14ac:dyDescent="0.3">
      <c r="A1311" s="1">
        <v>22069</v>
      </c>
      <c r="B1311" t="s">
        <v>4834</v>
      </c>
      <c r="C1311" s="1">
        <v>2.4649999999999999</v>
      </c>
      <c r="D1311" s="1">
        <v>29.5</v>
      </c>
      <c r="E1311" s="2">
        <v>37.230769230769198</v>
      </c>
      <c r="F1311" s="1">
        <v>25</v>
      </c>
      <c r="G1311" s="1">
        <v>2164.63</v>
      </c>
      <c r="H1311" s="1" t="s">
        <v>9</v>
      </c>
      <c r="I1311" t="str">
        <f t="shared" si="20"/>
        <v>BROWN  PIRATE TREASURE CHEST [22069]</v>
      </c>
    </row>
    <row r="1312" spans="1:9" x14ac:dyDescent="0.3">
      <c r="A1312" s="1">
        <v>22070</v>
      </c>
      <c r="B1312" t="s">
        <v>4833</v>
      </c>
      <c r="C1312" s="1">
        <v>3.75</v>
      </c>
      <c r="D1312" s="1">
        <v>53.5</v>
      </c>
      <c r="E1312" s="2">
        <v>70.576923076922995</v>
      </c>
      <c r="F1312" s="1">
        <v>25</v>
      </c>
      <c r="G1312" s="1">
        <v>5701.49</v>
      </c>
      <c r="H1312" s="1" t="s">
        <v>9</v>
      </c>
      <c r="I1312" t="str">
        <f t="shared" si="20"/>
        <v>SMALL RETRO SPOT MUG IN BOX  RED [22070]</v>
      </c>
    </row>
    <row r="1313" spans="1:9" x14ac:dyDescent="0.3">
      <c r="A1313" s="1">
        <v>22071</v>
      </c>
      <c r="B1313" t="s">
        <v>4832</v>
      </c>
      <c r="C1313" s="1">
        <v>3.75</v>
      </c>
      <c r="D1313" s="1">
        <v>26</v>
      </c>
      <c r="E1313" s="2">
        <v>56.6666666666666</v>
      </c>
      <c r="F1313" s="1">
        <v>25</v>
      </c>
      <c r="G1313" s="1">
        <v>4355.88</v>
      </c>
      <c r="H1313" s="1" t="s">
        <v>9</v>
      </c>
      <c r="I1313" t="str">
        <f t="shared" si="20"/>
        <v>SMALL RETRO SPOT MUG IN BOX  WHITE [22071]</v>
      </c>
    </row>
    <row r="1314" spans="1:9" x14ac:dyDescent="0.3">
      <c r="A1314" s="1">
        <v>22072</v>
      </c>
      <c r="B1314" t="s">
        <v>4831</v>
      </c>
      <c r="C1314" s="1">
        <v>3.9649999999999999</v>
      </c>
      <c r="D1314" s="1">
        <v>86</v>
      </c>
      <c r="E1314" s="1">
        <v>92.5</v>
      </c>
      <c r="F1314" s="1">
        <v>25</v>
      </c>
      <c r="G1314" s="1">
        <v>9231.01</v>
      </c>
      <c r="H1314" s="1" t="s">
        <v>10</v>
      </c>
      <c r="I1314" t="str">
        <f t="shared" si="20"/>
        <v>TEA CUP AND SAUCER RETRO SPOT [22072]</v>
      </c>
    </row>
    <row r="1315" spans="1:9" x14ac:dyDescent="0.3">
      <c r="A1315" s="1">
        <v>22073</v>
      </c>
      <c r="B1315" t="s">
        <v>4830</v>
      </c>
      <c r="C1315" s="1">
        <v>3.93</v>
      </c>
      <c r="D1315" s="1">
        <v>109</v>
      </c>
      <c r="E1315" s="2">
        <v>111.78947368420999</v>
      </c>
      <c r="F1315" s="1">
        <v>18</v>
      </c>
      <c r="G1315" s="1">
        <v>8457.89</v>
      </c>
      <c r="H1315" s="1" t="s">
        <v>10</v>
      </c>
      <c r="I1315" t="str">
        <f t="shared" si="20"/>
        <v>RETRO SPOT STORAGE JAR [22073]</v>
      </c>
    </row>
    <row r="1316" spans="1:9" x14ac:dyDescent="0.3">
      <c r="A1316" s="1">
        <v>22074</v>
      </c>
      <c r="B1316" t="s">
        <v>4829</v>
      </c>
      <c r="C1316" s="1">
        <v>1.65</v>
      </c>
      <c r="D1316" s="1">
        <v>42</v>
      </c>
      <c r="E1316" s="1">
        <v>86.24</v>
      </c>
      <c r="F1316" s="1">
        <v>25</v>
      </c>
      <c r="G1316" s="1">
        <v>2216.34</v>
      </c>
      <c r="H1316" s="1" t="s">
        <v>9</v>
      </c>
      <c r="I1316" t="str">
        <f t="shared" si="20"/>
        <v>6 RIBBONS SHIMMERING PINKS [22074]</v>
      </c>
    </row>
    <row r="1317" spans="1:9" x14ac:dyDescent="0.3">
      <c r="A1317" s="1">
        <v>22075</v>
      </c>
      <c r="B1317" t="s">
        <v>4828</v>
      </c>
      <c r="C1317" s="1">
        <v>1.65</v>
      </c>
      <c r="D1317" s="1">
        <v>55</v>
      </c>
      <c r="E1317" s="2">
        <v>146.47619047619</v>
      </c>
      <c r="F1317" s="1">
        <v>21</v>
      </c>
      <c r="G1317" s="1">
        <v>4648.3</v>
      </c>
      <c r="H1317" s="1" t="s">
        <v>9</v>
      </c>
      <c r="I1317" t="str">
        <f t="shared" si="20"/>
        <v>6 RIBBONS ELEGANT CHRISTMAS [22075]</v>
      </c>
    </row>
    <row r="1318" spans="1:9" x14ac:dyDescent="0.3">
      <c r="A1318" s="1">
        <v>22076</v>
      </c>
      <c r="B1318" t="s">
        <v>4827</v>
      </c>
      <c r="C1318" s="1">
        <v>1.71</v>
      </c>
      <c r="D1318" s="1">
        <v>83</v>
      </c>
      <c r="E1318" s="1">
        <v>94.12</v>
      </c>
      <c r="F1318" s="1">
        <v>25</v>
      </c>
      <c r="G1318" s="1">
        <v>3490.19</v>
      </c>
      <c r="H1318" s="1" t="s">
        <v>10</v>
      </c>
      <c r="I1318" t="str">
        <f t="shared" si="20"/>
        <v>6 RIBBONS EMPIRE [22076]</v>
      </c>
    </row>
    <row r="1319" spans="1:9" x14ac:dyDescent="0.3">
      <c r="A1319" s="1">
        <v>22077</v>
      </c>
      <c r="B1319" t="s">
        <v>4826</v>
      </c>
      <c r="C1319" s="1">
        <v>1.72</v>
      </c>
      <c r="D1319" s="1">
        <v>664.5</v>
      </c>
      <c r="E1319" s="1">
        <v>718.25</v>
      </c>
      <c r="F1319" s="1">
        <v>24</v>
      </c>
      <c r="G1319" s="1">
        <v>31513.11</v>
      </c>
      <c r="H1319" s="1" t="s">
        <v>10</v>
      </c>
      <c r="I1319" t="str">
        <f t="shared" si="20"/>
        <v>6 RIBBONS RUSTIC CHARM [22077]</v>
      </c>
    </row>
    <row r="1320" spans="1:9" x14ac:dyDescent="0.3">
      <c r="A1320" s="1">
        <v>22078</v>
      </c>
      <c r="B1320" t="s">
        <v>4825</v>
      </c>
      <c r="C1320" s="1">
        <v>2.13</v>
      </c>
      <c r="D1320" s="1">
        <v>146</v>
      </c>
      <c r="E1320" s="2">
        <v>173.21739130434699</v>
      </c>
      <c r="F1320" s="1">
        <v>23</v>
      </c>
      <c r="G1320" s="1">
        <v>8449.94</v>
      </c>
      <c r="H1320" s="1" t="s">
        <v>10</v>
      </c>
      <c r="I1320" t="str">
        <f t="shared" si="20"/>
        <v>RIBBON REEL LACE DESIGN [22078]</v>
      </c>
    </row>
    <row r="1321" spans="1:9" x14ac:dyDescent="0.3">
      <c r="A1321" s="1">
        <v>22079</v>
      </c>
      <c r="B1321" t="s">
        <v>4824</v>
      </c>
      <c r="C1321" s="1">
        <v>1.71</v>
      </c>
      <c r="D1321" s="1">
        <v>140</v>
      </c>
      <c r="E1321" s="1">
        <v>201.12</v>
      </c>
      <c r="F1321" s="1">
        <v>25</v>
      </c>
      <c r="G1321" s="1">
        <v>8457.84</v>
      </c>
      <c r="H1321" s="1" t="s">
        <v>10</v>
      </c>
      <c r="I1321" t="str">
        <f t="shared" si="20"/>
        <v>RIBBON REEL HEARTS DESIGN [22079]</v>
      </c>
    </row>
    <row r="1322" spans="1:9" x14ac:dyDescent="0.3">
      <c r="A1322" s="1">
        <v>22080</v>
      </c>
      <c r="B1322" t="s">
        <v>4823</v>
      </c>
      <c r="C1322" s="1">
        <v>1.67</v>
      </c>
      <c r="D1322" s="1">
        <v>187</v>
      </c>
      <c r="E1322" s="2">
        <v>168.91304347825999</v>
      </c>
      <c r="F1322" s="1">
        <v>20</v>
      </c>
      <c r="G1322" s="1">
        <v>6504.18</v>
      </c>
      <c r="H1322" s="1" t="s">
        <v>10</v>
      </c>
      <c r="I1322" t="str">
        <f t="shared" si="20"/>
        <v>RIBBON REEL SPOTS DESIGN [22080]</v>
      </c>
    </row>
    <row r="1323" spans="1:9" x14ac:dyDescent="0.3">
      <c r="A1323" s="1">
        <v>22081</v>
      </c>
      <c r="B1323" t="s">
        <v>4822</v>
      </c>
      <c r="C1323" s="1">
        <v>1.75</v>
      </c>
      <c r="D1323" s="1">
        <v>56</v>
      </c>
      <c r="E1323" s="1">
        <v>62.36</v>
      </c>
      <c r="F1323" s="1">
        <v>25</v>
      </c>
      <c r="G1323" s="1">
        <v>2761.04</v>
      </c>
      <c r="H1323" s="1" t="s">
        <v>9</v>
      </c>
      <c r="I1323" t="str">
        <f t="shared" si="20"/>
        <v>RIBBON REEL FLORA + FAUNA [22081]</v>
      </c>
    </row>
    <row r="1324" spans="1:9" x14ac:dyDescent="0.3">
      <c r="A1324" s="1">
        <v>22082</v>
      </c>
      <c r="B1324" t="s">
        <v>4821</v>
      </c>
      <c r="C1324" s="1">
        <v>1.68</v>
      </c>
      <c r="D1324" s="1">
        <v>228</v>
      </c>
      <c r="E1324" s="1">
        <v>290.68</v>
      </c>
      <c r="F1324" s="1">
        <v>25</v>
      </c>
      <c r="G1324" s="1">
        <v>12192.05</v>
      </c>
      <c r="H1324" s="1" t="s">
        <v>10</v>
      </c>
      <c r="I1324" t="str">
        <f t="shared" si="20"/>
        <v>RIBBON REEL STRIPES DESIGN [22082]</v>
      </c>
    </row>
    <row r="1325" spans="1:9" x14ac:dyDescent="0.3">
      <c r="A1325" s="1">
        <v>22083</v>
      </c>
      <c r="B1325" t="s">
        <v>4820</v>
      </c>
      <c r="C1325" s="2">
        <v>2.9299999999999899</v>
      </c>
      <c r="D1325" s="1">
        <v>432.5</v>
      </c>
      <c r="E1325" s="2">
        <v>489.85714285714198</v>
      </c>
      <c r="F1325" s="1">
        <v>25</v>
      </c>
      <c r="G1325" s="1">
        <v>40412.82</v>
      </c>
      <c r="H1325" s="1" t="s">
        <v>10</v>
      </c>
      <c r="I1325" t="str">
        <f t="shared" si="20"/>
        <v>PAPER CHAIN KIT RETRO SPOT [22083]</v>
      </c>
    </row>
    <row r="1326" spans="1:9" x14ac:dyDescent="0.3">
      <c r="A1326" s="1">
        <v>22084</v>
      </c>
      <c r="B1326" t="s">
        <v>4819</v>
      </c>
      <c r="C1326" s="1">
        <v>2.86</v>
      </c>
      <c r="D1326" s="1">
        <v>209</v>
      </c>
      <c r="E1326" s="2">
        <v>382.739130434782</v>
      </c>
      <c r="F1326" s="1">
        <v>23</v>
      </c>
      <c r="G1326" s="1">
        <v>25163.56</v>
      </c>
      <c r="H1326" s="1" t="s">
        <v>10</v>
      </c>
      <c r="I1326" t="str">
        <f t="shared" si="20"/>
        <v>PAPER CHAIN KIT EMPIRE [22084]</v>
      </c>
    </row>
    <row r="1327" spans="1:9" x14ac:dyDescent="0.3">
      <c r="A1327" s="1">
        <v>22085</v>
      </c>
      <c r="B1327" t="s">
        <v>4818</v>
      </c>
      <c r="C1327" s="1">
        <v>2.95</v>
      </c>
      <c r="D1327" s="1">
        <v>51</v>
      </c>
      <c r="E1327" s="1">
        <v>101.52</v>
      </c>
      <c r="F1327" s="1">
        <v>25</v>
      </c>
      <c r="G1327" s="1">
        <v>6883.87</v>
      </c>
      <c r="H1327" s="1" t="s">
        <v>9</v>
      </c>
      <c r="I1327" t="str">
        <f t="shared" si="20"/>
        <v>PAPER CHAIN KIT SKULLS [22085]</v>
      </c>
    </row>
    <row r="1328" spans="1:9" x14ac:dyDescent="0.3">
      <c r="A1328" s="1">
        <v>22086</v>
      </c>
      <c r="B1328" t="s">
        <v>4817</v>
      </c>
      <c r="C1328" s="2">
        <v>2.94</v>
      </c>
      <c r="D1328" s="1">
        <v>361</v>
      </c>
      <c r="E1328" s="2">
        <v>1461.8333333333301</v>
      </c>
      <c r="F1328" s="1">
        <v>24</v>
      </c>
      <c r="G1328" s="2">
        <v>117760.29</v>
      </c>
      <c r="H1328" s="1" t="s">
        <v>10</v>
      </c>
      <c r="I1328" t="str">
        <f t="shared" si="20"/>
        <v>PAPER CHAIN KIT 50'S CHRISTMAS [22086]</v>
      </c>
    </row>
    <row r="1329" spans="1:9" x14ac:dyDescent="0.3">
      <c r="A1329" s="1">
        <v>22087</v>
      </c>
      <c r="B1329" t="s">
        <v>4816</v>
      </c>
      <c r="C1329" s="1">
        <v>3</v>
      </c>
      <c r="D1329" s="1">
        <v>427</v>
      </c>
      <c r="E1329" s="1">
        <v>423.75</v>
      </c>
      <c r="F1329" s="1">
        <v>20</v>
      </c>
      <c r="G1329" s="1">
        <v>25389.1</v>
      </c>
      <c r="H1329" s="1" t="s">
        <v>10</v>
      </c>
      <c r="I1329" t="str">
        <f t="shared" si="20"/>
        <v>PAPER BUNTING WHITE LACE [22087]</v>
      </c>
    </row>
    <row r="1330" spans="1:9" x14ac:dyDescent="0.3">
      <c r="A1330" s="1">
        <v>22088</v>
      </c>
      <c r="B1330" t="s">
        <v>4815</v>
      </c>
      <c r="C1330" s="2">
        <v>2.98</v>
      </c>
      <c r="D1330" s="1">
        <v>208.5</v>
      </c>
      <c r="E1330" s="1">
        <v>219.95</v>
      </c>
      <c r="F1330" s="1">
        <v>20</v>
      </c>
      <c r="G1330" s="1">
        <v>13076.88</v>
      </c>
      <c r="H1330" s="1" t="s">
        <v>10</v>
      </c>
      <c r="I1330" t="str">
        <f t="shared" si="20"/>
        <v>PAPER BUNTING COLOURED LACE [22088]</v>
      </c>
    </row>
    <row r="1331" spans="1:9" x14ac:dyDescent="0.3">
      <c r="A1331" s="1">
        <v>22089</v>
      </c>
      <c r="B1331" t="s">
        <v>4814</v>
      </c>
      <c r="C1331" s="1">
        <v>2.99</v>
      </c>
      <c r="D1331" s="1">
        <v>132</v>
      </c>
      <c r="E1331" s="1">
        <v>140.24</v>
      </c>
      <c r="F1331" s="1">
        <v>25</v>
      </c>
      <c r="G1331" s="1">
        <v>10303.35</v>
      </c>
      <c r="H1331" s="1" t="s">
        <v>10</v>
      </c>
      <c r="I1331" t="str">
        <f t="shared" si="20"/>
        <v>PAPER BUNTING VINTAGE PAISLEY [22089]</v>
      </c>
    </row>
    <row r="1332" spans="1:9" x14ac:dyDescent="0.3">
      <c r="A1332" s="1">
        <v>22090</v>
      </c>
      <c r="B1332" t="s">
        <v>4813</v>
      </c>
      <c r="C1332" s="1">
        <v>2.9750000000000001</v>
      </c>
      <c r="D1332" s="1">
        <v>561.5</v>
      </c>
      <c r="E1332" s="2">
        <v>596.35714285714198</v>
      </c>
      <c r="F1332" s="1">
        <v>25</v>
      </c>
      <c r="G1332" s="1">
        <v>50431.9</v>
      </c>
      <c r="H1332" s="1" t="s">
        <v>10</v>
      </c>
      <c r="I1332" t="str">
        <f t="shared" si="20"/>
        <v>PAPER BUNTING RETRO SPOTS [22090]</v>
      </c>
    </row>
    <row r="1333" spans="1:9" x14ac:dyDescent="0.3">
      <c r="A1333" s="1">
        <v>22091</v>
      </c>
      <c r="B1333" t="s">
        <v>4812</v>
      </c>
      <c r="C1333" s="1">
        <v>1.3</v>
      </c>
      <c r="D1333" s="1">
        <v>68</v>
      </c>
      <c r="E1333" s="1">
        <v>127.16</v>
      </c>
      <c r="F1333" s="1">
        <v>25</v>
      </c>
      <c r="G1333" s="1">
        <v>2485.86</v>
      </c>
      <c r="H1333" s="1" t="s">
        <v>10</v>
      </c>
      <c r="I1333" t="str">
        <f t="shared" si="20"/>
        <v>EMPIRE TISSUE BOX [22091]</v>
      </c>
    </row>
    <row r="1334" spans="1:9" x14ac:dyDescent="0.3">
      <c r="A1334" s="1">
        <v>22092</v>
      </c>
      <c r="B1334" t="s">
        <v>4811</v>
      </c>
      <c r="C1334" s="1">
        <v>1.25</v>
      </c>
      <c r="D1334" s="1">
        <v>24.5</v>
      </c>
      <c r="E1334" s="2">
        <v>42.409090909090899</v>
      </c>
      <c r="F1334" s="1">
        <v>22</v>
      </c>
      <c r="G1334" s="1">
        <v>592.91</v>
      </c>
      <c r="H1334" s="1" t="s">
        <v>9</v>
      </c>
      <c r="I1334" t="str">
        <f t="shared" si="20"/>
        <v>BLUE PAISLEY TISSUE BOX [22092]</v>
      </c>
    </row>
    <row r="1335" spans="1:9" x14ac:dyDescent="0.3">
      <c r="A1335" s="1">
        <v>22093</v>
      </c>
      <c r="B1335" t="s">
        <v>4810</v>
      </c>
      <c r="C1335" s="1">
        <v>1.25</v>
      </c>
      <c r="D1335" s="1">
        <v>43.5</v>
      </c>
      <c r="E1335" s="1">
        <v>97.75</v>
      </c>
      <c r="F1335" s="1">
        <v>24</v>
      </c>
      <c r="G1335" s="2">
        <v>1429.87</v>
      </c>
      <c r="H1335" s="1" t="s">
        <v>9</v>
      </c>
      <c r="I1335" t="str">
        <f t="shared" si="20"/>
        <v>MOTORING TISSUE BOX [22093]</v>
      </c>
    </row>
    <row r="1336" spans="1:9" x14ac:dyDescent="0.3">
      <c r="A1336" s="1">
        <v>22094</v>
      </c>
      <c r="B1336" t="s">
        <v>4809</v>
      </c>
      <c r="C1336" s="1">
        <v>1.33</v>
      </c>
      <c r="D1336" s="1">
        <v>56.5</v>
      </c>
      <c r="E1336" s="2">
        <v>136.80769230769201</v>
      </c>
      <c r="F1336" s="1">
        <v>25</v>
      </c>
      <c r="G1336" s="1">
        <v>2649.05</v>
      </c>
      <c r="H1336" s="1" t="s">
        <v>9</v>
      </c>
      <c r="I1336" t="str">
        <f t="shared" si="20"/>
        <v>RED POLKA DOT TISSUE BOX [22094]</v>
      </c>
    </row>
    <row r="1337" spans="1:9" x14ac:dyDescent="0.3">
      <c r="A1337" s="1">
        <v>22095</v>
      </c>
      <c r="B1337" t="s">
        <v>4808</v>
      </c>
      <c r="C1337" s="1">
        <v>1.25</v>
      </c>
      <c r="D1337" s="1">
        <v>54</v>
      </c>
      <c r="E1337" s="1">
        <v>119.12</v>
      </c>
      <c r="F1337" s="1">
        <v>25</v>
      </c>
      <c r="G1337" s="1">
        <v>3123.03</v>
      </c>
      <c r="H1337" s="1" t="s">
        <v>9</v>
      </c>
      <c r="I1337" t="str">
        <f t="shared" si="20"/>
        <v>LADS ONLY TISSUE BOX [22095]</v>
      </c>
    </row>
    <row r="1338" spans="1:9" x14ac:dyDescent="0.3">
      <c r="A1338" s="1">
        <v>22096</v>
      </c>
      <c r="B1338" t="s">
        <v>4807</v>
      </c>
      <c r="C1338" s="1">
        <v>1.25</v>
      </c>
      <c r="D1338" s="1">
        <v>26.5</v>
      </c>
      <c r="E1338" s="2">
        <v>69.4583333333333</v>
      </c>
      <c r="F1338" s="1">
        <v>24</v>
      </c>
      <c r="G1338" s="1">
        <v>938.86</v>
      </c>
      <c r="H1338" s="1" t="s">
        <v>9</v>
      </c>
      <c r="I1338" t="str">
        <f t="shared" si="20"/>
        <v>PINK PAISLEY SQUARE TISSUE BOX [22096]</v>
      </c>
    </row>
    <row r="1339" spans="1:9" x14ac:dyDescent="0.3">
      <c r="A1339" s="1">
        <v>22097</v>
      </c>
      <c r="B1339" t="s">
        <v>4806</v>
      </c>
      <c r="C1339" s="1">
        <v>1.25</v>
      </c>
      <c r="D1339" s="1">
        <v>37</v>
      </c>
      <c r="E1339" s="1">
        <v>82.56</v>
      </c>
      <c r="F1339" s="1">
        <v>25</v>
      </c>
      <c r="G1339" s="1">
        <v>1281.75</v>
      </c>
      <c r="H1339" s="1" t="s">
        <v>9</v>
      </c>
      <c r="I1339" t="str">
        <f t="shared" si="20"/>
        <v>SWALLOW SQUARE TISSUE BOX [22097]</v>
      </c>
    </row>
    <row r="1340" spans="1:9" x14ac:dyDescent="0.3">
      <c r="A1340" s="1">
        <v>22098</v>
      </c>
      <c r="B1340" t="s">
        <v>4805</v>
      </c>
      <c r="C1340" s="1">
        <v>1.32</v>
      </c>
      <c r="D1340" s="1">
        <v>47</v>
      </c>
      <c r="E1340" s="1">
        <v>114.6</v>
      </c>
      <c r="F1340" s="1">
        <v>25</v>
      </c>
      <c r="G1340" s="1">
        <v>1952.04</v>
      </c>
      <c r="H1340" s="1" t="s">
        <v>9</v>
      </c>
      <c r="I1340" t="str">
        <f t="shared" si="20"/>
        <v>BOUDOIR SQUARE TISSUE BOX [22098]</v>
      </c>
    </row>
    <row r="1341" spans="1:9" x14ac:dyDescent="0.3">
      <c r="A1341" s="1">
        <v>22099</v>
      </c>
      <c r="B1341" t="s">
        <v>4804</v>
      </c>
      <c r="C1341" s="1">
        <v>1.27</v>
      </c>
      <c r="D1341" s="1">
        <v>45</v>
      </c>
      <c r="E1341" s="1">
        <v>84.92</v>
      </c>
      <c r="F1341" s="1">
        <v>25</v>
      </c>
      <c r="G1341" s="1">
        <v>1585.46</v>
      </c>
      <c r="H1341" s="1" t="s">
        <v>9</v>
      </c>
      <c r="I1341" t="str">
        <f t="shared" si="20"/>
        <v>CARAVAN SQUARE TISSUE BOX [22099]</v>
      </c>
    </row>
    <row r="1342" spans="1:9" x14ac:dyDescent="0.3">
      <c r="A1342" s="1">
        <v>22100</v>
      </c>
      <c r="B1342" t="s">
        <v>4803</v>
      </c>
      <c r="C1342" s="1">
        <v>1.34</v>
      </c>
      <c r="D1342" s="1">
        <v>27</v>
      </c>
      <c r="E1342" s="2">
        <v>43.695652173912997</v>
      </c>
      <c r="F1342" s="1">
        <v>23</v>
      </c>
      <c r="G1342" s="1">
        <v>709.5</v>
      </c>
      <c r="H1342" s="1" t="s">
        <v>9</v>
      </c>
      <c r="I1342" t="str">
        <f t="shared" si="20"/>
        <v>SKULLS SQUARE TISSUE BOX [22100]</v>
      </c>
    </row>
    <row r="1343" spans="1:9" x14ac:dyDescent="0.3">
      <c r="A1343" s="1">
        <v>22101</v>
      </c>
      <c r="B1343" t="s">
        <v>4802</v>
      </c>
      <c r="C1343" s="2">
        <v>2.36</v>
      </c>
      <c r="D1343" s="1">
        <v>49</v>
      </c>
      <c r="E1343" s="2">
        <v>50.6666666666666</v>
      </c>
      <c r="F1343" s="1">
        <v>24</v>
      </c>
      <c r="G1343" s="1">
        <v>2441.9699999999998</v>
      </c>
      <c r="H1343" s="1" t="s">
        <v>9</v>
      </c>
      <c r="I1343" t="str">
        <f t="shared" si="20"/>
        <v>MIRROR MOSAIC VOTIVE HOLDER [22101]</v>
      </c>
    </row>
    <row r="1344" spans="1:9" x14ac:dyDescent="0.3">
      <c r="A1344" s="1">
        <v>22102</v>
      </c>
      <c r="B1344" t="s">
        <v>4801</v>
      </c>
      <c r="C1344" s="1">
        <v>1.65</v>
      </c>
      <c r="D1344" s="1">
        <v>6.5</v>
      </c>
      <c r="E1344" s="2">
        <v>15.4545454545454</v>
      </c>
      <c r="F1344" s="1">
        <v>22</v>
      </c>
      <c r="G1344" s="1">
        <v>597.21</v>
      </c>
      <c r="H1344" s="1" t="s">
        <v>8</v>
      </c>
      <c r="I1344" t="str">
        <f t="shared" si="20"/>
        <v>MIRROR MOSAIC T-LIGHT HOLDER [22102]</v>
      </c>
    </row>
    <row r="1345" spans="1:9" x14ac:dyDescent="0.3">
      <c r="A1345" s="1">
        <v>22103</v>
      </c>
      <c r="B1345" t="s">
        <v>4800</v>
      </c>
      <c r="C1345" s="1">
        <v>1.7250000000000001</v>
      </c>
      <c r="D1345" s="1">
        <v>22</v>
      </c>
      <c r="E1345" s="1">
        <v>37.700000000000003</v>
      </c>
      <c r="F1345" s="1">
        <v>20</v>
      </c>
      <c r="G1345" s="1">
        <v>1329.64</v>
      </c>
      <c r="H1345" s="1" t="s">
        <v>9</v>
      </c>
      <c r="I1345" t="str">
        <f t="shared" si="20"/>
        <v>MIRROR MOSAIC T-LIGHT HOLDER ROUND [22103]</v>
      </c>
    </row>
    <row r="1346" spans="1:9" x14ac:dyDescent="0.3">
      <c r="A1346" s="1">
        <v>22104</v>
      </c>
      <c r="B1346" t="s">
        <v>4799</v>
      </c>
      <c r="C1346" s="1">
        <v>1.5649999999999999</v>
      </c>
      <c r="D1346" s="1">
        <v>14</v>
      </c>
      <c r="E1346" s="2">
        <v>49.4583333333333</v>
      </c>
      <c r="F1346" s="1">
        <v>24</v>
      </c>
      <c r="G1346" s="1">
        <v>968.08</v>
      </c>
      <c r="H1346" s="1" t="s">
        <v>9</v>
      </c>
      <c r="I1346" t="str">
        <f t="shared" si="20"/>
        <v>MIRROR MOSAIC CANDLE PLATE [22104]</v>
      </c>
    </row>
    <row r="1347" spans="1:9" x14ac:dyDescent="0.3">
      <c r="A1347" s="1">
        <v>22105</v>
      </c>
      <c r="B1347" t="s">
        <v>4798</v>
      </c>
      <c r="C1347" s="1">
        <v>4.22</v>
      </c>
      <c r="D1347" s="1">
        <v>4</v>
      </c>
      <c r="E1347" s="2">
        <v>9.5714285714285694</v>
      </c>
      <c r="F1347" s="1">
        <v>21</v>
      </c>
      <c r="G1347" s="1">
        <v>793.27</v>
      </c>
      <c r="H1347" s="1" t="s">
        <v>8</v>
      </c>
      <c r="I1347" t="str">
        <f t="shared" ref="I1347:I1410" si="21">B1347&amp;" ["&amp;A1347&amp;"]"</f>
        <v>MIRROR MOSAIC GOBLET CANDLE HOLDER [22105]</v>
      </c>
    </row>
    <row r="1348" spans="1:9" x14ac:dyDescent="0.3">
      <c r="A1348" s="1">
        <v>22106</v>
      </c>
      <c r="B1348" t="s">
        <v>4797</v>
      </c>
      <c r="C1348" s="1">
        <v>5.7850000000000001</v>
      </c>
      <c r="D1348" s="1">
        <v>7</v>
      </c>
      <c r="E1348" s="2">
        <v>11.6818181818181</v>
      </c>
      <c r="F1348" s="1">
        <v>22</v>
      </c>
      <c r="G1348" s="1">
        <v>1214.31</v>
      </c>
      <c r="H1348" s="1" t="s">
        <v>8</v>
      </c>
      <c r="I1348" t="str">
        <f t="shared" si="21"/>
        <v>MIRROR MOSAIC HURRICANE LAMP [22106]</v>
      </c>
    </row>
    <row r="1349" spans="1:9" x14ac:dyDescent="0.3">
      <c r="A1349" s="1">
        <v>22107</v>
      </c>
      <c r="B1349" t="s">
        <v>4796</v>
      </c>
      <c r="C1349" s="1">
        <v>4.1399999999999997</v>
      </c>
      <c r="D1349" s="1">
        <v>34</v>
      </c>
      <c r="E1349" s="1">
        <v>49.6</v>
      </c>
      <c r="F1349" s="1">
        <v>25</v>
      </c>
      <c r="G1349" s="1">
        <v>4840.59</v>
      </c>
      <c r="H1349" s="1" t="s">
        <v>9</v>
      </c>
      <c r="I1349" t="str">
        <f t="shared" si="21"/>
        <v>PIZZA PLATE IN BOX [22107]</v>
      </c>
    </row>
    <row r="1350" spans="1:9" x14ac:dyDescent="0.3">
      <c r="A1350" s="1">
        <v>22108</v>
      </c>
      <c r="B1350" t="s">
        <v>4795</v>
      </c>
      <c r="C1350" s="1">
        <v>3.36</v>
      </c>
      <c r="D1350" s="1">
        <v>11</v>
      </c>
      <c r="E1350" s="2">
        <v>13.6086956521739</v>
      </c>
      <c r="F1350" s="1">
        <v>23</v>
      </c>
      <c r="G1350" s="1">
        <v>978.74</v>
      </c>
      <c r="H1350" s="1" t="s">
        <v>9</v>
      </c>
      <c r="I1350" t="str">
        <f t="shared" si="21"/>
        <v>PING! MICROWAVE PLATE [22108]</v>
      </c>
    </row>
    <row r="1351" spans="1:9" x14ac:dyDescent="0.3">
      <c r="A1351" s="1">
        <v>22109</v>
      </c>
      <c r="B1351" t="s">
        <v>4794</v>
      </c>
      <c r="C1351" s="1">
        <v>4.08</v>
      </c>
      <c r="D1351" s="1">
        <v>95</v>
      </c>
      <c r="E1351" s="1">
        <v>133.52000000000001</v>
      </c>
      <c r="F1351" s="1">
        <v>25</v>
      </c>
      <c r="G1351" s="1">
        <v>13750.11</v>
      </c>
      <c r="H1351" s="1" t="s">
        <v>10</v>
      </c>
      <c r="I1351" t="str">
        <f t="shared" si="21"/>
        <v>FULL ENGLISH BREAKFAST PLATE [22109]</v>
      </c>
    </row>
    <row r="1352" spans="1:9" x14ac:dyDescent="0.3">
      <c r="A1352" s="1">
        <v>22110</v>
      </c>
      <c r="B1352" t="s">
        <v>4793</v>
      </c>
      <c r="C1352" s="1">
        <v>3.59</v>
      </c>
      <c r="D1352" s="1">
        <v>57</v>
      </c>
      <c r="E1352" s="1">
        <v>104.36</v>
      </c>
      <c r="F1352" s="1">
        <v>25</v>
      </c>
      <c r="G1352" s="1">
        <v>8563.76</v>
      </c>
      <c r="H1352" s="1" t="s">
        <v>9</v>
      </c>
      <c r="I1352" t="str">
        <f t="shared" si="21"/>
        <v>BIRD HOUSE HOT WATER BOTTLE [22110]</v>
      </c>
    </row>
    <row r="1353" spans="1:9" x14ac:dyDescent="0.3">
      <c r="A1353" s="1">
        <v>22111</v>
      </c>
      <c r="B1353" t="s">
        <v>4792</v>
      </c>
      <c r="C1353" s="1">
        <v>5.13</v>
      </c>
      <c r="D1353" s="1">
        <v>145</v>
      </c>
      <c r="E1353" s="1">
        <v>391.04</v>
      </c>
      <c r="F1353" s="1">
        <v>25</v>
      </c>
      <c r="G1353" s="1">
        <v>49771.94</v>
      </c>
      <c r="H1353" s="1" t="s">
        <v>10</v>
      </c>
      <c r="I1353" t="str">
        <f t="shared" si="21"/>
        <v>SCOTTIE DOG HOT WATER BOTTLE [22111]</v>
      </c>
    </row>
    <row r="1354" spans="1:9" x14ac:dyDescent="0.3">
      <c r="A1354" s="1">
        <v>22112</v>
      </c>
      <c r="B1354" t="s">
        <v>4791</v>
      </c>
      <c r="C1354" s="1">
        <v>5.1100000000000003</v>
      </c>
      <c r="D1354" s="1">
        <v>173</v>
      </c>
      <c r="E1354" s="1">
        <v>442.6</v>
      </c>
      <c r="F1354" s="1">
        <v>25</v>
      </c>
      <c r="G1354" s="1">
        <v>57981.94</v>
      </c>
      <c r="H1354" s="1" t="s">
        <v>10</v>
      </c>
      <c r="I1354" t="str">
        <f t="shared" si="21"/>
        <v>CHOCOLATE HOT WATER BOTTLE [22112]</v>
      </c>
    </row>
    <row r="1355" spans="1:9" x14ac:dyDescent="0.3">
      <c r="A1355" s="1">
        <v>22113</v>
      </c>
      <c r="B1355" t="s">
        <v>4790</v>
      </c>
      <c r="C1355" s="1">
        <v>3.75</v>
      </c>
      <c r="D1355" s="1">
        <v>344</v>
      </c>
      <c r="E1355" s="2">
        <v>338.76470588235202</v>
      </c>
      <c r="F1355" s="1">
        <v>17</v>
      </c>
      <c r="G1355" s="1">
        <v>22025.93</v>
      </c>
      <c r="H1355" s="1" t="s">
        <v>10</v>
      </c>
      <c r="I1355" t="str">
        <f t="shared" si="21"/>
        <v>GREY HEART HOT WATER BOTTLE [22113]</v>
      </c>
    </row>
    <row r="1356" spans="1:9" x14ac:dyDescent="0.3">
      <c r="A1356" s="1">
        <v>22114</v>
      </c>
      <c r="B1356" t="s">
        <v>4789</v>
      </c>
      <c r="C1356" s="1">
        <v>4.46</v>
      </c>
      <c r="D1356" s="1">
        <v>235</v>
      </c>
      <c r="E1356" s="1">
        <v>556.04761904761904</v>
      </c>
      <c r="F1356" s="1">
        <v>21</v>
      </c>
      <c r="G1356" s="1">
        <v>59189.14</v>
      </c>
      <c r="H1356" s="1" t="s">
        <v>10</v>
      </c>
      <c r="I1356" t="str">
        <f t="shared" si="21"/>
        <v>HOT WATER BOTTLE TEA AND SYMPATHY [22114]</v>
      </c>
    </row>
    <row r="1357" spans="1:9" x14ac:dyDescent="0.3">
      <c r="A1357" s="1">
        <v>22115</v>
      </c>
      <c r="B1357" t="s">
        <v>4788</v>
      </c>
      <c r="C1357" s="1">
        <v>3.38</v>
      </c>
      <c r="D1357" s="1">
        <v>48</v>
      </c>
      <c r="E1357" s="1">
        <v>90.6</v>
      </c>
      <c r="F1357" s="1">
        <v>20</v>
      </c>
      <c r="G1357" s="1">
        <v>4761.3100000000004</v>
      </c>
      <c r="H1357" s="1" t="s">
        <v>9</v>
      </c>
      <c r="I1357" t="str">
        <f t="shared" si="21"/>
        <v>METAL SIGN EMPIRE TEA [22115]</v>
      </c>
    </row>
    <row r="1358" spans="1:9" x14ac:dyDescent="0.3">
      <c r="A1358" s="1">
        <v>22116</v>
      </c>
      <c r="B1358" t="s">
        <v>4787</v>
      </c>
      <c r="C1358" s="1">
        <v>2.5099999999999998</v>
      </c>
      <c r="D1358" s="1">
        <v>12</v>
      </c>
      <c r="E1358" s="1">
        <v>32.92</v>
      </c>
      <c r="F1358" s="1">
        <v>25</v>
      </c>
      <c r="G1358" s="2">
        <v>1103.8799999999901</v>
      </c>
      <c r="H1358" s="1" t="s">
        <v>9</v>
      </c>
      <c r="I1358" t="str">
        <f t="shared" si="21"/>
        <v>METAL SIGN HIS DINNER IS SERVED [22116]</v>
      </c>
    </row>
    <row r="1359" spans="1:9" x14ac:dyDescent="0.3">
      <c r="A1359" s="1">
        <v>22117</v>
      </c>
      <c r="B1359" t="s">
        <v>4786</v>
      </c>
      <c r="C1359" s="1">
        <v>2.95</v>
      </c>
      <c r="D1359" s="1">
        <v>35</v>
      </c>
      <c r="E1359" s="1">
        <v>70.599999999999994</v>
      </c>
      <c r="F1359" s="1">
        <v>25</v>
      </c>
      <c r="G1359" s="1">
        <v>5207.7299999999996</v>
      </c>
      <c r="H1359" s="1" t="s">
        <v>9</v>
      </c>
      <c r="I1359" t="str">
        <f t="shared" si="21"/>
        <v>METAL SIGN HER DINNER IS SERVED [22117]</v>
      </c>
    </row>
    <row r="1360" spans="1:9" x14ac:dyDescent="0.3">
      <c r="A1360" s="1">
        <v>22118</v>
      </c>
      <c r="B1360" t="s">
        <v>4785</v>
      </c>
      <c r="C1360" s="1">
        <v>4.95</v>
      </c>
      <c r="D1360" s="1">
        <v>13</v>
      </c>
      <c r="E1360" s="2">
        <v>34.739130434782602</v>
      </c>
      <c r="F1360" s="1">
        <v>23</v>
      </c>
      <c r="G1360" s="1">
        <v>3842.07</v>
      </c>
      <c r="H1360" s="1" t="s">
        <v>9</v>
      </c>
      <c r="I1360" t="str">
        <f t="shared" si="21"/>
        <v>JOY WOODEN BLOCK LETTERS [22118]</v>
      </c>
    </row>
    <row r="1361" spans="1:9" x14ac:dyDescent="0.3">
      <c r="A1361" s="1">
        <v>22119</v>
      </c>
      <c r="B1361" t="s">
        <v>4784</v>
      </c>
      <c r="C1361" s="1">
        <v>6.95</v>
      </c>
      <c r="D1361" s="1">
        <v>16</v>
      </c>
      <c r="E1361" s="2">
        <v>34.461538461538403</v>
      </c>
      <c r="F1361" s="1">
        <v>25</v>
      </c>
      <c r="G1361" s="1">
        <v>5543.87</v>
      </c>
      <c r="H1361" s="1" t="s">
        <v>9</v>
      </c>
      <c r="I1361" t="str">
        <f t="shared" si="21"/>
        <v>PEACE WOODEN BLOCK LETTERS [22119]</v>
      </c>
    </row>
    <row r="1362" spans="1:9" x14ac:dyDescent="0.3">
      <c r="A1362" s="1">
        <v>22120</v>
      </c>
      <c r="B1362" t="s">
        <v>4783</v>
      </c>
      <c r="C1362" s="1">
        <v>10.33</v>
      </c>
      <c r="D1362" s="1">
        <v>53</v>
      </c>
      <c r="E1362" s="2">
        <v>48.476190476190403</v>
      </c>
      <c r="F1362" s="1">
        <v>21</v>
      </c>
      <c r="G1362" s="1">
        <v>10314.19</v>
      </c>
      <c r="H1362" s="1" t="s">
        <v>9</v>
      </c>
      <c r="I1362" t="str">
        <f t="shared" si="21"/>
        <v>WELCOME  WOODEN BLOCK LETTERS [22120]</v>
      </c>
    </row>
    <row r="1363" spans="1:9" x14ac:dyDescent="0.3">
      <c r="A1363" s="1">
        <v>22121</v>
      </c>
      <c r="B1363" t="s">
        <v>4782</v>
      </c>
      <c r="C1363" s="1">
        <v>6.02</v>
      </c>
      <c r="D1363" s="1">
        <v>34</v>
      </c>
      <c r="E1363" s="2">
        <v>77.947368421052602</v>
      </c>
      <c r="F1363" s="1">
        <v>19</v>
      </c>
      <c r="G1363" s="1">
        <v>9167.61</v>
      </c>
      <c r="H1363" s="1" t="s">
        <v>9</v>
      </c>
      <c r="I1363" t="str">
        <f t="shared" si="21"/>
        <v>NOEL WOODEN BLOCK LETTERS [22121]</v>
      </c>
    </row>
    <row r="1364" spans="1:9" x14ac:dyDescent="0.3">
      <c r="A1364" s="1">
        <v>22122</v>
      </c>
      <c r="B1364" t="s">
        <v>4781</v>
      </c>
      <c r="C1364" s="1">
        <v>2.95</v>
      </c>
      <c r="D1364" s="1">
        <v>100</v>
      </c>
      <c r="E1364" s="2">
        <v>121.666666666666</v>
      </c>
      <c r="F1364" s="1">
        <v>9</v>
      </c>
      <c r="G1364" s="1">
        <v>3290.08</v>
      </c>
      <c r="H1364" s="1" t="s">
        <v>10</v>
      </c>
      <c r="I1364" t="str">
        <f t="shared" si="21"/>
        <v>SET OF 2 FANCY FONT TEA TOWELS [22122]</v>
      </c>
    </row>
    <row r="1365" spans="1:9" x14ac:dyDescent="0.3">
      <c r="A1365" s="1">
        <v>22123</v>
      </c>
      <c r="B1365" t="s">
        <v>4780</v>
      </c>
      <c r="C1365" s="1">
        <v>5.0599999999999996</v>
      </c>
      <c r="D1365" s="1">
        <v>16.5</v>
      </c>
      <c r="E1365" s="2">
        <v>22.6666666666666</v>
      </c>
      <c r="F1365" s="1">
        <v>24</v>
      </c>
      <c r="G1365" s="1">
        <v>1592.41</v>
      </c>
      <c r="H1365" s="1" t="s">
        <v>9</v>
      </c>
      <c r="I1365" t="str">
        <f t="shared" si="21"/>
        <v>PING MICROWAVE APRON [22123]</v>
      </c>
    </row>
    <row r="1366" spans="1:9" x14ac:dyDescent="0.3">
      <c r="A1366" s="1">
        <v>22124</v>
      </c>
      <c r="B1366" t="s">
        <v>4779</v>
      </c>
      <c r="C1366" s="2">
        <v>2.61</v>
      </c>
      <c r="D1366" s="1">
        <v>11</v>
      </c>
      <c r="E1366" s="2">
        <v>12.4166666666666</v>
      </c>
      <c r="F1366" s="1">
        <v>24</v>
      </c>
      <c r="G1366" s="1">
        <v>751.93</v>
      </c>
      <c r="H1366" s="1" t="s">
        <v>9</v>
      </c>
      <c r="I1366" t="str">
        <f t="shared" si="21"/>
        <v>SET OF 2 TEA TOWELS PING MICROWAVE [22124]</v>
      </c>
    </row>
    <row r="1367" spans="1:9" x14ac:dyDescent="0.3">
      <c r="A1367" s="1">
        <v>22125</v>
      </c>
      <c r="B1367" t="s">
        <v>4778</v>
      </c>
      <c r="C1367" s="1">
        <v>6.3550000000000004</v>
      </c>
      <c r="D1367" s="1">
        <v>48</v>
      </c>
      <c r="E1367" s="2">
        <v>108.833333333333</v>
      </c>
      <c r="F1367" s="1">
        <v>6</v>
      </c>
      <c r="G1367" s="1">
        <v>4089.09</v>
      </c>
      <c r="H1367" s="1" t="s">
        <v>9</v>
      </c>
      <c r="I1367" t="str">
        <f t="shared" si="21"/>
        <v>UNION JACK HOT WATER BOTTLE [22125]</v>
      </c>
    </row>
    <row r="1368" spans="1:9" x14ac:dyDescent="0.3">
      <c r="A1368" s="1">
        <v>22127</v>
      </c>
      <c r="B1368" t="s">
        <v>4777</v>
      </c>
      <c r="C1368" s="1">
        <v>1.25</v>
      </c>
      <c r="D1368" s="1">
        <v>151</v>
      </c>
      <c r="E1368" s="1">
        <v>216.75</v>
      </c>
      <c r="F1368" s="1">
        <v>16</v>
      </c>
      <c r="G1368" s="1">
        <v>4153.1099999999997</v>
      </c>
      <c r="H1368" s="1" t="s">
        <v>10</v>
      </c>
      <c r="I1368" t="str">
        <f t="shared" si="21"/>
        <v>PARTY CONES CARNIVAL ASSORTED [22127]</v>
      </c>
    </row>
    <row r="1369" spans="1:9" x14ac:dyDescent="0.3">
      <c r="A1369" s="1">
        <v>22128</v>
      </c>
      <c r="B1369" t="s">
        <v>4776</v>
      </c>
      <c r="C1369" s="1">
        <v>1.25</v>
      </c>
      <c r="D1369" s="1">
        <v>137</v>
      </c>
      <c r="E1369" s="2">
        <v>163.458333333333</v>
      </c>
      <c r="F1369" s="1">
        <v>24</v>
      </c>
      <c r="G1369" s="1">
        <v>4759.59</v>
      </c>
      <c r="H1369" s="1" t="s">
        <v>10</v>
      </c>
      <c r="I1369" t="str">
        <f t="shared" si="21"/>
        <v>PARTY CONES CANDY ASSORTED [22128]</v>
      </c>
    </row>
    <row r="1370" spans="1:9" x14ac:dyDescent="0.3">
      <c r="A1370" s="1">
        <v>22129</v>
      </c>
      <c r="B1370" t="s">
        <v>4775</v>
      </c>
      <c r="C1370" s="1">
        <v>0.85</v>
      </c>
      <c r="D1370" s="1">
        <v>144</v>
      </c>
      <c r="E1370" s="2">
        <v>137.739130434782</v>
      </c>
      <c r="F1370" s="1">
        <v>23</v>
      </c>
      <c r="G1370" s="2">
        <v>2903.24</v>
      </c>
      <c r="H1370" s="1" t="s">
        <v>10</v>
      </c>
      <c r="I1370" t="str">
        <f t="shared" si="21"/>
        <v>PARTY CONES CANDY TREE DECORATION [22129]</v>
      </c>
    </row>
    <row r="1371" spans="1:9" x14ac:dyDescent="0.3">
      <c r="A1371" s="1">
        <v>22130</v>
      </c>
      <c r="B1371" t="s">
        <v>4774</v>
      </c>
      <c r="C1371" s="1">
        <v>0.85</v>
      </c>
      <c r="D1371" s="1">
        <v>140.5</v>
      </c>
      <c r="E1371" s="1">
        <v>442.5</v>
      </c>
      <c r="F1371" s="1">
        <v>22</v>
      </c>
      <c r="G1371" s="1">
        <v>10974.63</v>
      </c>
      <c r="H1371" s="1" t="s">
        <v>10</v>
      </c>
      <c r="I1371" t="str">
        <f t="shared" si="21"/>
        <v>PARTY CONE CHRISTMAS DECORATION [22130]</v>
      </c>
    </row>
    <row r="1372" spans="1:9" x14ac:dyDescent="0.3">
      <c r="A1372" s="1">
        <v>22131</v>
      </c>
      <c r="B1372" t="s">
        <v>4773</v>
      </c>
      <c r="C1372" s="1">
        <v>1.89</v>
      </c>
      <c r="D1372" s="1">
        <v>215</v>
      </c>
      <c r="E1372" s="1">
        <v>209.72</v>
      </c>
      <c r="F1372" s="1">
        <v>25</v>
      </c>
      <c r="G1372" s="1">
        <v>9914.89</v>
      </c>
      <c r="H1372" s="1" t="s">
        <v>10</v>
      </c>
      <c r="I1372" t="str">
        <f t="shared" si="21"/>
        <v>FOOD CONTAINER SET 3 LOVE HEART [22131]</v>
      </c>
    </row>
    <row r="1373" spans="1:9" x14ac:dyDescent="0.3">
      <c r="A1373" s="1">
        <v>22132</v>
      </c>
      <c r="B1373" t="s">
        <v>4772</v>
      </c>
      <c r="C1373" s="1">
        <v>0.92</v>
      </c>
      <c r="D1373" s="1">
        <v>130</v>
      </c>
      <c r="E1373" s="1">
        <v>133.80000000000001</v>
      </c>
      <c r="F1373" s="1">
        <v>25</v>
      </c>
      <c r="G1373" s="1">
        <v>2989.81</v>
      </c>
      <c r="H1373" s="1" t="s">
        <v>10</v>
      </c>
      <c r="I1373" t="str">
        <f t="shared" si="21"/>
        <v>RED LOVE HEART SHAPE CUP [22132]</v>
      </c>
    </row>
    <row r="1374" spans="1:9" x14ac:dyDescent="0.3">
      <c r="A1374" s="1">
        <v>22133</v>
      </c>
      <c r="B1374" t="s">
        <v>4771</v>
      </c>
      <c r="C1374" s="1">
        <v>0.96</v>
      </c>
      <c r="D1374" s="1">
        <v>77</v>
      </c>
      <c r="E1374" s="1">
        <v>98.56</v>
      </c>
      <c r="F1374" s="1">
        <v>25</v>
      </c>
      <c r="G1374" s="1">
        <v>2258.61</v>
      </c>
      <c r="H1374" s="1" t="s">
        <v>10</v>
      </c>
      <c r="I1374" t="str">
        <f t="shared" si="21"/>
        <v>PINK LOVE HEART SHAPE CUP [22133]</v>
      </c>
    </row>
    <row r="1375" spans="1:9" x14ac:dyDescent="0.3">
      <c r="A1375" s="1">
        <v>22134</v>
      </c>
      <c r="B1375" t="s">
        <v>4770</v>
      </c>
      <c r="C1375" s="1">
        <v>0.505</v>
      </c>
      <c r="D1375" s="1">
        <v>47.5</v>
      </c>
      <c r="E1375" s="2">
        <v>90.538461538461505</v>
      </c>
      <c r="F1375" s="1">
        <v>25</v>
      </c>
      <c r="G1375" s="1">
        <v>1043.58</v>
      </c>
      <c r="H1375" s="1" t="s">
        <v>9</v>
      </c>
      <c r="I1375" t="str">
        <f t="shared" si="21"/>
        <v>LADLE LOVE HEART RED [22134]</v>
      </c>
    </row>
    <row r="1376" spans="1:9" x14ac:dyDescent="0.3">
      <c r="A1376" s="1">
        <v>22135</v>
      </c>
      <c r="B1376" t="s">
        <v>4769</v>
      </c>
      <c r="C1376" s="1">
        <v>0.53500000000000003</v>
      </c>
      <c r="D1376" s="1">
        <v>38</v>
      </c>
      <c r="E1376" s="2">
        <v>62.461538461538403</v>
      </c>
      <c r="F1376" s="1">
        <v>25</v>
      </c>
      <c r="G1376" s="1">
        <v>806.15</v>
      </c>
      <c r="H1376" s="1" t="s">
        <v>9</v>
      </c>
      <c r="I1376" t="str">
        <f t="shared" si="21"/>
        <v>LADLE LOVE HEART PINK [22135]</v>
      </c>
    </row>
    <row r="1377" spans="1:9" x14ac:dyDescent="0.3">
      <c r="A1377" s="1">
        <v>22136</v>
      </c>
      <c r="B1377" t="s">
        <v>4768</v>
      </c>
      <c r="C1377" s="1">
        <v>1.79</v>
      </c>
      <c r="D1377" s="1">
        <v>56</v>
      </c>
      <c r="E1377" s="1">
        <v>82.875</v>
      </c>
      <c r="F1377" s="1">
        <v>24</v>
      </c>
      <c r="G1377" s="1">
        <v>3322.22</v>
      </c>
      <c r="H1377" s="1" t="s">
        <v>9</v>
      </c>
      <c r="I1377" t="str">
        <f t="shared" si="21"/>
        <v>LOVE HEART SOCK HANGER [22136]</v>
      </c>
    </row>
    <row r="1378" spans="1:9" x14ac:dyDescent="0.3">
      <c r="A1378" s="1">
        <v>22137</v>
      </c>
      <c r="B1378" t="s">
        <v>4767</v>
      </c>
      <c r="C1378" s="1">
        <v>2.95</v>
      </c>
      <c r="D1378" s="1">
        <v>6</v>
      </c>
      <c r="E1378" s="2">
        <v>31.8947368421052</v>
      </c>
      <c r="F1378" s="1">
        <v>19</v>
      </c>
      <c r="G1378" s="1">
        <v>1508.28</v>
      </c>
      <c r="H1378" s="1" t="s">
        <v>8</v>
      </c>
      <c r="I1378" t="str">
        <f t="shared" si="21"/>
        <v>BATHROOM SET LOVE HEART DESIGN [22137]</v>
      </c>
    </row>
    <row r="1379" spans="1:9" x14ac:dyDescent="0.3">
      <c r="A1379" s="1">
        <v>22138</v>
      </c>
      <c r="B1379" t="s">
        <v>4766</v>
      </c>
      <c r="C1379" s="1">
        <v>4.88</v>
      </c>
      <c r="D1379" s="1">
        <v>333</v>
      </c>
      <c r="E1379" s="1">
        <v>374.64</v>
      </c>
      <c r="F1379" s="1">
        <v>25</v>
      </c>
      <c r="G1379" s="1">
        <v>45882.01</v>
      </c>
      <c r="H1379" s="1" t="s">
        <v>10</v>
      </c>
      <c r="I1379" t="str">
        <f t="shared" si="21"/>
        <v>BAKING SET 9 PIECE RETROSPOT [22138]</v>
      </c>
    </row>
    <row r="1380" spans="1:9" x14ac:dyDescent="0.3">
      <c r="A1380" s="1">
        <v>22139</v>
      </c>
      <c r="B1380" t="s">
        <v>4765</v>
      </c>
      <c r="C1380" s="1">
        <v>4.9800000000000004</v>
      </c>
      <c r="D1380" s="1">
        <v>363</v>
      </c>
      <c r="E1380" s="2">
        <v>365.827586206896</v>
      </c>
      <c r="F1380" s="1">
        <v>25</v>
      </c>
      <c r="G1380" s="1">
        <v>52843.01</v>
      </c>
      <c r="H1380" s="1" t="s">
        <v>10</v>
      </c>
      <c r="I1380" t="str">
        <f t="shared" si="21"/>
        <v>11 PC CERAMIC TEA SET POLKADOT [22139]</v>
      </c>
    </row>
    <row r="1381" spans="1:9" x14ac:dyDescent="0.3">
      <c r="A1381" s="1">
        <v>22141</v>
      </c>
      <c r="B1381" t="s">
        <v>4764</v>
      </c>
      <c r="C1381" s="1">
        <v>2.645</v>
      </c>
      <c r="D1381" s="1">
        <v>116.5</v>
      </c>
      <c r="E1381" s="2">
        <v>261.642857142857</v>
      </c>
      <c r="F1381" s="1">
        <v>14</v>
      </c>
      <c r="G1381" s="2">
        <v>8895.2099999999991</v>
      </c>
      <c r="H1381" s="1" t="s">
        <v>10</v>
      </c>
      <c r="I1381" t="str">
        <f t="shared" si="21"/>
        <v>CHRISTMAS CRAFT TREE TOP ANGEL [22141]</v>
      </c>
    </row>
    <row r="1382" spans="1:9" x14ac:dyDescent="0.3">
      <c r="A1382" s="1">
        <v>22142</v>
      </c>
      <c r="B1382" t="s">
        <v>4763</v>
      </c>
      <c r="C1382" s="1">
        <v>1.51</v>
      </c>
      <c r="D1382" s="1">
        <v>134</v>
      </c>
      <c r="E1382" s="2">
        <v>330.76923076922998</v>
      </c>
      <c r="F1382" s="1">
        <v>13</v>
      </c>
      <c r="G1382" s="1">
        <v>6445.39</v>
      </c>
      <c r="H1382" s="1" t="s">
        <v>10</v>
      </c>
      <c r="I1382" t="str">
        <f t="shared" si="21"/>
        <v>CHRISTMAS CRAFT WHITE FAIRY [22142]</v>
      </c>
    </row>
    <row r="1383" spans="1:9" x14ac:dyDescent="0.3">
      <c r="A1383" s="1">
        <v>22143</v>
      </c>
      <c r="B1383" t="s">
        <v>4762</v>
      </c>
      <c r="C1383" s="1">
        <v>2.13</v>
      </c>
      <c r="D1383" s="1">
        <v>23</v>
      </c>
      <c r="E1383" s="2">
        <v>49.5555555555555</v>
      </c>
      <c r="F1383" s="1">
        <v>9</v>
      </c>
      <c r="G1383" s="1">
        <v>942.88</v>
      </c>
      <c r="H1383" s="1" t="s">
        <v>9</v>
      </c>
      <c r="I1383" t="str">
        <f t="shared" si="21"/>
        <v>CHRISTMAS CRAFT HEART DECORATIONS [22143]</v>
      </c>
    </row>
    <row r="1384" spans="1:9" x14ac:dyDescent="0.3">
      <c r="A1384" s="1">
        <v>22144</v>
      </c>
      <c r="B1384" t="s">
        <v>4761</v>
      </c>
      <c r="C1384" s="1">
        <v>2.5099999999999998</v>
      </c>
      <c r="D1384" s="1">
        <v>82</v>
      </c>
      <c r="E1384" s="1">
        <v>302</v>
      </c>
      <c r="F1384" s="1">
        <v>17</v>
      </c>
      <c r="G1384" s="1">
        <v>12382.47</v>
      </c>
      <c r="H1384" s="1" t="s">
        <v>10</v>
      </c>
      <c r="I1384" t="str">
        <f t="shared" si="21"/>
        <v>CHRISTMAS CRAFT LITTLE FRIENDS [22144]</v>
      </c>
    </row>
    <row r="1385" spans="1:9" x14ac:dyDescent="0.3">
      <c r="A1385" s="1">
        <v>22145</v>
      </c>
      <c r="B1385" t="s">
        <v>4760</v>
      </c>
      <c r="C1385" s="1">
        <v>2.1</v>
      </c>
      <c r="D1385" s="1">
        <v>24.5</v>
      </c>
      <c r="E1385" s="2">
        <v>108.833333333333</v>
      </c>
      <c r="F1385" s="1">
        <v>12</v>
      </c>
      <c r="G1385" s="2">
        <v>2752.66</v>
      </c>
      <c r="H1385" s="1" t="s">
        <v>9</v>
      </c>
      <c r="I1385" t="str">
        <f t="shared" si="21"/>
        <v>CHRISTMAS CRAFT HEART STOCKING [22145]</v>
      </c>
    </row>
    <row r="1386" spans="1:9" x14ac:dyDescent="0.3">
      <c r="A1386" s="1">
        <v>22146</v>
      </c>
      <c r="B1386" t="s">
        <v>4759</v>
      </c>
      <c r="C1386" s="1">
        <v>1.95</v>
      </c>
      <c r="D1386" s="1">
        <v>5.5</v>
      </c>
      <c r="E1386" s="1">
        <v>141.30000000000001</v>
      </c>
      <c r="F1386" s="1">
        <v>10</v>
      </c>
      <c r="G1386" s="1">
        <v>2633.13</v>
      </c>
      <c r="H1386" s="1" t="s">
        <v>8</v>
      </c>
      <c r="I1386" t="str">
        <f t="shared" si="21"/>
        <v>EASTER CRAFT IVY WREATH WITH CHICK [22146]</v>
      </c>
    </row>
    <row r="1387" spans="1:9" x14ac:dyDescent="0.3">
      <c r="A1387" s="1">
        <v>22147</v>
      </c>
      <c r="B1387" t="s">
        <v>4758</v>
      </c>
      <c r="C1387" s="1">
        <v>1.41</v>
      </c>
      <c r="D1387" s="1">
        <v>395</v>
      </c>
      <c r="E1387" s="1">
        <v>513.12</v>
      </c>
      <c r="F1387" s="1">
        <v>25</v>
      </c>
      <c r="G1387" s="1">
        <v>17893.580000000002</v>
      </c>
      <c r="H1387" s="1" t="s">
        <v>10</v>
      </c>
      <c r="I1387" t="str">
        <f t="shared" si="21"/>
        <v>FELTCRAFT BUTTERFLY HEARTS [22147]</v>
      </c>
    </row>
    <row r="1388" spans="1:9" x14ac:dyDescent="0.3">
      <c r="A1388" s="1">
        <v>22148</v>
      </c>
      <c r="B1388" t="s">
        <v>4757</v>
      </c>
      <c r="C1388" s="1">
        <v>1.95</v>
      </c>
      <c r="D1388" s="1">
        <v>12</v>
      </c>
      <c r="E1388" s="2">
        <v>147.136363636363</v>
      </c>
      <c r="F1388" s="1">
        <v>22</v>
      </c>
      <c r="G1388" s="1">
        <v>6480.29</v>
      </c>
      <c r="H1388" s="1" t="s">
        <v>9</v>
      </c>
      <c r="I1388" t="str">
        <f t="shared" si="21"/>
        <v>EASTER CRAFT 4 CHICKS [22148]</v>
      </c>
    </row>
    <row r="1389" spans="1:9" x14ac:dyDescent="0.3">
      <c r="A1389" s="1">
        <v>22149</v>
      </c>
      <c r="B1389" t="s">
        <v>4756</v>
      </c>
      <c r="C1389" s="1">
        <v>2.0750000000000002</v>
      </c>
      <c r="D1389" s="1">
        <v>421.5</v>
      </c>
      <c r="E1389" s="2">
        <v>528.08333333333303</v>
      </c>
      <c r="F1389" s="1">
        <v>24</v>
      </c>
      <c r="G1389" s="1">
        <v>26218.97</v>
      </c>
      <c r="H1389" s="1" t="s">
        <v>10</v>
      </c>
      <c r="I1389" t="str">
        <f t="shared" si="21"/>
        <v>FELTCRAFT 6 FLOWER FRIENDS [22149]</v>
      </c>
    </row>
    <row r="1390" spans="1:9" x14ac:dyDescent="0.3">
      <c r="A1390" s="1">
        <v>22150</v>
      </c>
      <c r="B1390" t="s">
        <v>4755</v>
      </c>
      <c r="C1390" s="1">
        <v>1.95</v>
      </c>
      <c r="D1390" s="1">
        <v>223</v>
      </c>
      <c r="E1390" s="2">
        <v>252.09677419354799</v>
      </c>
      <c r="F1390" s="1">
        <v>25</v>
      </c>
      <c r="G1390" s="1">
        <v>14486.55</v>
      </c>
      <c r="H1390" s="1" t="s">
        <v>10</v>
      </c>
      <c r="I1390" t="str">
        <f t="shared" si="21"/>
        <v>3 STRIPEY MICE FELTCRAFT [22150]</v>
      </c>
    </row>
    <row r="1391" spans="1:9" x14ac:dyDescent="0.3">
      <c r="A1391" s="1">
        <v>22151</v>
      </c>
      <c r="B1391" t="s">
        <v>4754</v>
      </c>
      <c r="C1391" s="1">
        <v>0.42</v>
      </c>
      <c r="D1391" s="1">
        <v>1060</v>
      </c>
      <c r="E1391" s="1">
        <v>1102.48</v>
      </c>
      <c r="F1391" s="1">
        <v>25</v>
      </c>
      <c r="G1391" s="1">
        <v>11609.19</v>
      </c>
      <c r="H1391" s="1" t="s">
        <v>10</v>
      </c>
      <c r="I1391" t="str">
        <f t="shared" si="21"/>
        <v>PLACE SETTING WHITE HEART [22151]</v>
      </c>
    </row>
    <row r="1392" spans="1:9" x14ac:dyDescent="0.3">
      <c r="A1392" s="1">
        <v>22152</v>
      </c>
      <c r="B1392" t="s">
        <v>4753</v>
      </c>
      <c r="C1392" s="1">
        <v>0.42</v>
      </c>
      <c r="D1392" s="1">
        <v>134</v>
      </c>
      <c r="E1392" s="2">
        <v>283.31818181818102</v>
      </c>
      <c r="F1392" s="1">
        <v>22</v>
      </c>
      <c r="G1392" s="1">
        <v>2631.48</v>
      </c>
      <c r="H1392" s="1" t="s">
        <v>10</v>
      </c>
      <c r="I1392" t="str">
        <f t="shared" si="21"/>
        <v>PLACE SETTING WHITE STAR [22152]</v>
      </c>
    </row>
    <row r="1393" spans="1:9" x14ac:dyDescent="0.3">
      <c r="A1393" s="1">
        <v>22153</v>
      </c>
      <c r="B1393" t="s">
        <v>4752</v>
      </c>
      <c r="C1393" s="1">
        <v>0.43</v>
      </c>
      <c r="D1393" s="1">
        <v>292</v>
      </c>
      <c r="E1393" s="2">
        <v>300.26315789473603</v>
      </c>
      <c r="F1393" s="1">
        <v>19</v>
      </c>
      <c r="G1393" s="1">
        <v>2469.16</v>
      </c>
      <c r="H1393" s="1" t="s">
        <v>10</v>
      </c>
      <c r="I1393" t="str">
        <f t="shared" si="21"/>
        <v>ANGEL DECORATION STARS ON DRESS [22153]</v>
      </c>
    </row>
    <row r="1394" spans="1:9" x14ac:dyDescent="0.3">
      <c r="A1394" s="1">
        <v>22154</v>
      </c>
      <c r="B1394" t="s">
        <v>4751</v>
      </c>
      <c r="C1394" s="1">
        <v>0.45</v>
      </c>
      <c r="D1394" s="1">
        <v>113</v>
      </c>
      <c r="E1394" s="2">
        <v>338.76190476190402</v>
      </c>
      <c r="F1394" s="1">
        <v>21</v>
      </c>
      <c r="G1394" s="1">
        <v>3073.32</v>
      </c>
      <c r="H1394" s="1" t="s">
        <v>10</v>
      </c>
      <c r="I1394" t="str">
        <f t="shared" si="21"/>
        <v>ANGEL DECORATION 3 BUTTONS [22154]</v>
      </c>
    </row>
    <row r="1395" spans="1:9" x14ac:dyDescent="0.3">
      <c r="A1395" s="1">
        <v>22155</v>
      </c>
      <c r="B1395" t="s">
        <v>4750</v>
      </c>
      <c r="C1395" s="1">
        <v>0.55000000000000004</v>
      </c>
      <c r="D1395" s="1">
        <v>14</v>
      </c>
      <c r="E1395" s="1">
        <v>237</v>
      </c>
      <c r="F1395" s="1">
        <v>25</v>
      </c>
      <c r="G1395" s="1">
        <v>2671.81</v>
      </c>
      <c r="H1395" s="1" t="s">
        <v>9</v>
      </c>
      <c r="I1395" t="str">
        <f t="shared" si="21"/>
        <v>STAR DECORATION RUSTIC [22155]</v>
      </c>
    </row>
    <row r="1396" spans="1:9" x14ac:dyDescent="0.3">
      <c r="A1396" s="1">
        <v>22156</v>
      </c>
      <c r="B1396" t="s">
        <v>4749</v>
      </c>
      <c r="C1396" s="1">
        <v>0.95</v>
      </c>
      <c r="D1396" s="1">
        <v>185</v>
      </c>
      <c r="E1396" s="1">
        <v>246.24</v>
      </c>
      <c r="F1396" s="1">
        <v>25</v>
      </c>
      <c r="G1396" s="1">
        <v>5537.57</v>
      </c>
      <c r="H1396" s="1" t="s">
        <v>10</v>
      </c>
      <c r="I1396" t="str">
        <f t="shared" si="21"/>
        <v>HEART DECORATION WITH PEARLS [22156]</v>
      </c>
    </row>
    <row r="1397" spans="1:9" x14ac:dyDescent="0.3">
      <c r="A1397" s="1">
        <v>22157</v>
      </c>
      <c r="B1397" t="s">
        <v>4748</v>
      </c>
      <c r="C1397" s="1">
        <v>0.85</v>
      </c>
      <c r="D1397" s="1">
        <v>106</v>
      </c>
      <c r="E1397" s="1">
        <v>169.8</v>
      </c>
      <c r="F1397" s="1">
        <v>10</v>
      </c>
      <c r="G1397" s="1">
        <v>1451.4</v>
      </c>
      <c r="H1397" s="1" t="s">
        <v>10</v>
      </c>
      <c r="I1397" t="str">
        <f t="shared" si="21"/>
        <v>ANGEL DECORATION WITH LACE PADDED [22157]</v>
      </c>
    </row>
    <row r="1398" spans="1:9" x14ac:dyDescent="0.3">
      <c r="A1398" s="1">
        <v>22158</v>
      </c>
      <c r="B1398" t="s">
        <v>4747</v>
      </c>
      <c r="C1398" s="1">
        <v>2.9750000000000001</v>
      </c>
      <c r="D1398" s="1">
        <v>117</v>
      </c>
      <c r="E1398" s="2">
        <v>408.40909090909003</v>
      </c>
      <c r="F1398" s="1">
        <v>22</v>
      </c>
      <c r="G1398" s="1">
        <v>29198.28</v>
      </c>
      <c r="H1398" s="1" t="s">
        <v>10</v>
      </c>
      <c r="I1398" t="str">
        <f t="shared" si="21"/>
        <v>3 HEARTS HANGING DECORATION RUSTIC [22158]</v>
      </c>
    </row>
    <row r="1399" spans="1:9" x14ac:dyDescent="0.3">
      <c r="A1399" s="1">
        <v>22161</v>
      </c>
      <c r="B1399" t="s">
        <v>4746</v>
      </c>
      <c r="C1399" s="1">
        <v>0.72</v>
      </c>
      <c r="D1399" s="1">
        <v>162.5</v>
      </c>
      <c r="E1399" s="2">
        <v>263.81818181818102</v>
      </c>
      <c r="F1399" s="1">
        <v>22</v>
      </c>
      <c r="G1399" s="1">
        <v>2538.58</v>
      </c>
      <c r="H1399" s="1" t="s">
        <v>10</v>
      </c>
      <c r="I1399" t="str">
        <f t="shared" si="21"/>
        <v>HEART DECORATION RUSTIC HANGING [22161]</v>
      </c>
    </row>
    <row r="1400" spans="1:9" x14ac:dyDescent="0.3">
      <c r="A1400" s="1">
        <v>22162</v>
      </c>
      <c r="B1400" t="s">
        <v>4745</v>
      </c>
      <c r="C1400" s="1">
        <v>3.04</v>
      </c>
      <c r="D1400" s="1">
        <v>14</v>
      </c>
      <c r="E1400" s="2">
        <v>52.956521739130402</v>
      </c>
      <c r="F1400" s="1">
        <v>23</v>
      </c>
      <c r="G1400" s="1">
        <v>3737.9</v>
      </c>
      <c r="H1400" s="1" t="s">
        <v>9</v>
      </c>
      <c r="I1400" t="str">
        <f t="shared" si="21"/>
        <v>HEART GARLAND RUSTIC PADDED [22162]</v>
      </c>
    </row>
    <row r="1401" spans="1:9" x14ac:dyDescent="0.3">
      <c r="A1401" s="1">
        <v>22163</v>
      </c>
      <c r="B1401" t="s">
        <v>4744</v>
      </c>
      <c r="C1401" s="1">
        <v>2.95</v>
      </c>
      <c r="D1401" s="1">
        <v>31</v>
      </c>
      <c r="E1401" s="1">
        <v>52.875</v>
      </c>
      <c r="F1401" s="1">
        <v>24</v>
      </c>
      <c r="G1401" s="1">
        <v>2235.12</v>
      </c>
      <c r="H1401" s="1" t="s">
        <v>9</v>
      </c>
      <c r="I1401" t="str">
        <f t="shared" si="21"/>
        <v>HEART STRING MEMO HOLDER HANGING [22163]</v>
      </c>
    </row>
    <row r="1402" spans="1:9" x14ac:dyDescent="0.3">
      <c r="A1402" s="1">
        <v>22164</v>
      </c>
      <c r="B1402" t="s">
        <v>4743</v>
      </c>
      <c r="C1402" s="1">
        <v>2.95</v>
      </c>
      <c r="D1402" s="1">
        <v>8</v>
      </c>
      <c r="E1402" s="1">
        <v>21</v>
      </c>
      <c r="F1402" s="1">
        <v>15</v>
      </c>
      <c r="G1402" s="1">
        <v>883.22</v>
      </c>
      <c r="H1402" s="1" t="s">
        <v>8</v>
      </c>
      <c r="I1402" t="str">
        <f t="shared" si="21"/>
        <v>STRING OF STARS CARD HOLDER [22164]</v>
      </c>
    </row>
    <row r="1403" spans="1:9" x14ac:dyDescent="0.3">
      <c r="A1403" s="1">
        <v>22165</v>
      </c>
      <c r="B1403" t="s">
        <v>4742</v>
      </c>
      <c r="C1403" s="1">
        <v>12.11</v>
      </c>
      <c r="D1403" s="1">
        <v>16</v>
      </c>
      <c r="E1403" s="1">
        <v>39.04</v>
      </c>
      <c r="F1403" s="1">
        <v>25</v>
      </c>
      <c r="G1403" s="2">
        <v>7673.73</v>
      </c>
      <c r="H1403" s="1" t="s">
        <v>9</v>
      </c>
      <c r="I1403" t="str">
        <f t="shared" si="21"/>
        <v>DIAMANTE HEART SHAPED WALL MIRROR, [22165]</v>
      </c>
    </row>
    <row r="1404" spans="1:9" x14ac:dyDescent="0.3">
      <c r="A1404" s="1">
        <v>22166</v>
      </c>
      <c r="B1404" t="s">
        <v>4741</v>
      </c>
      <c r="C1404" s="1">
        <v>11.75</v>
      </c>
      <c r="D1404" s="1">
        <v>7.5</v>
      </c>
      <c r="E1404" s="2">
        <v>16.923076923076898</v>
      </c>
      <c r="F1404" s="1">
        <v>25</v>
      </c>
      <c r="G1404" s="1">
        <v>3528.75</v>
      </c>
      <c r="H1404" s="1" t="s">
        <v>8</v>
      </c>
      <c r="I1404" t="str">
        <f t="shared" si="21"/>
        <v>WALL MIRROR , RECT DIAMANTE, PINK/ [22166]</v>
      </c>
    </row>
    <row r="1405" spans="1:9" x14ac:dyDescent="0.3">
      <c r="A1405" s="1">
        <v>22167</v>
      </c>
      <c r="B1405" t="s">
        <v>4740</v>
      </c>
      <c r="C1405" s="2">
        <v>10.87</v>
      </c>
      <c r="D1405" s="1">
        <v>18.5</v>
      </c>
      <c r="E1405" s="2">
        <v>26.538461538461501</v>
      </c>
      <c r="F1405" s="1">
        <v>25</v>
      </c>
      <c r="G1405" s="1">
        <v>6056.33</v>
      </c>
      <c r="H1405" s="1" t="s">
        <v>9</v>
      </c>
      <c r="I1405" t="str">
        <f t="shared" si="21"/>
        <v>WALL MIRROR , DIAMANTE OVAL SHAPE [22167]</v>
      </c>
    </row>
    <row r="1406" spans="1:9" x14ac:dyDescent="0.3">
      <c r="A1406" s="1">
        <v>22168</v>
      </c>
      <c r="B1406" t="s">
        <v>4739</v>
      </c>
      <c r="C1406" s="1">
        <v>8.5</v>
      </c>
      <c r="D1406" s="1">
        <v>35</v>
      </c>
      <c r="E1406" s="2">
        <v>38.764705882352899</v>
      </c>
      <c r="F1406" s="1">
        <v>17</v>
      </c>
      <c r="G1406" s="1">
        <v>5475.93</v>
      </c>
      <c r="H1406" s="1" t="s">
        <v>9</v>
      </c>
      <c r="I1406" t="str">
        <f t="shared" si="21"/>
        <v>ORGANISER WOOD, ANTIQUE WHITE [22168]</v>
      </c>
    </row>
    <row r="1407" spans="1:9" x14ac:dyDescent="0.3">
      <c r="A1407" s="1">
        <v>22169</v>
      </c>
      <c r="B1407" t="s">
        <v>4738</v>
      </c>
      <c r="C1407" s="1">
        <v>8.6750000000000007</v>
      </c>
      <c r="D1407" s="1">
        <v>94.5</v>
      </c>
      <c r="E1407" s="2">
        <v>94.7916666666666</v>
      </c>
      <c r="F1407" s="1">
        <v>24</v>
      </c>
      <c r="G1407" s="1">
        <v>19507.599999999999</v>
      </c>
      <c r="H1407" s="1" t="s">
        <v>10</v>
      </c>
      <c r="I1407" t="str">
        <f t="shared" si="21"/>
        <v>FAMILY ALBUM WHITE PICTURE FRAME [22169]</v>
      </c>
    </row>
    <row r="1408" spans="1:9" x14ac:dyDescent="0.3">
      <c r="A1408" s="1">
        <v>22170</v>
      </c>
      <c r="B1408" t="s">
        <v>4737</v>
      </c>
      <c r="C1408" s="1">
        <v>6.65</v>
      </c>
      <c r="D1408" s="1">
        <v>84.5</v>
      </c>
      <c r="E1408" s="1">
        <v>99.375</v>
      </c>
      <c r="F1408" s="1">
        <v>24</v>
      </c>
      <c r="G1408" s="1">
        <v>15645.27</v>
      </c>
      <c r="H1408" s="1" t="s">
        <v>10</v>
      </c>
      <c r="I1408" t="str">
        <f t="shared" si="21"/>
        <v>PICTURE FRAME WOOD TRIPLE PORTRAIT [22170]</v>
      </c>
    </row>
    <row r="1409" spans="1:9" x14ac:dyDescent="0.3">
      <c r="A1409" s="1">
        <v>22171</v>
      </c>
      <c r="B1409" t="s">
        <v>4736</v>
      </c>
      <c r="C1409" s="1">
        <v>8.6</v>
      </c>
      <c r="D1409" s="1">
        <v>101</v>
      </c>
      <c r="E1409" s="1">
        <v>125.64</v>
      </c>
      <c r="F1409" s="1">
        <v>25</v>
      </c>
      <c r="G1409" s="1">
        <v>23709.46</v>
      </c>
      <c r="H1409" s="1" t="s">
        <v>10</v>
      </c>
      <c r="I1409" t="str">
        <f t="shared" si="21"/>
        <v>3 HOOK PHOTO SHELF ANTIQUE WHITE [22171]</v>
      </c>
    </row>
    <row r="1410" spans="1:9" x14ac:dyDescent="0.3">
      <c r="A1410" s="1">
        <v>22172</v>
      </c>
      <c r="B1410" t="s">
        <v>4735</v>
      </c>
      <c r="C1410" s="1">
        <v>9.11</v>
      </c>
      <c r="D1410" s="1">
        <v>36</v>
      </c>
      <c r="E1410" s="1">
        <v>37.799999999999997</v>
      </c>
      <c r="F1410" s="1">
        <v>10</v>
      </c>
      <c r="G1410" s="1">
        <v>3451.82</v>
      </c>
      <c r="H1410" s="1" t="s">
        <v>9</v>
      </c>
      <c r="I1410" t="str">
        <f t="shared" si="21"/>
        <v>METAL SHELF WITH RAIL [22172]</v>
      </c>
    </row>
    <row r="1411" spans="1:9" x14ac:dyDescent="0.3">
      <c r="A1411" s="1">
        <v>22173</v>
      </c>
      <c r="B1411" t="s">
        <v>4734</v>
      </c>
      <c r="C1411" s="1">
        <v>3.12</v>
      </c>
      <c r="D1411" s="1">
        <v>202</v>
      </c>
      <c r="E1411" s="2">
        <v>228.45454545454501</v>
      </c>
      <c r="F1411" s="1">
        <v>22</v>
      </c>
      <c r="G1411" s="1">
        <v>15411.9</v>
      </c>
      <c r="H1411" s="1" t="s">
        <v>10</v>
      </c>
      <c r="I1411" t="str">
        <f t="shared" ref="I1411:I1474" si="22">B1411&amp;" ["&amp;A1411&amp;"]"</f>
        <v>METAL 4 HOOK HANGER FRENCH CHATEAU [22173]</v>
      </c>
    </row>
    <row r="1412" spans="1:9" x14ac:dyDescent="0.3">
      <c r="A1412" s="1">
        <v>22174</v>
      </c>
      <c r="B1412" t="s">
        <v>4733</v>
      </c>
      <c r="C1412" s="1">
        <v>1.95</v>
      </c>
      <c r="D1412" s="1">
        <v>141</v>
      </c>
      <c r="E1412" s="2">
        <v>222.695652173913</v>
      </c>
      <c r="F1412" s="1">
        <v>23</v>
      </c>
      <c r="G1412" s="1">
        <v>10374.33</v>
      </c>
      <c r="H1412" s="1" t="s">
        <v>10</v>
      </c>
      <c r="I1412" t="str">
        <f t="shared" si="22"/>
        <v>PHOTO CUBE [22174]</v>
      </c>
    </row>
    <row r="1413" spans="1:9" x14ac:dyDescent="0.3">
      <c r="A1413" s="1">
        <v>22175</v>
      </c>
      <c r="B1413" t="s">
        <v>4732</v>
      </c>
      <c r="C1413" s="2">
        <v>3.03</v>
      </c>
      <c r="D1413" s="1">
        <v>51</v>
      </c>
      <c r="E1413" s="2">
        <v>70.153846153846104</v>
      </c>
      <c r="F1413" s="1">
        <v>25</v>
      </c>
      <c r="G1413" s="1">
        <v>5278.31</v>
      </c>
      <c r="H1413" s="1" t="s">
        <v>9</v>
      </c>
      <c r="I1413" t="str">
        <f t="shared" si="22"/>
        <v>PINK OWL SOFT TOY [22175]</v>
      </c>
    </row>
    <row r="1414" spans="1:9" x14ac:dyDescent="0.3">
      <c r="A1414" s="1">
        <v>22176</v>
      </c>
      <c r="B1414" t="s">
        <v>4731</v>
      </c>
      <c r="C1414" s="1">
        <v>3.03</v>
      </c>
      <c r="D1414" s="1">
        <v>41.5</v>
      </c>
      <c r="E1414" s="2">
        <v>49.3333333333333</v>
      </c>
      <c r="F1414" s="1">
        <v>23</v>
      </c>
      <c r="G1414" s="1">
        <v>3542.73</v>
      </c>
      <c r="H1414" s="1" t="s">
        <v>9</v>
      </c>
      <c r="I1414" t="str">
        <f t="shared" si="22"/>
        <v>BLUE OWL SOFT TOY [22176]</v>
      </c>
    </row>
    <row r="1415" spans="1:9" x14ac:dyDescent="0.3">
      <c r="A1415" s="1">
        <v>22177</v>
      </c>
      <c r="B1415" t="s">
        <v>4730</v>
      </c>
      <c r="C1415" s="1">
        <v>10.49</v>
      </c>
      <c r="D1415" s="1">
        <v>34</v>
      </c>
      <c r="E1415" s="2">
        <v>46.428571428571402</v>
      </c>
      <c r="F1415" s="1">
        <v>7</v>
      </c>
      <c r="G1415" s="1">
        <v>3101.46</v>
      </c>
      <c r="H1415" s="1" t="s">
        <v>9</v>
      </c>
      <c r="I1415" t="str">
        <f t="shared" si="22"/>
        <v>5 HOOK BLACKBOARD ORGANISER [22177]</v>
      </c>
    </row>
    <row r="1416" spans="1:9" x14ac:dyDescent="0.3">
      <c r="A1416" s="1">
        <v>22178</v>
      </c>
      <c r="B1416" t="s">
        <v>4729</v>
      </c>
      <c r="C1416" s="1">
        <v>1.28</v>
      </c>
      <c r="D1416" s="1">
        <v>1423</v>
      </c>
      <c r="E1416" s="1">
        <v>1603.24</v>
      </c>
      <c r="F1416" s="1">
        <v>25</v>
      </c>
      <c r="G1416" s="1">
        <v>52382.82</v>
      </c>
      <c r="H1416" s="1" t="s">
        <v>10</v>
      </c>
      <c r="I1416" t="str">
        <f t="shared" si="22"/>
        <v>VICTORIAN GLASS HANGING T-LIGHT [22178]</v>
      </c>
    </row>
    <row r="1417" spans="1:9" x14ac:dyDescent="0.3">
      <c r="A1417" s="1">
        <v>22179</v>
      </c>
      <c r="B1417" t="s">
        <v>4728</v>
      </c>
      <c r="C1417" s="2">
        <v>7.1849999999999996</v>
      </c>
      <c r="D1417" s="1">
        <v>72</v>
      </c>
      <c r="E1417" s="1">
        <v>77.807692307692307</v>
      </c>
      <c r="F1417" s="1">
        <v>25</v>
      </c>
      <c r="G1417" s="1">
        <v>14418.61</v>
      </c>
      <c r="H1417" s="1" t="s">
        <v>10</v>
      </c>
      <c r="I1417" t="str">
        <f t="shared" si="22"/>
        <v>SET 10 LIGHTS NIGHT OWL [22179]</v>
      </c>
    </row>
    <row r="1418" spans="1:9" x14ac:dyDescent="0.3">
      <c r="A1418" s="1">
        <v>22180</v>
      </c>
      <c r="B1418" t="s">
        <v>4727</v>
      </c>
      <c r="C1418" s="1">
        <v>10.039999999999999</v>
      </c>
      <c r="D1418" s="1">
        <v>36</v>
      </c>
      <c r="E1418" s="1">
        <v>37.5</v>
      </c>
      <c r="F1418" s="1">
        <v>24</v>
      </c>
      <c r="G1418" s="2">
        <v>10103.379999999999</v>
      </c>
      <c r="H1418" s="1" t="s">
        <v>9</v>
      </c>
      <c r="I1418" t="str">
        <f t="shared" si="22"/>
        <v>RETRO SPOT LAMP [22180]</v>
      </c>
    </row>
    <row r="1419" spans="1:9" x14ac:dyDescent="0.3">
      <c r="A1419" s="1">
        <v>22181</v>
      </c>
      <c r="B1419" t="s">
        <v>4726</v>
      </c>
      <c r="C1419" s="1">
        <v>0.85499999999999998</v>
      </c>
      <c r="D1419" s="1">
        <v>51.5</v>
      </c>
      <c r="E1419" s="2">
        <v>64.0833333333333</v>
      </c>
      <c r="F1419" s="1">
        <v>24</v>
      </c>
      <c r="G1419" s="1">
        <v>1291.3800000000001</v>
      </c>
      <c r="H1419" s="1" t="s">
        <v>9</v>
      </c>
      <c r="I1419" t="str">
        <f t="shared" si="22"/>
        <v>SNOWSTORM PHOTO FRAME FRIDGE MAGNET [22181]</v>
      </c>
    </row>
    <row r="1420" spans="1:9" x14ac:dyDescent="0.3">
      <c r="A1420" s="1">
        <v>22182</v>
      </c>
      <c r="B1420" t="s">
        <v>4725</v>
      </c>
      <c r="C1420" s="1">
        <v>4.95</v>
      </c>
      <c r="D1420" s="1">
        <v>12</v>
      </c>
      <c r="E1420" s="2">
        <v>20.0416666666666</v>
      </c>
      <c r="F1420" s="1">
        <v>24</v>
      </c>
      <c r="G1420" s="1">
        <v>2056.4499999999998</v>
      </c>
      <c r="H1420" s="1" t="s">
        <v>9</v>
      </c>
      <c r="I1420" t="str">
        <f t="shared" si="22"/>
        <v>CAKE STAND VICTORIAN FILIGREE SMALL [22182]</v>
      </c>
    </row>
    <row r="1421" spans="1:9" x14ac:dyDescent="0.3">
      <c r="A1421" s="1">
        <v>22183</v>
      </c>
      <c r="B1421" t="s">
        <v>4724</v>
      </c>
      <c r="C1421" s="1">
        <v>6.75</v>
      </c>
      <c r="D1421" s="1">
        <v>14</v>
      </c>
      <c r="E1421" s="1">
        <v>29.3</v>
      </c>
      <c r="F1421" s="1">
        <v>20</v>
      </c>
      <c r="G1421" s="1">
        <v>3297.25</v>
      </c>
      <c r="H1421" s="1" t="s">
        <v>9</v>
      </c>
      <c r="I1421" t="str">
        <f t="shared" si="22"/>
        <v>CAKE STAND VICTORIAN FILIGREE MED [22183]</v>
      </c>
    </row>
    <row r="1422" spans="1:9" x14ac:dyDescent="0.3">
      <c r="A1422" s="1">
        <v>22184</v>
      </c>
      <c r="B1422" t="s">
        <v>4723</v>
      </c>
      <c r="C1422" s="1">
        <v>9.0950000000000006</v>
      </c>
      <c r="D1422" s="1">
        <v>14</v>
      </c>
      <c r="E1422" s="2">
        <v>27.785714285714199</v>
      </c>
      <c r="F1422" s="1">
        <v>14</v>
      </c>
      <c r="G1422" s="1">
        <v>2887.07</v>
      </c>
      <c r="H1422" s="1" t="s">
        <v>9</v>
      </c>
      <c r="I1422" t="str">
        <f t="shared" si="22"/>
        <v>CAKE STAND VICTORIAN FILIGREE LARGE [22184]</v>
      </c>
    </row>
    <row r="1423" spans="1:9" x14ac:dyDescent="0.3">
      <c r="A1423" s="1">
        <v>22185</v>
      </c>
      <c r="B1423" t="s">
        <v>4722</v>
      </c>
      <c r="C1423" s="1">
        <v>1.66</v>
      </c>
      <c r="D1423" s="1">
        <v>130</v>
      </c>
      <c r="E1423" s="1">
        <v>155.84</v>
      </c>
      <c r="F1423" s="1">
        <v>25</v>
      </c>
      <c r="G1423" s="1">
        <v>6224.72</v>
      </c>
      <c r="H1423" s="1" t="s">
        <v>10</v>
      </c>
      <c r="I1423" t="str">
        <f t="shared" si="22"/>
        <v>SLATE TILE NATURAL HANGING [22185]</v>
      </c>
    </row>
    <row r="1424" spans="1:9" x14ac:dyDescent="0.3">
      <c r="A1424" s="1">
        <v>22186</v>
      </c>
      <c r="B1424" t="s">
        <v>4721</v>
      </c>
      <c r="C1424" s="1">
        <v>2.95</v>
      </c>
      <c r="D1424" s="1">
        <v>28</v>
      </c>
      <c r="E1424" s="2">
        <v>95.428571428571402</v>
      </c>
      <c r="F1424" s="1">
        <v>21</v>
      </c>
      <c r="G1424" s="1">
        <v>5431.4</v>
      </c>
      <c r="H1424" s="1" t="s">
        <v>9</v>
      </c>
      <c r="I1424" t="str">
        <f t="shared" si="22"/>
        <v>RED STAR CARD HOLDER [22186]</v>
      </c>
    </row>
    <row r="1425" spans="1:9" x14ac:dyDescent="0.3">
      <c r="A1425" s="1">
        <v>22187</v>
      </c>
      <c r="B1425" t="s">
        <v>4720</v>
      </c>
      <c r="C1425" s="1">
        <v>4.25</v>
      </c>
      <c r="D1425" s="1">
        <v>31</v>
      </c>
      <c r="E1425" s="2">
        <v>110.73684210526299</v>
      </c>
      <c r="F1425" s="1">
        <v>19</v>
      </c>
      <c r="G1425" s="1">
        <v>6820.7</v>
      </c>
      <c r="H1425" s="1" t="s">
        <v>9</v>
      </c>
      <c r="I1425" t="str">
        <f t="shared" si="22"/>
        <v>GREEN CHRISTMAS TREE CARD HOLDER [22187]</v>
      </c>
    </row>
    <row r="1426" spans="1:9" x14ac:dyDescent="0.3">
      <c r="A1426" s="1">
        <v>22188</v>
      </c>
      <c r="B1426" t="s">
        <v>4719</v>
      </c>
      <c r="C1426" s="2">
        <v>2.82</v>
      </c>
      <c r="D1426" s="1">
        <v>292</v>
      </c>
      <c r="E1426" s="1">
        <v>431.375</v>
      </c>
      <c r="F1426" s="1">
        <v>24</v>
      </c>
      <c r="G1426" s="2">
        <v>28112.03</v>
      </c>
      <c r="H1426" s="1" t="s">
        <v>10</v>
      </c>
      <c r="I1426" t="str">
        <f t="shared" si="22"/>
        <v>BLACK HEART CARD HOLDER [22188]</v>
      </c>
    </row>
    <row r="1427" spans="1:9" x14ac:dyDescent="0.3">
      <c r="A1427" s="1">
        <v>22189</v>
      </c>
      <c r="B1427" t="s">
        <v>4718</v>
      </c>
      <c r="C1427" s="1">
        <v>3</v>
      </c>
      <c r="D1427" s="1">
        <v>549.5</v>
      </c>
      <c r="E1427" s="2">
        <v>674.41666666666595</v>
      </c>
      <c r="F1427" s="1">
        <v>24</v>
      </c>
      <c r="G1427" s="1">
        <v>49300.94</v>
      </c>
      <c r="H1427" s="1" t="s">
        <v>10</v>
      </c>
      <c r="I1427" t="str">
        <f t="shared" si="22"/>
        <v>CREAM HEART CARD HOLDER [22189]</v>
      </c>
    </row>
    <row r="1428" spans="1:9" x14ac:dyDescent="0.3">
      <c r="A1428" s="1">
        <v>22190</v>
      </c>
      <c r="B1428" t="s">
        <v>4717</v>
      </c>
      <c r="C1428" s="1">
        <v>2.09</v>
      </c>
      <c r="D1428" s="1">
        <v>53</v>
      </c>
      <c r="E1428" s="1">
        <v>56</v>
      </c>
      <c r="F1428" s="1">
        <v>25</v>
      </c>
      <c r="G1428" s="1">
        <v>2591.67</v>
      </c>
      <c r="H1428" s="1" t="s">
        <v>9</v>
      </c>
      <c r="I1428" t="str">
        <f t="shared" si="22"/>
        <v>LOCAL CAFE MUG [22190]</v>
      </c>
    </row>
    <row r="1429" spans="1:9" x14ac:dyDescent="0.3">
      <c r="A1429" s="1">
        <v>22191</v>
      </c>
      <c r="B1429" t="s">
        <v>4716</v>
      </c>
      <c r="C1429" s="1">
        <v>8.43</v>
      </c>
      <c r="D1429" s="1">
        <v>65.5</v>
      </c>
      <c r="E1429" s="2">
        <v>81.9583333333333</v>
      </c>
      <c r="F1429" s="1">
        <v>23</v>
      </c>
      <c r="G1429" s="1">
        <v>16216.05</v>
      </c>
      <c r="H1429" s="1" t="s">
        <v>10</v>
      </c>
      <c r="I1429" t="str">
        <f t="shared" si="22"/>
        <v>EAU DE NIL DINER WALL CLOCK [22191]</v>
      </c>
    </row>
    <row r="1430" spans="1:9" x14ac:dyDescent="0.3">
      <c r="A1430" s="1">
        <v>22192</v>
      </c>
      <c r="B1430" t="s">
        <v>4715</v>
      </c>
      <c r="C1430" s="1">
        <v>8.35</v>
      </c>
      <c r="D1430" s="1">
        <v>61</v>
      </c>
      <c r="E1430" s="1">
        <v>62</v>
      </c>
      <c r="F1430" s="1">
        <v>23</v>
      </c>
      <c r="G1430" s="1">
        <v>12104.8</v>
      </c>
      <c r="H1430" s="1" t="s">
        <v>9</v>
      </c>
      <c r="I1430" t="str">
        <f t="shared" si="22"/>
        <v>BLUE DINER WALL CLOCK [22192]</v>
      </c>
    </row>
    <row r="1431" spans="1:9" x14ac:dyDescent="0.3">
      <c r="A1431" s="1">
        <v>22193</v>
      </c>
      <c r="B1431" t="s">
        <v>4714</v>
      </c>
      <c r="C1431" s="1">
        <v>8.6</v>
      </c>
      <c r="D1431" s="1">
        <v>79</v>
      </c>
      <c r="E1431" s="2">
        <v>90.952380952380906</v>
      </c>
      <c r="F1431" s="1">
        <v>20</v>
      </c>
      <c r="G1431" s="1">
        <v>16117.98</v>
      </c>
      <c r="H1431" s="1" t="s">
        <v>10</v>
      </c>
      <c r="I1431" t="str">
        <f t="shared" si="22"/>
        <v>RED DINER WALL CLOCK [22193]</v>
      </c>
    </row>
    <row r="1432" spans="1:9" x14ac:dyDescent="0.3">
      <c r="A1432" s="1">
        <v>22194</v>
      </c>
      <c r="B1432" t="s">
        <v>4713</v>
      </c>
      <c r="C1432" s="1">
        <v>8.5</v>
      </c>
      <c r="D1432" s="1">
        <v>15</v>
      </c>
      <c r="E1432" s="2">
        <v>17.761904761904699</v>
      </c>
      <c r="F1432" s="1">
        <v>21</v>
      </c>
      <c r="G1432" s="1">
        <v>3212.1</v>
      </c>
      <c r="H1432" s="1" t="s">
        <v>9</v>
      </c>
      <c r="I1432" t="str">
        <f t="shared" si="22"/>
        <v>BLACK DINER WALL CLOCK [22194]</v>
      </c>
    </row>
    <row r="1433" spans="1:9" x14ac:dyDescent="0.3">
      <c r="A1433" s="1">
        <v>22195</v>
      </c>
      <c r="B1433" t="s">
        <v>4712</v>
      </c>
      <c r="C1433" s="1">
        <v>1.75</v>
      </c>
      <c r="D1433" s="1">
        <v>167</v>
      </c>
      <c r="E1433" s="2">
        <v>189.888888888888</v>
      </c>
      <c r="F1433" s="1">
        <v>25</v>
      </c>
      <c r="G1433" s="1">
        <v>9144.24</v>
      </c>
      <c r="H1433" s="1" t="s">
        <v>10</v>
      </c>
      <c r="I1433" t="str">
        <f t="shared" si="22"/>
        <v>HEART MEASURING SPOONS LARGE [22195]</v>
      </c>
    </row>
    <row r="1434" spans="1:9" x14ac:dyDescent="0.3">
      <c r="A1434" s="1">
        <v>22196</v>
      </c>
      <c r="B1434" t="s">
        <v>4711</v>
      </c>
      <c r="C1434" s="1">
        <v>0.92</v>
      </c>
      <c r="D1434" s="1">
        <v>244</v>
      </c>
      <c r="E1434" s="2">
        <v>253.30769230769201</v>
      </c>
      <c r="F1434" s="1">
        <v>25</v>
      </c>
      <c r="G1434" s="2">
        <v>6141.19</v>
      </c>
      <c r="H1434" s="1" t="s">
        <v>10</v>
      </c>
      <c r="I1434" t="str">
        <f t="shared" si="22"/>
        <v>SMALL HEART MEASURING SPOONS [22196]</v>
      </c>
    </row>
    <row r="1435" spans="1:9" x14ac:dyDescent="0.3">
      <c r="A1435" s="1">
        <v>22197</v>
      </c>
      <c r="B1435" t="s">
        <v>4710</v>
      </c>
      <c r="C1435" s="1">
        <v>0.80500000000000005</v>
      </c>
      <c r="D1435" s="1">
        <v>1788.5</v>
      </c>
      <c r="E1435" s="2">
        <v>2602.9117647058802</v>
      </c>
      <c r="F1435" s="1">
        <v>25</v>
      </c>
      <c r="G1435" s="1">
        <v>79520.2</v>
      </c>
      <c r="H1435" s="1" t="s">
        <v>10</v>
      </c>
      <c r="I1435" t="str">
        <f t="shared" si="22"/>
        <v>POPCORN HOLDER , SMALL [22197]</v>
      </c>
    </row>
    <row r="1436" spans="1:9" x14ac:dyDescent="0.3">
      <c r="A1436" s="1">
        <v>22198</v>
      </c>
      <c r="B1436" t="s">
        <v>4709</v>
      </c>
      <c r="C1436" s="1">
        <v>1.67</v>
      </c>
      <c r="D1436" s="1">
        <v>311</v>
      </c>
      <c r="E1436" s="2">
        <v>385.84210526315701</v>
      </c>
      <c r="F1436" s="1">
        <v>15</v>
      </c>
      <c r="G1436" s="1">
        <v>12759.61</v>
      </c>
      <c r="H1436" s="1" t="s">
        <v>10</v>
      </c>
      <c r="I1436" t="str">
        <f t="shared" si="22"/>
        <v>POPCORN HOLDER , LARGE [22198]</v>
      </c>
    </row>
    <row r="1437" spans="1:9" x14ac:dyDescent="0.3">
      <c r="A1437" s="1">
        <v>22199</v>
      </c>
      <c r="B1437" t="s">
        <v>4708</v>
      </c>
      <c r="C1437" s="1">
        <v>4.25</v>
      </c>
      <c r="D1437" s="1">
        <v>39</v>
      </c>
      <c r="E1437" s="1">
        <v>63</v>
      </c>
      <c r="F1437" s="1">
        <v>25</v>
      </c>
      <c r="G1437" s="1">
        <v>7480.35</v>
      </c>
      <c r="H1437" s="1" t="s">
        <v>9</v>
      </c>
      <c r="I1437" t="str">
        <f t="shared" si="22"/>
        <v>FRYING PAN RED POLKADOT [22199]</v>
      </c>
    </row>
    <row r="1438" spans="1:9" x14ac:dyDescent="0.3">
      <c r="A1438" s="1">
        <v>22200</v>
      </c>
      <c r="B1438" t="s">
        <v>4707</v>
      </c>
      <c r="C1438" s="1">
        <v>4.7949999999999999</v>
      </c>
      <c r="D1438" s="1">
        <v>33.5</v>
      </c>
      <c r="E1438" s="2">
        <v>46.285714285714199</v>
      </c>
      <c r="F1438" s="1">
        <v>25</v>
      </c>
      <c r="G1438" s="1">
        <v>5784.92</v>
      </c>
      <c r="H1438" s="1" t="s">
        <v>9</v>
      </c>
      <c r="I1438" t="str">
        <f t="shared" si="22"/>
        <v>FRYING PAN PINK POLKADOT [22200]</v>
      </c>
    </row>
    <row r="1439" spans="1:9" x14ac:dyDescent="0.3">
      <c r="A1439" s="1">
        <v>22201</v>
      </c>
      <c r="B1439" t="s">
        <v>4706</v>
      </c>
      <c r="C1439" s="1">
        <v>4.46</v>
      </c>
      <c r="D1439" s="1">
        <v>12</v>
      </c>
      <c r="E1439" s="2">
        <v>18.851851851851801</v>
      </c>
      <c r="F1439" s="1">
        <v>25</v>
      </c>
      <c r="G1439" s="1">
        <v>2034.4</v>
      </c>
      <c r="H1439" s="1" t="s">
        <v>9</v>
      </c>
      <c r="I1439" t="str">
        <f t="shared" si="22"/>
        <v>FRYING PAN BLUE POLKADOT [22201]</v>
      </c>
    </row>
    <row r="1440" spans="1:9" x14ac:dyDescent="0.3">
      <c r="A1440" s="1">
        <v>22202</v>
      </c>
      <c r="B1440" t="s">
        <v>4705</v>
      </c>
      <c r="C1440" s="1">
        <v>4.1399999999999997</v>
      </c>
      <c r="D1440" s="1">
        <v>43</v>
      </c>
      <c r="E1440" s="2">
        <v>56.5263157894736</v>
      </c>
      <c r="F1440" s="1">
        <v>17</v>
      </c>
      <c r="G1440" s="1">
        <v>4336.25</v>
      </c>
      <c r="H1440" s="1" t="s">
        <v>9</v>
      </c>
      <c r="I1440" t="str">
        <f t="shared" si="22"/>
        <v>MILK PAN PINK RETROSPOT [22202]</v>
      </c>
    </row>
    <row r="1441" spans="1:9" x14ac:dyDescent="0.3">
      <c r="A1441" s="1">
        <v>22203</v>
      </c>
      <c r="B1441" t="s">
        <v>4704</v>
      </c>
      <c r="C1441" s="1">
        <v>3.97</v>
      </c>
      <c r="D1441" s="1">
        <v>38</v>
      </c>
      <c r="E1441" s="1">
        <v>56.08</v>
      </c>
      <c r="F1441" s="1">
        <v>25</v>
      </c>
      <c r="G1441" s="1">
        <v>5469.51</v>
      </c>
      <c r="H1441" s="1" t="s">
        <v>9</v>
      </c>
      <c r="I1441" t="str">
        <f t="shared" si="22"/>
        <v>MILK PAN RED RETROSPOT [22203]</v>
      </c>
    </row>
    <row r="1442" spans="1:9" x14ac:dyDescent="0.3">
      <c r="A1442" s="1">
        <v>22204</v>
      </c>
      <c r="B1442" t="s">
        <v>4703</v>
      </c>
      <c r="C1442" s="1">
        <v>3.83</v>
      </c>
      <c r="D1442" s="1">
        <v>12</v>
      </c>
      <c r="E1442" s="2">
        <v>19.8888888888888</v>
      </c>
      <c r="F1442" s="1">
        <v>25</v>
      </c>
      <c r="G1442" s="1">
        <v>1974.29</v>
      </c>
      <c r="H1442" s="1" t="s">
        <v>9</v>
      </c>
      <c r="I1442" t="str">
        <f t="shared" si="22"/>
        <v>MILK PAN BLUE RETROSPOT [22204]</v>
      </c>
    </row>
    <row r="1443" spans="1:9" x14ac:dyDescent="0.3">
      <c r="A1443" s="1">
        <v>22206</v>
      </c>
      <c r="B1443" t="s">
        <v>4702</v>
      </c>
      <c r="C1443" s="1">
        <v>0.84</v>
      </c>
      <c r="D1443" s="1">
        <v>1</v>
      </c>
      <c r="E1443" s="1">
        <v>1.75</v>
      </c>
      <c r="F1443" s="1">
        <v>8</v>
      </c>
      <c r="G1443" s="1">
        <v>11.82</v>
      </c>
      <c r="H1443" s="1" t="s">
        <v>8</v>
      </c>
      <c r="I1443" t="str">
        <f t="shared" si="22"/>
        <v>MUG , DOTCOMGIFTSHOP.COM [22206]</v>
      </c>
    </row>
    <row r="1444" spans="1:9" x14ac:dyDescent="0.3">
      <c r="A1444" s="1">
        <v>22207</v>
      </c>
      <c r="B1444" t="s">
        <v>4701</v>
      </c>
      <c r="C1444" s="1">
        <v>4.25</v>
      </c>
      <c r="D1444" s="1">
        <v>98</v>
      </c>
      <c r="E1444" s="1">
        <v>124.12</v>
      </c>
      <c r="F1444" s="1">
        <v>25</v>
      </c>
      <c r="G1444" s="1">
        <v>13298.57</v>
      </c>
      <c r="H1444" s="1" t="s">
        <v>10</v>
      </c>
      <c r="I1444" t="str">
        <f t="shared" si="22"/>
        <v>FRYING PAN UNION FLAG [22207]</v>
      </c>
    </row>
    <row r="1445" spans="1:9" x14ac:dyDescent="0.3">
      <c r="A1445" s="1">
        <v>22208</v>
      </c>
      <c r="B1445" t="s">
        <v>4700</v>
      </c>
      <c r="C1445" s="1">
        <v>1.65</v>
      </c>
      <c r="D1445" s="1">
        <v>69</v>
      </c>
      <c r="E1445" s="1">
        <v>94.64</v>
      </c>
      <c r="F1445" s="1">
        <v>25</v>
      </c>
      <c r="G1445" s="1">
        <v>3036.95</v>
      </c>
      <c r="H1445" s="1" t="s">
        <v>10</v>
      </c>
      <c r="I1445" t="str">
        <f t="shared" si="22"/>
        <v>WOOD STAMP SET THANK YOU [22208]</v>
      </c>
    </row>
    <row r="1446" spans="1:9" x14ac:dyDescent="0.3">
      <c r="A1446" s="1">
        <v>22209</v>
      </c>
      <c r="B1446" t="s">
        <v>4699</v>
      </c>
      <c r="C1446" s="1">
        <v>1.65</v>
      </c>
      <c r="D1446" s="1">
        <v>42</v>
      </c>
      <c r="E1446" s="1">
        <v>56.6</v>
      </c>
      <c r="F1446" s="1">
        <v>25</v>
      </c>
      <c r="G1446" s="1">
        <v>1753.94</v>
      </c>
      <c r="H1446" s="1" t="s">
        <v>9</v>
      </c>
      <c r="I1446" t="str">
        <f t="shared" si="22"/>
        <v>WOOD STAMP SET HAPPY BIRTHDAY [22209]</v>
      </c>
    </row>
    <row r="1447" spans="1:9" x14ac:dyDescent="0.3">
      <c r="A1447" s="1">
        <v>22210</v>
      </c>
      <c r="B1447" t="s">
        <v>4698</v>
      </c>
      <c r="C1447" s="1">
        <v>1.65</v>
      </c>
      <c r="D1447" s="1">
        <v>44</v>
      </c>
      <c r="E1447" s="1">
        <v>63.44</v>
      </c>
      <c r="F1447" s="1">
        <v>25</v>
      </c>
      <c r="G1447" s="1">
        <v>1898.42</v>
      </c>
      <c r="H1447" s="1" t="s">
        <v>9</v>
      </c>
      <c r="I1447" t="str">
        <f t="shared" si="22"/>
        <v>WOOD STAMP SET BEST WISHES [22210]</v>
      </c>
    </row>
    <row r="1448" spans="1:9" x14ac:dyDescent="0.3">
      <c r="A1448" s="1">
        <v>22211</v>
      </c>
      <c r="B1448" t="s">
        <v>4697</v>
      </c>
      <c r="C1448" s="1">
        <v>1.65</v>
      </c>
      <c r="D1448" s="1">
        <v>52</v>
      </c>
      <c r="E1448" s="1">
        <v>61.24</v>
      </c>
      <c r="F1448" s="1">
        <v>25</v>
      </c>
      <c r="G1448" s="1">
        <v>2022.35</v>
      </c>
      <c r="H1448" s="1" t="s">
        <v>9</v>
      </c>
      <c r="I1448" t="str">
        <f t="shared" si="22"/>
        <v>WOOD STAMP SET FLOWERS [22211]</v>
      </c>
    </row>
    <row r="1449" spans="1:9" x14ac:dyDescent="0.3">
      <c r="A1449" s="1">
        <v>22212</v>
      </c>
      <c r="B1449" t="s">
        <v>4696</v>
      </c>
      <c r="C1449" s="1">
        <v>2.2400000000000002</v>
      </c>
      <c r="D1449" s="1">
        <v>143</v>
      </c>
      <c r="E1449" s="1">
        <v>160.96</v>
      </c>
      <c r="F1449" s="1">
        <v>25</v>
      </c>
      <c r="G1449" s="1">
        <v>8642.2999999999993</v>
      </c>
      <c r="H1449" s="1" t="s">
        <v>10</v>
      </c>
      <c r="I1449" t="str">
        <f t="shared" si="22"/>
        <v>FOUR HOOK  WHITE LOVEBIRDS [22212]</v>
      </c>
    </row>
    <row r="1450" spans="1:9" x14ac:dyDescent="0.3">
      <c r="A1450" s="1">
        <v>22214</v>
      </c>
      <c r="B1450" t="s">
        <v>4695</v>
      </c>
      <c r="C1450" s="1">
        <v>2.5499999999999998</v>
      </c>
      <c r="D1450" s="1">
        <v>13</v>
      </c>
      <c r="E1450" s="1">
        <v>21.96</v>
      </c>
      <c r="F1450" s="1">
        <v>25</v>
      </c>
      <c r="G1450" s="1">
        <v>1279.79</v>
      </c>
      <c r="H1450" s="1" t="s">
        <v>9</v>
      </c>
      <c r="I1450" t="str">
        <f t="shared" si="22"/>
        <v>CANDLE PLATE LACE WHITE [22214]</v>
      </c>
    </row>
    <row r="1451" spans="1:9" x14ac:dyDescent="0.3">
      <c r="A1451" s="1">
        <v>22215</v>
      </c>
      <c r="B1451" t="s">
        <v>4694</v>
      </c>
      <c r="C1451" s="1">
        <v>8.5399999999999991</v>
      </c>
      <c r="D1451" s="1">
        <v>43</v>
      </c>
      <c r="E1451" s="1">
        <v>43.4</v>
      </c>
      <c r="F1451" s="1">
        <v>25</v>
      </c>
      <c r="G1451" s="1">
        <v>8809.93</v>
      </c>
      <c r="H1451" s="1" t="s">
        <v>9</v>
      </c>
      <c r="I1451" t="str">
        <f t="shared" si="22"/>
        <v>CAKE STAND WHITE TWO TIER LACE [22215]</v>
      </c>
    </row>
    <row r="1452" spans="1:9" x14ac:dyDescent="0.3">
      <c r="A1452" s="1">
        <v>22216</v>
      </c>
      <c r="B1452" t="s">
        <v>4693</v>
      </c>
      <c r="C1452" s="1">
        <v>0.92</v>
      </c>
      <c r="D1452" s="1">
        <v>29</v>
      </c>
      <c r="E1452" s="1">
        <v>55.84</v>
      </c>
      <c r="F1452" s="1">
        <v>25</v>
      </c>
      <c r="G1452" s="1">
        <v>1215.83</v>
      </c>
      <c r="H1452" s="1" t="s">
        <v>9</v>
      </c>
      <c r="I1452" t="str">
        <f t="shared" si="22"/>
        <v>T-LIGHT HOLDER WHITE LACE [22216]</v>
      </c>
    </row>
    <row r="1453" spans="1:9" x14ac:dyDescent="0.3">
      <c r="A1453" s="1">
        <v>22217</v>
      </c>
      <c r="B1453" t="s">
        <v>4692</v>
      </c>
      <c r="C1453" s="1">
        <v>1.34</v>
      </c>
      <c r="D1453" s="1">
        <v>65</v>
      </c>
      <c r="E1453" s="1">
        <v>94.96</v>
      </c>
      <c r="F1453" s="1">
        <v>25</v>
      </c>
      <c r="G1453" s="1">
        <v>2814.81</v>
      </c>
      <c r="H1453" s="1" t="s">
        <v>10</v>
      </c>
      <c r="I1453" t="str">
        <f t="shared" si="22"/>
        <v>T-LIGHT HOLDER HANGING LACE [22217]</v>
      </c>
    </row>
    <row r="1454" spans="1:9" x14ac:dyDescent="0.3">
      <c r="A1454" s="1">
        <v>22218</v>
      </c>
      <c r="B1454" t="s">
        <v>4691</v>
      </c>
      <c r="C1454" s="1">
        <v>4.25</v>
      </c>
      <c r="D1454" s="1">
        <v>103</v>
      </c>
      <c r="E1454" s="2">
        <v>94.769230769230703</v>
      </c>
      <c r="F1454" s="1">
        <v>13</v>
      </c>
      <c r="G1454" s="1">
        <v>5365.66</v>
      </c>
      <c r="H1454" s="1" t="s">
        <v>10</v>
      </c>
      <c r="I1454" t="str">
        <f t="shared" si="22"/>
        <v>CAKE STAND LACE WHITE [22218]</v>
      </c>
    </row>
    <row r="1455" spans="1:9" x14ac:dyDescent="0.3">
      <c r="A1455" s="1">
        <v>22219</v>
      </c>
      <c r="B1455" t="s">
        <v>4690</v>
      </c>
      <c r="C1455" s="1">
        <v>0.97</v>
      </c>
      <c r="D1455" s="1">
        <v>329</v>
      </c>
      <c r="E1455" s="1">
        <v>390.84</v>
      </c>
      <c r="F1455" s="1">
        <v>25</v>
      </c>
      <c r="G1455" s="1">
        <v>9270.48</v>
      </c>
      <c r="H1455" s="1" t="s">
        <v>10</v>
      </c>
      <c r="I1455" t="str">
        <f t="shared" si="22"/>
        <v>LOVEBIRD HANGING DECORATION WHITE [22219]</v>
      </c>
    </row>
    <row r="1456" spans="1:9" x14ac:dyDescent="0.3">
      <c r="A1456" s="1">
        <v>22220</v>
      </c>
      <c r="B1456" t="s">
        <v>4689</v>
      </c>
      <c r="C1456" s="1">
        <v>9.9499999999999993</v>
      </c>
      <c r="D1456" s="1">
        <v>27.5</v>
      </c>
      <c r="E1456" s="2">
        <v>31.0416666666666</v>
      </c>
      <c r="F1456" s="1">
        <v>24</v>
      </c>
      <c r="G1456" s="1">
        <v>6885.44</v>
      </c>
      <c r="H1456" s="1" t="s">
        <v>9</v>
      </c>
      <c r="I1456" t="str">
        <f t="shared" si="22"/>
        <v>CAKE STAND LOVEBIRD 2 TIER WHITE [22220]</v>
      </c>
    </row>
    <row r="1457" spans="1:9" x14ac:dyDescent="0.3">
      <c r="A1457" s="1">
        <v>22221</v>
      </c>
      <c r="B1457" t="s">
        <v>4688</v>
      </c>
      <c r="C1457" s="1">
        <v>9.9499999999999993</v>
      </c>
      <c r="D1457" s="1">
        <v>12</v>
      </c>
      <c r="E1457" s="1">
        <v>36.200000000000003</v>
      </c>
      <c r="F1457" s="1">
        <v>25</v>
      </c>
      <c r="G1457" s="1">
        <v>6702.33</v>
      </c>
      <c r="H1457" s="1" t="s">
        <v>9</v>
      </c>
      <c r="I1457" t="str">
        <f t="shared" si="22"/>
        <v>CAKE STAND LOVEBIRD 2 TIER PINK [22221]</v>
      </c>
    </row>
    <row r="1458" spans="1:9" x14ac:dyDescent="0.3">
      <c r="A1458" s="1">
        <v>22222</v>
      </c>
      <c r="B1458" t="s">
        <v>4687</v>
      </c>
      <c r="C1458" s="1">
        <v>5.25</v>
      </c>
      <c r="D1458" s="1">
        <v>36</v>
      </c>
      <c r="E1458" s="1">
        <v>59.56</v>
      </c>
      <c r="F1458" s="1">
        <v>25</v>
      </c>
      <c r="G1458" s="1">
        <v>6160.84</v>
      </c>
      <c r="H1458" s="1" t="s">
        <v>9</v>
      </c>
      <c r="I1458" t="str">
        <f t="shared" si="22"/>
        <v>CAKE PLATE LOVEBIRD WHITE [22222]</v>
      </c>
    </row>
    <row r="1459" spans="1:9" x14ac:dyDescent="0.3">
      <c r="A1459" s="1">
        <v>22223</v>
      </c>
      <c r="B1459" t="s">
        <v>4686</v>
      </c>
      <c r="C1459" s="1">
        <v>4.95</v>
      </c>
      <c r="D1459" s="1">
        <v>16</v>
      </c>
      <c r="E1459" s="1">
        <v>29.04</v>
      </c>
      <c r="F1459" s="1">
        <v>25</v>
      </c>
      <c r="G1459" s="1">
        <v>3359.66</v>
      </c>
      <c r="H1459" s="1" t="s">
        <v>9</v>
      </c>
      <c r="I1459" t="str">
        <f t="shared" si="22"/>
        <v>CAKE PLATE LOVEBIRD PINK [22223]</v>
      </c>
    </row>
    <row r="1460" spans="1:9" x14ac:dyDescent="0.3">
      <c r="A1460" s="1">
        <v>22224</v>
      </c>
      <c r="B1460" t="s">
        <v>4685</v>
      </c>
      <c r="C1460" s="1">
        <v>3.17</v>
      </c>
      <c r="D1460" s="1">
        <v>87</v>
      </c>
      <c r="E1460" s="1">
        <v>94.92</v>
      </c>
      <c r="F1460" s="1">
        <v>25</v>
      </c>
      <c r="G1460" s="2">
        <v>7527.94</v>
      </c>
      <c r="H1460" s="1" t="s">
        <v>10</v>
      </c>
      <c r="I1460" t="str">
        <f t="shared" si="22"/>
        <v>WHITE LOVEBIRD LANTERN [22224]</v>
      </c>
    </row>
    <row r="1461" spans="1:9" x14ac:dyDescent="0.3">
      <c r="A1461" s="1">
        <v>22227</v>
      </c>
      <c r="B1461" t="s">
        <v>4684</v>
      </c>
      <c r="C1461" s="1">
        <v>0.71</v>
      </c>
      <c r="D1461" s="1">
        <v>217</v>
      </c>
      <c r="E1461" s="1">
        <v>223</v>
      </c>
      <c r="F1461" s="1">
        <v>25</v>
      </c>
      <c r="G1461" s="1">
        <v>4344.17</v>
      </c>
      <c r="H1461" s="1" t="s">
        <v>10</v>
      </c>
      <c r="I1461" t="str">
        <f t="shared" si="22"/>
        <v>DECORATION, HANGING HEART+MIRROR [22227]</v>
      </c>
    </row>
    <row r="1462" spans="1:9" x14ac:dyDescent="0.3">
      <c r="A1462" s="1">
        <v>22228</v>
      </c>
      <c r="B1462" t="s">
        <v>4683</v>
      </c>
      <c r="C1462" s="1">
        <v>0.88</v>
      </c>
      <c r="D1462" s="1">
        <v>33</v>
      </c>
      <c r="E1462" s="2">
        <v>71.9583333333333</v>
      </c>
      <c r="F1462" s="1">
        <v>24</v>
      </c>
      <c r="G1462" s="1">
        <v>1456.6</v>
      </c>
      <c r="H1462" s="1" t="s">
        <v>9</v>
      </c>
      <c r="I1462" t="str">
        <f t="shared" si="22"/>
        <v>BUNNY WOODEN PAINTED WITH BIRD [22228]</v>
      </c>
    </row>
    <row r="1463" spans="1:9" x14ac:dyDescent="0.3">
      <c r="A1463" s="1">
        <v>22229</v>
      </c>
      <c r="B1463" t="s">
        <v>4682</v>
      </c>
      <c r="C1463" s="1">
        <v>0.88</v>
      </c>
      <c r="D1463" s="1">
        <v>38</v>
      </c>
      <c r="E1463" s="2">
        <v>47.952380952380899</v>
      </c>
      <c r="F1463" s="1">
        <v>21</v>
      </c>
      <c r="G1463" s="1">
        <v>845.3</v>
      </c>
      <c r="H1463" s="1" t="s">
        <v>9</v>
      </c>
      <c r="I1463" t="str">
        <f t="shared" si="22"/>
        <v>BUNNY WOODEN PAINTED WITH FLOWER [22229]</v>
      </c>
    </row>
    <row r="1464" spans="1:9" x14ac:dyDescent="0.3">
      <c r="A1464" s="1">
        <v>22230</v>
      </c>
      <c r="B1464" t="s">
        <v>4681</v>
      </c>
      <c r="C1464" s="1">
        <v>0.86</v>
      </c>
      <c r="D1464" s="1">
        <v>28</v>
      </c>
      <c r="E1464" s="1">
        <v>66.28</v>
      </c>
      <c r="F1464" s="1">
        <v>25</v>
      </c>
      <c r="G1464" s="1">
        <v>1134.6400000000001</v>
      </c>
      <c r="H1464" s="1" t="s">
        <v>9</v>
      </c>
      <c r="I1464" t="str">
        <f t="shared" si="22"/>
        <v>JIGSAW TREE WITH WATERING CAN [22230]</v>
      </c>
    </row>
    <row r="1465" spans="1:9" x14ac:dyDescent="0.3">
      <c r="A1465" s="1">
        <v>22231</v>
      </c>
      <c r="B1465" t="s">
        <v>4680</v>
      </c>
      <c r="C1465" s="1">
        <v>1.45</v>
      </c>
      <c r="D1465" s="1">
        <v>75</v>
      </c>
      <c r="E1465" s="1">
        <v>85.4</v>
      </c>
      <c r="F1465" s="1">
        <v>25</v>
      </c>
      <c r="G1465" s="1">
        <v>2712.48</v>
      </c>
      <c r="H1465" s="1" t="s">
        <v>10</v>
      </c>
      <c r="I1465" t="str">
        <f t="shared" si="22"/>
        <v>JIGSAW TREE WITH BIRDHOUSE [22231]</v>
      </c>
    </row>
    <row r="1466" spans="1:9" x14ac:dyDescent="0.3">
      <c r="A1466" s="1">
        <v>22232</v>
      </c>
      <c r="B1466" t="s">
        <v>4679</v>
      </c>
      <c r="C1466" s="1">
        <v>1.65</v>
      </c>
      <c r="D1466" s="1">
        <v>33.5</v>
      </c>
      <c r="E1466" s="2">
        <v>42.653846153846096</v>
      </c>
      <c r="F1466" s="1">
        <v>25</v>
      </c>
      <c r="G1466" s="1">
        <v>1318.99</v>
      </c>
      <c r="H1466" s="1" t="s">
        <v>9</v>
      </c>
      <c r="I1466" t="str">
        <f t="shared" si="22"/>
        <v>3 PIECE JIGSAW TOADSTOOLS [22232]</v>
      </c>
    </row>
    <row r="1467" spans="1:9" x14ac:dyDescent="0.3">
      <c r="A1467" s="1">
        <v>22233</v>
      </c>
      <c r="B1467" t="s">
        <v>4678</v>
      </c>
      <c r="C1467" s="1">
        <v>1.65</v>
      </c>
      <c r="D1467" s="1">
        <v>24.5</v>
      </c>
      <c r="E1467" s="2">
        <v>39.5416666666666</v>
      </c>
      <c r="F1467" s="1">
        <v>24</v>
      </c>
      <c r="G1467" s="1">
        <v>1210.1099999999999</v>
      </c>
      <c r="H1467" s="1" t="s">
        <v>9</v>
      </c>
      <c r="I1467" t="str">
        <f t="shared" si="22"/>
        <v>JIGSAW RABBIT AND BIRDHOUSE [22233]</v>
      </c>
    </row>
    <row r="1468" spans="1:9" x14ac:dyDescent="0.3">
      <c r="A1468" s="1">
        <v>22236</v>
      </c>
      <c r="B1468" t="s">
        <v>4677</v>
      </c>
      <c r="C1468" s="1">
        <v>12.52</v>
      </c>
      <c r="D1468" s="1">
        <v>37.5</v>
      </c>
      <c r="E1468" s="2">
        <v>46.9583333333333</v>
      </c>
      <c r="F1468" s="1">
        <v>24</v>
      </c>
      <c r="G1468" s="1">
        <v>13965.52</v>
      </c>
      <c r="H1468" s="1" t="s">
        <v>9</v>
      </c>
      <c r="I1468" t="str">
        <f t="shared" si="22"/>
        <v>CAKE STAND 3 TIER MAGIC GARDEN [22236]</v>
      </c>
    </row>
    <row r="1469" spans="1:9" x14ac:dyDescent="0.3">
      <c r="A1469" s="1">
        <v>22241</v>
      </c>
      <c r="B1469" t="s">
        <v>4676</v>
      </c>
      <c r="C1469" s="1">
        <v>1.3</v>
      </c>
      <c r="D1469" s="1">
        <v>15</v>
      </c>
      <c r="E1469" s="1">
        <v>173.96</v>
      </c>
      <c r="F1469" s="1">
        <v>24</v>
      </c>
      <c r="G1469" s="1">
        <v>5862.42</v>
      </c>
      <c r="H1469" s="1" t="s">
        <v>9</v>
      </c>
      <c r="I1469" t="str">
        <f t="shared" si="22"/>
        <v>GARLAND , WOODEN  " HAPPY EASTER" [22241]</v>
      </c>
    </row>
    <row r="1470" spans="1:9" x14ac:dyDescent="0.3">
      <c r="A1470" s="1">
        <v>22242</v>
      </c>
      <c r="B1470" t="s">
        <v>4675</v>
      </c>
      <c r="C1470" s="1">
        <v>1.645</v>
      </c>
      <c r="D1470" s="1">
        <v>254.5</v>
      </c>
      <c r="E1470" s="2">
        <v>264.222222222222</v>
      </c>
      <c r="F1470" s="1">
        <v>15</v>
      </c>
      <c r="G1470" s="1">
        <v>7559.91</v>
      </c>
      <c r="H1470" s="1" t="s">
        <v>10</v>
      </c>
      <c r="I1470" t="str">
        <f t="shared" si="22"/>
        <v>HOOK, 5 HANGER , MAGIC TOADSTOOL [22242]</v>
      </c>
    </row>
    <row r="1471" spans="1:9" x14ac:dyDescent="0.3">
      <c r="A1471" s="1">
        <v>22243</v>
      </c>
      <c r="B1471" t="s">
        <v>4674</v>
      </c>
      <c r="C1471" s="1">
        <v>1.59</v>
      </c>
      <c r="D1471" s="1">
        <v>260</v>
      </c>
      <c r="E1471" s="1">
        <v>307.12</v>
      </c>
      <c r="F1471" s="1">
        <v>22</v>
      </c>
      <c r="G1471" s="1">
        <v>11860.25</v>
      </c>
      <c r="H1471" s="1" t="s">
        <v>10</v>
      </c>
      <c r="I1471" t="str">
        <f t="shared" si="22"/>
        <v>HOOK, 5 HANGER ,MAGIC TOADSTOOL RED [22243]</v>
      </c>
    </row>
    <row r="1472" spans="1:9" x14ac:dyDescent="0.3">
      <c r="A1472" s="1">
        <v>22244</v>
      </c>
      <c r="B1472" t="s">
        <v>4673</v>
      </c>
      <c r="C1472" s="1">
        <v>1.95</v>
      </c>
      <c r="D1472" s="1">
        <v>184</v>
      </c>
      <c r="E1472" s="2">
        <v>198.333333333333</v>
      </c>
      <c r="F1472" s="1">
        <v>21</v>
      </c>
      <c r="G1472" s="1">
        <v>9101.9599999999991</v>
      </c>
      <c r="H1472" s="1" t="s">
        <v>10</v>
      </c>
      <c r="I1472" t="str">
        <f t="shared" si="22"/>
        <v>HOOK, 3 HANGER ,MAGIC GARDEN [22244]</v>
      </c>
    </row>
    <row r="1473" spans="1:9" x14ac:dyDescent="0.3">
      <c r="A1473" s="1">
        <v>22245</v>
      </c>
      <c r="B1473" t="s">
        <v>4672</v>
      </c>
      <c r="C1473" s="1">
        <v>0.86</v>
      </c>
      <c r="D1473" s="1">
        <v>205</v>
      </c>
      <c r="E1473" s="2">
        <v>220.619047619047</v>
      </c>
      <c r="F1473" s="1">
        <v>21</v>
      </c>
      <c r="G1473" s="1">
        <v>3988.85</v>
      </c>
      <c r="H1473" s="1" t="s">
        <v>10</v>
      </c>
      <c r="I1473" t="str">
        <f t="shared" si="22"/>
        <v>HOOK, 1 HANGER ,MAGIC GARDEN [22245]</v>
      </c>
    </row>
    <row r="1474" spans="1:9" x14ac:dyDescent="0.3">
      <c r="A1474" s="1">
        <v>22246</v>
      </c>
      <c r="B1474" t="s">
        <v>4671</v>
      </c>
      <c r="C1474" s="1">
        <v>2.1349999999999998</v>
      </c>
      <c r="D1474" s="1">
        <v>32</v>
      </c>
      <c r="E1474" s="2">
        <v>41.576923076923002</v>
      </c>
      <c r="F1474" s="1">
        <v>24</v>
      </c>
      <c r="G1474" s="1">
        <v>2287.9499999999998</v>
      </c>
      <c r="H1474" s="1" t="s">
        <v>9</v>
      </c>
      <c r="I1474" t="str">
        <f t="shared" si="22"/>
        <v>GARLAND, MAGIC GARDEN 1.8M [22246]</v>
      </c>
    </row>
    <row r="1475" spans="1:9" x14ac:dyDescent="0.3">
      <c r="A1475" s="1">
        <v>22247</v>
      </c>
      <c r="B1475" t="s">
        <v>4670</v>
      </c>
      <c r="C1475" s="1">
        <v>0.88</v>
      </c>
      <c r="D1475" s="1">
        <v>13</v>
      </c>
      <c r="E1475" s="1">
        <v>69.647058823529406</v>
      </c>
      <c r="F1475" s="1">
        <v>17</v>
      </c>
      <c r="G1475" s="1">
        <v>1022.79</v>
      </c>
      <c r="H1475" s="1" t="s">
        <v>9</v>
      </c>
      <c r="I1475" t="str">
        <f t="shared" ref="I1475:I1538" si="23">B1475&amp;" ["&amp;A1475&amp;"]"</f>
        <v>BUNNY DECORATION MAGIC GARDEN [22247]</v>
      </c>
    </row>
    <row r="1476" spans="1:9" x14ac:dyDescent="0.3">
      <c r="A1476" s="1">
        <v>22248</v>
      </c>
      <c r="B1476" t="s">
        <v>4669</v>
      </c>
      <c r="C1476" s="1">
        <v>0.9</v>
      </c>
      <c r="D1476" s="1">
        <v>22</v>
      </c>
      <c r="E1476" s="2">
        <v>44.043478260869499</v>
      </c>
      <c r="F1476" s="1">
        <v>23</v>
      </c>
      <c r="G1476" s="1">
        <v>901.5</v>
      </c>
      <c r="H1476" s="1" t="s">
        <v>9</v>
      </c>
      <c r="I1476" t="str">
        <f t="shared" si="23"/>
        <v>DECORATION  PINK CHICK MAGIC GARDEN [22248]</v>
      </c>
    </row>
    <row r="1477" spans="1:9" x14ac:dyDescent="0.3">
      <c r="A1477" s="1">
        <v>22249</v>
      </c>
      <c r="B1477" t="s">
        <v>4668</v>
      </c>
      <c r="C1477" s="1">
        <v>0.9</v>
      </c>
      <c r="D1477" s="1">
        <v>33</v>
      </c>
      <c r="E1477" s="1">
        <v>77.904761904761898</v>
      </c>
      <c r="F1477" s="1">
        <v>21</v>
      </c>
      <c r="G1477" s="1">
        <v>1434.66</v>
      </c>
      <c r="H1477" s="1" t="s">
        <v>9</v>
      </c>
      <c r="I1477" t="str">
        <f t="shared" si="23"/>
        <v>DECORATION WHITE CHICK MAGIC GARDEN [22249]</v>
      </c>
    </row>
    <row r="1478" spans="1:9" x14ac:dyDescent="0.3">
      <c r="A1478" s="1">
        <v>22250</v>
      </c>
      <c r="B1478" t="s">
        <v>4667</v>
      </c>
      <c r="C1478" s="1">
        <v>0.98</v>
      </c>
      <c r="D1478" s="1">
        <v>42</v>
      </c>
      <c r="E1478" s="1">
        <v>60.84</v>
      </c>
      <c r="F1478" s="1">
        <v>25</v>
      </c>
      <c r="G1478" s="1">
        <v>1382.96</v>
      </c>
      <c r="H1478" s="1" t="s">
        <v>9</v>
      </c>
      <c r="I1478" t="str">
        <f t="shared" si="23"/>
        <v>DECORATION  BUTTERFLY  MAGIC GARDEN [22250]</v>
      </c>
    </row>
    <row r="1479" spans="1:9" x14ac:dyDescent="0.3">
      <c r="A1479" s="1">
        <v>22251</v>
      </c>
      <c r="B1479" t="s">
        <v>4666</v>
      </c>
      <c r="C1479" s="1">
        <v>1.31</v>
      </c>
      <c r="D1479" s="1">
        <v>46</v>
      </c>
      <c r="E1479" s="1">
        <v>74.84</v>
      </c>
      <c r="F1479" s="1">
        <v>25</v>
      </c>
      <c r="G1479" s="1">
        <v>2317.64</v>
      </c>
      <c r="H1479" s="1" t="s">
        <v>9</v>
      </c>
      <c r="I1479" t="str">
        <f t="shared" si="23"/>
        <v>BIRDHOUSE DECORATION MAGIC GARDEN [22251]</v>
      </c>
    </row>
    <row r="1480" spans="1:9" x14ac:dyDescent="0.3">
      <c r="A1480" s="1">
        <v>22252</v>
      </c>
      <c r="B1480" t="s">
        <v>4665</v>
      </c>
      <c r="C1480" s="1">
        <v>1.25</v>
      </c>
      <c r="D1480" s="1">
        <v>30.5</v>
      </c>
      <c r="E1480" s="2">
        <v>36.769230769230703</v>
      </c>
      <c r="F1480" s="1">
        <v>25</v>
      </c>
      <c r="G1480" s="1">
        <v>1175.56</v>
      </c>
      <c r="H1480" s="1" t="s">
        <v>9</v>
      </c>
      <c r="I1480" t="str">
        <f t="shared" si="23"/>
        <v>BIRDCAGE DECORATION MAGIC GARDEN [22252]</v>
      </c>
    </row>
    <row r="1481" spans="1:9" x14ac:dyDescent="0.3">
      <c r="A1481" s="1">
        <v>22253</v>
      </c>
      <c r="B1481" t="s">
        <v>4664</v>
      </c>
      <c r="C1481" s="1">
        <v>1.1499999999999999</v>
      </c>
      <c r="D1481" s="1">
        <v>213</v>
      </c>
      <c r="E1481" s="1">
        <v>192.8</v>
      </c>
      <c r="F1481" s="1">
        <v>5</v>
      </c>
      <c r="G1481" s="1">
        <v>1158.28</v>
      </c>
      <c r="H1481" s="1" t="s">
        <v>10</v>
      </c>
      <c r="I1481" t="str">
        <f t="shared" si="23"/>
        <v>6 CROCHET STRAWBERRIES [22253]</v>
      </c>
    </row>
    <row r="1482" spans="1:9" x14ac:dyDescent="0.3">
      <c r="A1482" s="1">
        <v>22254</v>
      </c>
      <c r="B1482" t="s">
        <v>4663</v>
      </c>
      <c r="C1482" s="1">
        <v>1.27</v>
      </c>
      <c r="D1482" s="1">
        <v>30</v>
      </c>
      <c r="E1482" s="1">
        <v>55.92</v>
      </c>
      <c r="F1482" s="1">
        <v>25</v>
      </c>
      <c r="G1482" s="1">
        <v>1792.21</v>
      </c>
      <c r="H1482" s="1" t="s">
        <v>9</v>
      </c>
      <c r="I1482" t="str">
        <f t="shared" si="23"/>
        <v>FELT TOADSTOOL LARGE [22254]</v>
      </c>
    </row>
    <row r="1483" spans="1:9" x14ac:dyDescent="0.3">
      <c r="A1483" s="1">
        <v>22255</v>
      </c>
      <c r="B1483" t="s">
        <v>4662</v>
      </c>
      <c r="C1483" s="1">
        <v>0.91</v>
      </c>
      <c r="D1483" s="1">
        <v>47</v>
      </c>
      <c r="E1483" s="1">
        <v>47.4</v>
      </c>
      <c r="F1483" s="1">
        <v>25</v>
      </c>
      <c r="G1483" s="1">
        <v>1127.1099999999999</v>
      </c>
      <c r="H1483" s="1" t="s">
        <v>9</v>
      </c>
      <c r="I1483" t="str">
        <f t="shared" si="23"/>
        <v>FELT TOADSTOOL  SMALL [22255]</v>
      </c>
    </row>
    <row r="1484" spans="1:9" x14ac:dyDescent="0.3">
      <c r="A1484" s="1">
        <v>22256</v>
      </c>
      <c r="B1484" t="s">
        <v>4661</v>
      </c>
      <c r="C1484" s="1">
        <v>1.35</v>
      </c>
      <c r="D1484" s="1">
        <v>24</v>
      </c>
      <c r="E1484" s="1">
        <v>62.2</v>
      </c>
      <c r="F1484" s="1">
        <v>15</v>
      </c>
      <c r="G1484" s="1">
        <v>1200.07</v>
      </c>
      <c r="H1484" s="1" t="s">
        <v>9</v>
      </c>
      <c r="I1484" t="str">
        <f t="shared" si="23"/>
        <v>FELT FARM ANIMAL CHICKEN [22256]</v>
      </c>
    </row>
    <row r="1485" spans="1:9" x14ac:dyDescent="0.3">
      <c r="A1485" s="1">
        <v>22257</v>
      </c>
      <c r="B1485" t="s">
        <v>4660</v>
      </c>
      <c r="C1485" s="1">
        <v>1.25</v>
      </c>
      <c r="D1485" s="1">
        <v>18</v>
      </c>
      <c r="E1485" s="2">
        <v>38.090909090909001</v>
      </c>
      <c r="F1485" s="1">
        <v>11</v>
      </c>
      <c r="G1485" s="1">
        <v>345.48</v>
      </c>
      <c r="H1485" s="1" t="s">
        <v>9</v>
      </c>
      <c r="I1485" t="str">
        <f t="shared" si="23"/>
        <v>FELT FARM ANIMAL SHEEP [22257]</v>
      </c>
    </row>
    <row r="1486" spans="1:9" x14ac:dyDescent="0.3">
      <c r="A1486" s="1">
        <v>22258</v>
      </c>
      <c r="B1486" t="s">
        <v>4659</v>
      </c>
      <c r="C1486" s="1">
        <v>1.29</v>
      </c>
      <c r="D1486" s="1">
        <v>47.5</v>
      </c>
      <c r="E1486" s="2">
        <v>95.857142857142804</v>
      </c>
      <c r="F1486" s="1">
        <v>14</v>
      </c>
      <c r="G1486" s="1">
        <v>1291.05</v>
      </c>
      <c r="H1486" s="1" t="s">
        <v>9</v>
      </c>
      <c r="I1486" t="str">
        <f t="shared" si="23"/>
        <v>FELT FARM ANIMAL RABBIT [22258]</v>
      </c>
    </row>
    <row r="1487" spans="1:9" x14ac:dyDescent="0.3">
      <c r="A1487" s="1">
        <v>22259</v>
      </c>
      <c r="B1487" t="s">
        <v>4658</v>
      </c>
      <c r="C1487" s="1">
        <v>1.25</v>
      </c>
      <c r="D1487" s="1">
        <v>8</v>
      </c>
      <c r="E1487" s="2">
        <v>49.1666666666666</v>
      </c>
      <c r="F1487" s="1">
        <v>12</v>
      </c>
      <c r="G1487" s="1">
        <v>482.95</v>
      </c>
      <c r="H1487" s="1" t="s">
        <v>8</v>
      </c>
      <c r="I1487" t="str">
        <f t="shared" si="23"/>
        <v>FELT FARM ANIMAL HEN [22259]</v>
      </c>
    </row>
    <row r="1488" spans="1:9" x14ac:dyDescent="0.3">
      <c r="A1488" s="1">
        <v>22260</v>
      </c>
      <c r="B1488" t="s">
        <v>4657</v>
      </c>
      <c r="C1488" s="1">
        <v>1.1200000000000001</v>
      </c>
      <c r="D1488" s="1">
        <v>13</v>
      </c>
      <c r="E1488" s="1">
        <v>62.28</v>
      </c>
      <c r="F1488" s="1">
        <v>25</v>
      </c>
      <c r="G1488" s="1">
        <v>1594.77</v>
      </c>
      <c r="H1488" s="1" t="s">
        <v>9</v>
      </c>
      <c r="I1488" t="str">
        <f t="shared" si="23"/>
        <v>FELT EGG COSY BLUE RABBIT [22260]</v>
      </c>
    </row>
    <row r="1489" spans="1:9" x14ac:dyDescent="0.3">
      <c r="A1489" s="1">
        <v>22261</v>
      </c>
      <c r="B1489" t="s">
        <v>4656</v>
      </c>
      <c r="C1489" s="1">
        <v>0.98</v>
      </c>
      <c r="D1489" s="1">
        <v>14</v>
      </c>
      <c r="E1489" s="2">
        <v>91.521739130434696</v>
      </c>
      <c r="F1489" s="1">
        <v>23</v>
      </c>
      <c r="G1489" s="2">
        <v>2024.35</v>
      </c>
      <c r="H1489" s="1" t="s">
        <v>9</v>
      </c>
      <c r="I1489" t="str">
        <f t="shared" si="23"/>
        <v>FELT EGG COSY WHITE RABBIT [22261]</v>
      </c>
    </row>
    <row r="1490" spans="1:9" x14ac:dyDescent="0.3">
      <c r="A1490" s="1">
        <v>22262</v>
      </c>
      <c r="B1490" t="s">
        <v>4655</v>
      </c>
      <c r="C1490" s="1">
        <v>0.97</v>
      </c>
      <c r="D1490" s="1">
        <v>44</v>
      </c>
      <c r="E1490" s="1">
        <v>81.040000000000006</v>
      </c>
      <c r="F1490" s="1">
        <v>25</v>
      </c>
      <c r="G1490" s="1">
        <v>1947.82</v>
      </c>
      <c r="H1490" s="1" t="s">
        <v>9</v>
      </c>
      <c r="I1490" t="str">
        <f t="shared" si="23"/>
        <v>FELT EGG COSY CHICKEN [22262]</v>
      </c>
    </row>
    <row r="1491" spans="1:9" x14ac:dyDescent="0.3">
      <c r="A1491" s="1">
        <v>22263</v>
      </c>
      <c r="B1491" t="s">
        <v>4654</v>
      </c>
      <c r="C1491" s="1">
        <v>1.05</v>
      </c>
      <c r="D1491" s="1">
        <v>12</v>
      </c>
      <c r="E1491" s="2">
        <v>36.347826086956502</v>
      </c>
      <c r="F1491" s="1">
        <v>23</v>
      </c>
      <c r="G1491" s="1">
        <v>627.38</v>
      </c>
      <c r="H1491" s="1" t="s">
        <v>9</v>
      </c>
      <c r="I1491" t="str">
        <f t="shared" si="23"/>
        <v>FELT EGG COSY LADYBIRD [22263]</v>
      </c>
    </row>
    <row r="1492" spans="1:9" x14ac:dyDescent="0.3">
      <c r="A1492" s="1">
        <v>22264</v>
      </c>
      <c r="B1492" t="s">
        <v>4653</v>
      </c>
      <c r="C1492" s="1">
        <v>0.95</v>
      </c>
      <c r="D1492" s="1">
        <v>10</v>
      </c>
      <c r="E1492" s="1">
        <v>73.55</v>
      </c>
      <c r="F1492" s="1">
        <v>20</v>
      </c>
      <c r="G1492" s="1">
        <v>1038.42</v>
      </c>
      <c r="H1492" s="1" t="s">
        <v>9</v>
      </c>
      <c r="I1492" t="str">
        <f t="shared" si="23"/>
        <v>FELT FARM ANIMAL WHITE BUNNY [22264]</v>
      </c>
    </row>
    <row r="1493" spans="1:9" x14ac:dyDescent="0.3">
      <c r="A1493" s="1">
        <v>22265</v>
      </c>
      <c r="B1493" t="s">
        <v>4652</v>
      </c>
      <c r="C1493" s="1">
        <v>0.65500000000000003</v>
      </c>
      <c r="D1493" s="1">
        <v>46.5</v>
      </c>
      <c r="E1493" s="2">
        <v>83.772727272727195</v>
      </c>
      <c r="F1493" s="1">
        <v>22</v>
      </c>
      <c r="G1493" s="1">
        <v>1207.8</v>
      </c>
      <c r="H1493" s="1" t="s">
        <v>9</v>
      </c>
      <c r="I1493" t="str">
        <f t="shared" si="23"/>
        <v>EASTER DECORATION NATURAL CHICK [22265]</v>
      </c>
    </row>
    <row r="1494" spans="1:9" x14ac:dyDescent="0.3">
      <c r="A1494" s="1">
        <v>22266</v>
      </c>
      <c r="B1494" t="s">
        <v>4651</v>
      </c>
      <c r="C1494" s="1">
        <v>0.66</v>
      </c>
      <c r="D1494" s="1">
        <v>96</v>
      </c>
      <c r="E1494" s="2">
        <v>133.78947368421001</v>
      </c>
      <c r="F1494" s="1">
        <v>19</v>
      </c>
      <c r="G1494" s="1">
        <v>1040.1099999999999</v>
      </c>
      <c r="H1494" s="1" t="s">
        <v>10</v>
      </c>
      <c r="I1494" t="str">
        <f t="shared" si="23"/>
        <v>EASTER DECORATION HANGING BUNNY [22266]</v>
      </c>
    </row>
    <row r="1495" spans="1:9" x14ac:dyDescent="0.3">
      <c r="A1495" s="1">
        <v>22267</v>
      </c>
      <c r="B1495" t="s">
        <v>4650</v>
      </c>
      <c r="C1495" s="2">
        <v>0.98499999999999899</v>
      </c>
      <c r="D1495" s="1">
        <v>72</v>
      </c>
      <c r="E1495" s="1">
        <v>92</v>
      </c>
      <c r="F1495" s="1">
        <v>16</v>
      </c>
      <c r="G1495" s="1">
        <v>1291.47</v>
      </c>
      <c r="H1495" s="1" t="s">
        <v>10</v>
      </c>
      <c r="I1495" t="str">
        <f t="shared" si="23"/>
        <v>EASTER DECORATION EGG BUNNY [22267]</v>
      </c>
    </row>
    <row r="1496" spans="1:9" x14ac:dyDescent="0.3">
      <c r="A1496" s="1">
        <v>22268</v>
      </c>
      <c r="B1496" t="s">
        <v>4649</v>
      </c>
      <c r="C1496" s="1">
        <v>0.85</v>
      </c>
      <c r="D1496" s="1">
        <v>18.5</v>
      </c>
      <c r="E1496" s="2">
        <v>80.0555555555555</v>
      </c>
      <c r="F1496" s="1">
        <v>17</v>
      </c>
      <c r="G1496" s="1">
        <v>1035.48</v>
      </c>
      <c r="H1496" s="1" t="s">
        <v>9</v>
      </c>
      <c r="I1496" t="str">
        <f t="shared" si="23"/>
        <v>EASTER DECORATION SITTING BUNNY [22268]</v>
      </c>
    </row>
    <row r="1497" spans="1:9" x14ac:dyDescent="0.3">
      <c r="A1497" s="1">
        <v>22269</v>
      </c>
      <c r="B1497" t="s">
        <v>4648</v>
      </c>
      <c r="C1497" s="1">
        <v>1.25</v>
      </c>
      <c r="D1497" s="1">
        <v>37</v>
      </c>
      <c r="E1497" s="1">
        <v>60.84</v>
      </c>
      <c r="F1497" s="1">
        <v>25</v>
      </c>
      <c r="G1497" s="1">
        <v>1357.7</v>
      </c>
      <c r="H1497" s="1" t="s">
        <v>9</v>
      </c>
      <c r="I1497" t="str">
        <f t="shared" si="23"/>
        <v>EGG CUP NATURAL CHICKEN [22269]</v>
      </c>
    </row>
    <row r="1498" spans="1:9" x14ac:dyDescent="0.3">
      <c r="A1498" s="1">
        <v>22270</v>
      </c>
      <c r="B1498" t="s">
        <v>4647</v>
      </c>
      <c r="C1498" s="1">
        <v>3.75</v>
      </c>
      <c r="D1498" s="1">
        <v>12</v>
      </c>
      <c r="E1498" s="1">
        <v>34.25</v>
      </c>
      <c r="F1498" s="1">
        <v>20</v>
      </c>
      <c r="G1498" s="1">
        <v>2638.67</v>
      </c>
      <c r="H1498" s="1" t="s">
        <v>9</v>
      </c>
      <c r="I1498" t="str">
        <f t="shared" si="23"/>
        <v>HAPPY EASTER HANGING DECORATION [22270]</v>
      </c>
    </row>
    <row r="1499" spans="1:9" x14ac:dyDescent="0.3">
      <c r="A1499" s="1">
        <v>22271</v>
      </c>
      <c r="B1499" t="s">
        <v>4646</v>
      </c>
      <c r="C1499" s="1">
        <v>2.95</v>
      </c>
      <c r="D1499" s="1">
        <v>160</v>
      </c>
      <c r="E1499" s="1">
        <v>202.75</v>
      </c>
      <c r="F1499" s="1">
        <v>24</v>
      </c>
      <c r="G1499" s="1">
        <v>13921.73</v>
      </c>
      <c r="H1499" s="1" t="s">
        <v>10</v>
      </c>
      <c r="I1499" t="str">
        <f t="shared" si="23"/>
        <v>FELTCRAFT DOLL ROSIE [22271]</v>
      </c>
    </row>
    <row r="1500" spans="1:9" x14ac:dyDescent="0.3">
      <c r="A1500" s="1">
        <v>22272</v>
      </c>
      <c r="B1500" t="s">
        <v>4645</v>
      </c>
      <c r="C1500" s="1">
        <v>2.95</v>
      </c>
      <c r="D1500" s="1">
        <v>67</v>
      </c>
      <c r="E1500" s="2">
        <v>76.1666666666666</v>
      </c>
      <c r="F1500" s="1">
        <v>18</v>
      </c>
      <c r="G1500" s="1">
        <v>3848.34</v>
      </c>
      <c r="H1500" s="1" t="s">
        <v>10</v>
      </c>
      <c r="I1500" t="str">
        <f t="shared" si="23"/>
        <v>FELTCRAFT DOLL MARIA [22272]</v>
      </c>
    </row>
    <row r="1501" spans="1:9" x14ac:dyDescent="0.3">
      <c r="A1501" s="1">
        <v>22273</v>
      </c>
      <c r="B1501" t="s">
        <v>4644</v>
      </c>
      <c r="C1501" s="1">
        <v>2.98</v>
      </c>
      <c r="D1501" s="1">
        <v>154</v>
      </c>
      <c r="E1501" s="1">
        <v>294.2</v>
      </c>
      <c r="F1501" s="1">
        <v>25</v>
      </c>
      <c r="G1501" s="2">
        <v>20150.9899999999</v>
      </c>
      <c r="H1501" s="1" t="s">
        <v>10</v>
      </c>
      <c r="I1501" t="str">
        <f t="shared" si="23"/>
        <v>FELTCRAFT DOLL MOLLY [22273]</v>
      </c>
    </row>
    <row r="1502" spans="1:9" x14ac:dyDescent="0.3">
      <c r="A1502" s="1">
        <v>22274</v>
      </c>
      <c r="B1502" t="s">
        <v>4643</v>
      </c>
      <c r="C1502" s="1">
        <v>2.99</v>
      </c>
      <c r="D1502" s="1">
        <v>121</v>
      </c>
      <c r="E1502" s="1">
        <v>150.91999999999999</v>
      </c>
      <c r="F1502" s="1">
        <v>25</v>
      </c>
      <c r="G1502" s="1">
        <v>10770.07</v>
      </c>
      <c r="H1502" s="1" t="s">
        <v>10</v>
      </c>
      <c r="I1502" t="str">
        <f t="shared" si="23"/>
        <v>FELTCRAFT DOLL EMILY [22274]</v>
      </c>
    </row>
    <row r="1503" spans="1:9" x14ac:dyDescent="0.3">
      <c r="A1503" s="1">
        <v>22275</v>
      </c>
      <c r="B1503" t="s">
        <v>4642</v>
      </c>
      <c r="C1503" s="1">
        <v>8.5</v>
      </c>
      <c r="D1503" s="1">
        <v>62</v>
      </c>
      <c r="E1503" s="2">
        <v>72.769230769230703</v>
      </c>
      <c r="F1503" s="1">
        <v>13</v>
      </c>
      <c r="G1503" s="1">
        <v>7875.33</v>
      </c>
      <c r="H1503" s="1" t="s">
        <v>10</v>
      </c>
      <c r="I1503" t="str">
        <f t="shared" si="23"/>
        <v>WEEKEND BAG VINTAGE ROSE PAISLEY [22275]</v>
      </c>
    </row>
    <row r="1504" spans="1:9" x14ac:dyDescent="0.3">
      <c r="A1504" s="1">
        <v>22276</v>
      </c>
      <c r="B1504" t="s">
        <v>4641</v>
      </c>
      <c r="C1504" s="1">
        <v>2.6</v>
      </c>
      <c r="D1504" s="1">
        <v>64</v>
      </c>
      <c r="E1504" s="1">
        <v>75.56</v>
      </c>
      <c r="F1504" s="1">
        <v>25</v>
      </c>
      <c r="G1504" s="1">
        <v>4884.8599999999997</v>
      </c>
      <c r="H1504" s="1" t="s">
        <v>10</v>
      </c>
      <c r="I1504" t="str">
        <f t="shared" si="23"/>
        <v>WASH BAG VINTAGE ROSE PAISLEY [22276]</v>
      </c>
    </row>
    <row r="1505" spans="1:9" x14ac:dyDescent="0.3">
      <c r="A1505" s="1">
        <v>22277</v>
      </c>
      <c r="B1505" t="s">
        <v>4640</v>
      </c>
      <c r="C1505" s="1">
        <v>2.17</v>
      </c>
      <c r="D1505" s="1">
        <v>30</v>
      </c>
      <c r="E1505" s="1">
        <v>56</v>
      </c>
      <c r="F1505" s="1">
        <v>25</v>
      </c>
      <c r="G1505" s="1">
        <v>2927.49</v>
      </c>
      <c r="H1505" s="1" t="s">
        <v>9</v>
      </c>
      <c r="I1505" t="str">
        <f t="shared" si="23"/>
        <v>COSMETIC BAG VINTAGE ROSE PAISLEY [22277]</v>
      </c>
    </row>
    <row r="1506" spans="1:9" x14ac:dyDescent="0.3">
      <c r="A1506" s="1">
        <v>22278</v>
      </c>
      <c r="B1506" t="s">
        <v>4639</v>
      </c>
      <c r="C1506" s="1">
        <v>5.83</v>
      </c>
      <c r="D1506" s="1">
        <v>38</v>
      </c>
      <c r="E1506" s="1">
        <v>40.64</v>
      </c>
      <c r="F1506" s="1">
        <v>25</v>
      </c>
      <c r="G1506" s="1">
        <v>5959.53</v>
      </c>
      <c r="H1506" s="1" t="s">
        <v>9</v>
      </c>
      <c r="I1506" t="str">
        <f t="shared" si="23"/>
        <v>OVERNIGHT BAG VINTAGE ROSE PAISLEY [22278]</v>
      </c>
    </row>
    <row r="1507" spans="1:9" x14ac:dyDescent="0.3">
      <c r="A1507" s="1">
        <v>22279</v>
      </c>
      <c r="B1507" t="s">
        <v>4638</v>
      </c>
      <c r="C1507" s="1">
        <v>1.6</v>
      </c>
      <c r="D1507" s="1">
        <v>40</v>
      </c>
      <c r="E1507" s="1">
        <v>57.6</v>
      </c>
      <c r="F1507" s="1">
        <v>25</v>
      </c>
      <c r="G1507" s="1">
        <v>2104.62</v>
      </c>
      <c r="H1507" s="1" t="s">
        <v>9</v>
      </c>
      <c r="I1507" t="str">
        <f t="shared" si="23"/>
        <v>POCKET BAG BLUE PAISLEY RED SPOT [22279]</v>
      </c>
    </row>
    <row r="1508" spans="1:9" x14ac:dyDescent="0.3">
      <c r="A1508" s="1">
        <v>22280</v>
      </c>
      <c r="B1508" t="s">
        <v>4637</v>
      </c>
      <c r="C1508" s="1">
        <v>1.51</v>
      </c>
      <c r="D1508" s="1">
        <v>19</v>
      </c>
      <c r="E1508" s="1">
        <v>35.08</v>
      </c>
      <c r="F1508" s="1">
        <v>25</v>
      </c>
      <c r="G1508" s="1">
        <v>1248.74</v>
      </c>
      <c r="H1508" s="1" t="s">
        <v>9</v>
      </c>
      <c r="I1508" t="str">
        <f t="shared" si="23"/>
        <v>POCKET BAG PINK PAISELY BROWN SPOT [22280]</v>
      </c>
    </row>
    <row r="1509" spans="1:9" x14ac:dyDescent="0.3">
      <c r="A1509" s="1">
        <v>22281</v>
      </c>
      <c r="B1509" t="s">
        <v>4636</v>
      </c>
      <c r="C1509" s="1">
        <v>6.3049999999999997</v>
      </c>
      <c r="D1509" s="1">
        <v>5</v>
      </c>
      <c r="E1509" s="1">
        <v>31.9375</v>
      </c>
      <c r="F1509" s="1">
        <v>16</v>
      </c>
      <c r="G1509" s="1">
        <v>3285.86</v>
      </c>
      <c r="H1509" s="1" t="s">
        <v>8</v>
      </c>
      <c r="I1509" t="str">
        <f t="shared" si="23"/>
        <v>EASTER TREE YELLOW BIRDS [22281]</v>
      </c>
    </row>
    <row r="1510" spans="1:9" x14ac:dyDescent="0.3">
      <c r="A1510" s="1">
        <v>22282</v>
      </c>
      <c r="B1510" t="s">
        <v>4635</v>
      </c>
      <c r="C1510" s="1">
        <v>14.89</v>
      </c>
      <c r="D1510" s="1">
        <v>14</v>
      </c>
      <c r="E1510" s="1">
        <v>22.44</v>
      </c>
      <c r="F1510" s="1">
        <v>25</v>
      </c>
      <c r="G1510" s="1">
        <v>7304.69</v>
      </c>
      <c r="H1510" s="1" t="s">
        <v>9</v>
      </c>
      <c r="I1510" t="str">
        <f t="shared" si="23"/>
        <v>12 EGG HOUSE PAINTED WOOD [22282]</v>
      </c>
    </row>
    <row r="1511" spans="1:9" x14ac:dyDescent="0.3">
      <c r="A1511" s="1">
        <v>22283</v>
      </c>
      <c r="B1511" t="s">
        <v>4634</v>
      </c>
      <c r="C1511" s="1">
        <v>8.66</v>
      </c>
      <c r="D1511" s="1">
        <v>30</v>
      </c>
      <c r="E1511" s="1">
        <v>41.28</v>
      </c>
      <c r="F1511" s="1">
        <v>25</v>
      </c>
      <c r="G1511" s="1">
        <v>8533.09</v>
      </c>
      <c r="H1511" s="1" t="s">
        <v>9</v>
      </c>
      <c r="I1511" t="str">
        <f t="shared" si="23"/>
        <v>6 EGG HOUSE PAINTED WOOD [22283]</v>
      </c>
    </row>
    <row r="1512" spans="1:9" x14ac:dyDescent="0.3">
      <c r="A1512" s="1">
        <v>22284</v>
      </c>
      <c r="B1512" t="s">
        <v>4633</v>
      </c>
      <c r="C1512" s="1">
        <v>1.69</v>
      </c>
      <c r="D1512" s="1">
        <v>69</v>
      </c>
      <c r="E1512" s="1">
        <v>98.6</v>
      </c>
      <c r="F1512" s="1">
        <v>25</v>
      </c>
      <c r="G1512" s="1">
        <v>4017.74</v>
      </c>
      <c r="H1512" s="1" t="s">
        <v>10</v>
      </c>
      <c r="I1512" t="str">
        <f t="shared" si="23"/>
        <v>HEN HOUSE DECORATION [22284]</v>
      </c>
    </row>
    <row r="1513" spans="1:9" x14ac:dyDescent="0.3">
      <c r="A1513" s="1">
        <v>22285</v>
      </c>
      <c r="B1513" t="s">
        <v>4632</v>
      </c>
      <c r="C1513" s="2">
        <v>1.65499999999999</v>
      </c>
      <c r="D1513" s="1">
        <v>51</v>
      </c>
      <c r="E1513" s="2">
        <v>104.03846153846099</v>
      </c>
      <c r="F1513" s="1">
        <v>25</v>
      </c>
      <c r="G1513" s="1">
        <v>4248.01</v>
      </c>
      <c r="H1513" s="1" t="s">
        <v>9</v>
      </c>
      <c r="I1513" t="str">
        <f t="shared" si="23"/>
        <v>DECORATION HEN ON NEST, HANGING [22285]</v>
      </c>
    </row>
    <row r="1514" spans="1:9" x14ac:dyDescent="0.3">
      <c r="A1514" s="1">
        <v>22286</v>
      </c>
      <c r="B1514" t="s">
        <v>4631</v>
      </c>
      <c r="C1514" s="1">
        <v>1.68</v>
      </c>
      <c r="D1514" s="1">
        <v>78</v>
      </c>
      <c r="E1514" s="1">
        <v>98</v>
      </c>
      <c r="F1514" s="1">
        <v>14</v>
      </c>
      <c r="G1514" s="1">
        <v>2015.72</v>
      </c>
      <c r="H1514" s="1" t="s">
        <v>10</v>
      </c>
      <c r="I1514" t="str">
        <f t="shared" si="23"/>
        <v>DECORATION , WOBBLY RABBIT , METAL [22286]</v>
      </c>
    </row>
    <row r="1515" spans="1:9" x14ac:dyDescent="0.3">
      <c r="A1515" s="1">
        <v>22287</v>
      </c>
      <c r="B1515" t="s">
        <v>4630</v>
      </c>
      <c r="C1515" s="1">
        <v>1.69</v>
      </c>
      <c r="D1515" s="1">
        <v>36</v>
      </c>
      <c r="E1515" s="2">
        <v>68.857142857142804</v>
      </c>
      <c r="F1515" s="1">
        <v>13</v>
      </c>
      <c r="G1515" s="1">
        <v>1283.0899999999999</v>
      </c>
      <c r="H1515" s="1" t="s">
        <v>9</v>
      </c>
      <c r="I1515" t="str">
        <f t="shared" si="23"/>
        <v>DECORATION , WOBBLY CHICKEN, METAL [22287]</v>
      </c>
    </row>
    <row r="1516" spans="1:9" x14ac:dyDescent="0.3">
      <c r="A1516" s="1">
        <v>22288</v>
      </c>
      <c r="B1516" t="s">
        <v>4629</v>
      </c>
      <c r="C1516" s="1">
        <v>1.27</v>
      </c>
      <c r="D1516" s="1">
        <v>8</v>
      </c>
      <c r="E1516" s="2">
        <v>62.380952380952301</v>
      </c>
      <c r="F1516" s="1">
        <v>20</v>
      </c>
      <c r="G1516" s="1">
        <v>1525.99</v>
      </c>
      <c r="H1516" s="1" t="s">
        <v>8</v>
      </c>
      <c r="I1516" t="str">
        <f t="shared" si="23"/>
        <v>DECORATION , HANGING METAL RABBIT [22288]</v>
      </c>
    </row>
    <row r="1517" spans="1:9" x14ac:dyDescent="0.3">
      <c r="A1517" s="1">
        <v>22289</v>
      </c>
      <c r="B1517" t="s">
        <v>4628</v>
      </c>
      <c r="C1517" s="1">
        <v>1.28</v>
      </c>
      <c r="D1517" s="1">
        <v>6.5</v>
      </c>
      <c r="E1517" s="1">
        <v>38.200000000000003</v>
      </c>
      <c r="F1517" s="1">
        <v>20</v>
      </c>
      <c r="G1517" s="1">
        <v>817.48</v>
      </c>
      <c r="H1517" s="1" t="s">
        <v>8</v>
      </c>
      <c r="I1517" t="str">
        <f t="shared" si="23"/>
        <v>DECORATION , HANGING METAL CHICKEN [22289]</v>
      </c>
    </row>
    <row r="1518" spans="1:9" x14ac:dyDescent="0.3">
      <c r="A1518" s="1">
        <v>22290</v>
      </c>
      <c r="B1518" t="s">
        <v>4627</v>
      </c>
      <c r="C1518" s="1">
        <v>2.1800000000000002</v>
      </c>
      <c r="D1518" s="1">
        <v>142.5</v>
      </c>
      <c r="E1518" s="1">
        <v>167.5</v>
      </c>
      <c r="F1518" s="1">
        <v>4</v>
      </c>
      <c r="G1518" s="1">
        <v>1223.02</v>
      </c>
      <c r="H1518" s="1" t="s">
        <v>10</v>
      </c>
      <c r="I1518" t="str">
        <f t="shared" si="23"/>
        <v>STANDING METAL RABBIT WITH EGG [22290]</v>
      </c>
    </row>
    <row r="1519" spans="1:9" x14ac:dyDescent="0.3">
      <c r="A1519" s="1">
        <v>22291</v>
      </c>
      <c r="B1519" t="s">
        <v>4626</v>
      </c>
      <c r="C1519" s="1">
        <v>1.45</v>
      </c>
      <c r="D1519" s="1">
        <v>40</v>
      </c>
      <c r="E1519" s="2">
        <v>133.041666666666</v>
      </c>
      <c r="F1519" s="1">
        <v>23</v>
      </c>
      <c r="G1519" s="1">
        <v>4412.93</v>
      </c>
      <c r="H1519" s="1" t="s">
        <v>9</v>
      </c>
      <c r="I1519" t="str">
        <f t="shared" si="23"/>
        <v>SPRING DEC , HANGING CHICK CREAM [22291]</v>
      </c>
    </row>
    <row r="1520" spans="1:9" x14ac:dyDescent="0.3">
      <c r="A1520" s="1">
        <v>22292</v>
      </c>
      <c r="B1520" t="s">
        <v>4625</v>
      </c>
      <c r="C1520" s="1">
        <v>1.45</v>
      </c>
      <c r="D1520" s="1">
        <v>29</v>
      </c>
      <c r="E1520" s="1">
        <v>111.16</v>
      </c>
      <c r="F1520" s="1">
        <v>24</v>
      </c>
      <c r="G1520" s="1">
        <v>3773.74</v>
      </c>
      <c r="H1520" s="1" t="s">
        <v>9</v>
      </c>
      <c r="I1520" t="str">
        <f t="shared" si="23"/>
        <v>SPRING DEC , HANGING CHICK  YELLOW [22292]</v>
      </c>
    </row>
    <row r="1521" spans="1:9" x14ac:dyDescent="0.3">
      <c r="A1521" s="1">
        <v>22293</v>
      </c>
      <c r="B1521" t="s">
        <v>4624</v>
      </c>
      <c r="C1521" s="1">
        <v>1.51</v>
      </c>
      <c r="D1521" s="1">
        <v>50</v>
      </c>
      <c r="E1521" s="2">
        <v>88.434782608695599</v>
      </c>
      <c r="F1521" s="1">
        <v>22</v>
      </c>
      <c r="G1521" s="2">
        <v>2860.2</v>
      </c>
      <c r="H1521" s="1" t="s">
        <v>9</v>
      </c>
      <c r="I1521" t="str">
        <f t="shared" si="23"/>
        <v>SPRING DEC , HANGING CHICK  GREEN [22293]</v>
      </c>
    </row>
    <row r="1522" spans="1:9" x14ac:dyDescent="0.3">
      <c r="A1522" s="1">
        <v>22294</v>
      </c>
      <c r="B1522" t="s">
        <v>4623</v>
      </c>
      <c r="C1522" s="1">
        <v>1.26</v>
      </c>
      <c r="D1522" s="1">
        <v>571</v>
      </c>
      <c r="E1522" s="1">
        <v>666.84</v>
      </c>
      <c r="F1522" s="1">
        <v>25</v>
      </c>
      <c r="G1522" s="1">
        <v>20629.38</v>
      </c>
      <c r="H1522" s="1" t="s">
        <v>10</v>
      </c>
      <c r="I1522" t="str">
        <f t="shared" si="23"/>
        <v>HEART FILIGREE DOVE  SMALL [22294]</v>
      </c>
    </row>
    <row r="1523" spans="1:9" x14ac:dyDescent="0.3">
      <c r="A1523" s="1">
        <v>22295</v>
      </c>
      <c r="B1523" t="s">
        <v>4622</v>
      </c>
      <c r="C1523" s="1">
        <v>1.67</v>
      </c>
      <c r="D1523" s="1">
        <v>337</v>
      </c>
      <c r="E1523" s="2">
        <v>365.695652173913</v>
      </c>
      <c r="F1523" s="1">
        <v>23</v>
      </c>
      <c r="G1523" s="1">
        <v>13873.54</v>
      </c>
      <c r="H1523" s="1" t="s">
        <v>10</v>
      </c>
      <c r="I1523" t="str">
        <f t="shared" si="23"/>
        <v>HEART FILIGREE DOVE LARGE [22295]</v>
      </c>
    </row>
    <row r="1524" spans="1:9" x14ac:dyDescent="0.3">
      <c r="A1524" s="1">
        <v>22296</v>
      </c>
      <c r="B1524" t="s">
        <v>4621</v>
      </c>
      <c r="C1524" s="1">
        <v>1.67</v>
      </c>
      <c r="D1524" s="1">
        <v>340</v>
      </c>
      <c r="E1524" s="2">
        <v>404.95833333333297</v>
      </c>
      <c r="F1524" s="1">
        <v>24</v>
      </c>
      <c r="G1524" s="1">
        <v>16027.56</v>
      </c>
      <c r="H1524" s="1" t="s">
        <v>10</v>
      </c>
      <c r="I1524" t="str">
        <f t="shared" si="23"/>
        <v>HEART IVORY TRELLIS LARGE [22296]</v>
      </c>
    </row>
    <row r="1525" spans="1:9" x14ac:dyDescent="0.3">
      <c r="A1525" s="1">
        <v>22297</v>
      </c>
      <c r="B1525" t="s">
        <v>4620</v>
      </c>
      <c r="C1525" s="1">
        <v>1.31</v>
      </c>
      <c r="D1525" s="1">
        <v>436</v>
      </c>
      <c r="E1525" s="1">
        <v>548.6</v>
      </c>
      <c r="F1525" s="1">
        <v>25</v>
      </c>
      <c r="G1525" s="1">
        <v>17702.62</v>
      </c>
      <c r="H1525" s="1" t="s">
        <v>10</v>
      </c>
      <c r="I1525" t="str">
        <f t="shared" si="23"/>
        <v>HEART IVORY TRELLIS SMALL [22297]</v>
      </c>
    </row>
    <row r="1526" spans="1:9" x14ac:dyDescent="0.3">
      <c r="A1526" s="1">
        <v>22299</v>
      </c>
      <c r="B1526" t="s">
        <v>4619</v>
      </c>
      <c r="C1526" s="1">
        <v>1.27</v>
      </c>
      <c r="D1526" s="1">
        <v>98</v>
      </c>
      <c r="E1526" s="1">
        <v>156.47999999999999</v>
      </c>
      <c r="F1526" s="1">
        <v>25</v>
      </c>
      <c r="G1526" s="1">
        <v>4430.82</v>
      </c>
      <c r="H1526" s="1" t="s">
        <v>10</v>
      </c>
      <c r="I1526" t="str">
        <f t="shared" si="23"/>
        <v>PIG KEYRING WITH LIGHT &amp; SOUND [22299]</v>
      </c>
    </row>
    <row r="1527" spans="1:9" x14ac:dyDescent="0.3">
      <c r="A1527" s="1">
        <v>22300</v>
      </c>
      <c r="B1527" t="s">
        <v>4618</v>
      </c>
      <c r="C1527" s="1">
        <v>2.58</v>
      </c>
      <c r="D1527" s="1">
        <v>135</v>
      </c>
      <c r="E1527" s="1">
        <v>164.64</v>
      </c>
      <c r="F1527" s="1">
        <v>25</v>
      </c>
      <c r="G1527" s="1">
        <v>9891.4</v>
      </c>
      <c r="H1527" s="1" t="s">
        <v>10</v>
      </c>
      <c r="I1527" t="str">
        <f t="shared" si="23"/>
        <v>COFFEE MUG DOG + BALL DESIGN [22300]</v>
      </c>
    </row>
    <row r="1528" spans="1:9" x14ac:dyDescent="0.3">
      <c r="A1528" s="1">
        <v>22301</v>
      </c>
      <c r="B1528" t="s">
        <v>4617</v>
      </c>
      <c r="C1528" s="1">
        <v>2.52</v>
      </c>
      <c r="D1528" s="1">
        <v>189</v>
      </c>
      <c r="E1528" s="1">
        <v>200.36</v>
      </c>
      <c r="F1528" s="1">
        <v>25</v>
      </c>
      <c r="G1528" s="1">
        <v>12124.78</v>
      </c>
      <c r="H1528" s="1" t="s">
        <v>10</v>
      </c>
      <c r="I1528" t="str">
        <f t="shared" si="23"/>
        <v>COFFEE MUG CAT + BIRD DESIGN [22301]</v>
      </c>
    </row>
    <row r="1529" spans="1:9" x14ac:dyDescent="0.3">
      <c r="A1529" s="1">
        <v>22302</v>
      </c>
      <c r="B1529" t="s">
        <v>4616</v>
      </c>
      <c r="C1529" s="1">
        <v>2.4350000000000001</v>
      </c>
      <c r="D1529" s="1">
        <v>147</v>
      </c>
      <c r="E1529" s="1">
        <v>205.25</v>
      </c>
      <c r="F1529" s="1">
        <v>24</v>
      </c>
      <c r="G1529" s="1">
        <v>10492.45</v>
      </c>
      <c r="H1529" s="1" t="s">
        <v>10</v>
      </c>
      <c r="I1529" t="str">
        <f t="shared" si="23"/>
        <v>COFFEE MUG PEARS  DESIGN [22302]</v>
      </c>
    </row>
    <row r="1530" spans="1:9" x14ac:dyDescent="0.3">
      <c r="A1530" s="1">
        <v>22303</v>
      </c>
      <c r="B1530" t="s">
        <v>4615</v>
      </c>
      <c r="C1530" s="1">
        <v>2.46</v>
      </c>
      <c r="D1530" s="1">
        <v>208</v>
      </c>
      <c r="E1530" s="1">
        <v>217.56</v>
      </c>
      <c r="F1530" s="1">
        <v>25</v>
      </c>
      <c r="G1530" s="1">
        <v>12701.63</v>
      </c>
      <c r="H1530" s="1" t="s">
        <v>10</v>
      </c>
      <c r="I1530" t="str">
        <f t="shared" si="23"/>
        <v>COFFEE MUG APPLES DESIGN [22303]</v>
      </c>
    </row>
    <row r="1531" spans="1:9" x14ac:dyDescent="0.3">
      <c r="A1531" s="1">
        <v>22304</v>
      </c>
      <c r="B1531" t="s">
        <v>4614</v>
      </c>
      <c r="C1531" s="1">
        <v>2.5499999999999998</v>
      </c>
      <c r="D1531" s="1">
        <v>46</v>
      </c>
      <c r="E1531" s="2">
        <v>99.1666666666666</v>
      </c>
      <c r="F1531" s="1">
        <v>24</v>
      </c>
      <c r="G1531" s="2">
        <v>4689.5599999999904</v>
      </c>
      <c r="H1531" s="1" t="s">
        <v>9</v>
      </c>
      <c r="I1531" t="str">
        <f t="shared" si="23"/>
        <v>COFFEE MUG BLUE PAISLEY DESIGN [22304]</v>
      </c>
    </row>
    <row r="1532" spans="1:9" x14ac:dyDescent="0.3">
      <c r="A1532" s="1">
        <v>22305</v>
      </c>
      <c r="B1532" t="s">
        <v>4613</v>
      </c>
      <c r="C1532" s="1">
        <v>2.54</v>
      </c>
      <c r="D1532" s="1">
        <v>49</v>
      </c>
      <c r="E1532" s="1">
        <v>90.68</v>
      </c>
      <c r="F1532" s="1">
        <v>25</v>
      </c>
      <c r="G1532" s="1">
        <v>4711.53</v>
      </c>
      <c r="H1532" s="1" t="s">
        <v>9</v>
      </c>
      <c r="I1532" t="str">
        <f t="shared" si="23"/>
        <v>COFFEE MUG PINK PAISLEY DESIGN [22305]</v>
      </c>
    </row>
    <row r="1533" spans="1:9" x14ac:dyDescent="0.3">
      <c r="A1533" s="1">
        <v>22306</v>
      </c>
      <c r="B1533" t="s">
        <v>4612</v>
      </c>
      <c r="C1533" s="1">
        <v>1.82</v>
      </c>
      <c r="D1533" s="1">
        <v>65.5</v>
      </c>
      <c r="E1533" s="1">
        <v>115</v>
      </c>
      <c r="F1533" s="1">
        <v>14</v>
      </c>
      <c r="G1533" s="1">
        <v>2242.65</v>
      </c>
      <c r="H1533" s="1" t="s">
        <v>10</v>
      </c>
      <c r="I1533" t="str">
        <f t="shared" si="23"/>
        <v>SILVER MUG BONE CHINA TREE OF LIFE [22306]</v>
      </c>
    </row>
    <row r="1534" spans="1:9" x14ac:dyDescent="0.3">
      <c r="A1534" s="1">
        <v>22307</v>
      </c>
      <c r="B1534" t="s">
        <v>4611</v>
      </c>
      <c r="C1534" s="1">
        <v>1.71</v>
      </c>
      <c r="D1534" s="1">
        <v>87</v>
      </c>
      <c r="E1534" s="2">
        <v>107.90909090909</v>
      </c>
      <c r="F1534" s="1">
        <v>11</v>
      </c>
      <c r="G1534" s="1">
        <v>1722.45</v>
      </c>
      <c r="H1534" s="1" t="s">
        <v>10</v>
      </c>
      <c r="I1534" t="str">
        <f t="shared" si="23"/>
        <v>GOLD MUG BONE CHINA TREE OF LIFE [22307]</v>
      </c>
    </row>
    <row r="1535" spans="1:9" x14ac:dyDescent="0.3">
      <c r="A1535" s="1">
        <v>22308</v>
      </c>
      <c r="B1535" t="s">
        <v>4610</v>
      </c>
      <c r="C1535" s="1">
        <v>3.22</v>
      </c>
      <c r="D1535" s="1">
        <v>18</v>
      </c>
      <c r="E1535" s="1">
        <v>27.08</v>
      </c>
      <c r="F1535" s="1">
        <v>25</v>
      </c>
      <c r="G1535" s="1">
        <v>2085.0500000000002</v>
      </c>
      <c r="H1535" s="1" t="s">
        <v>9</v>
      </c>
      <c r="I1535" t="str">
        <f t="shared" si="23"/>
        <v>TEA COSY BLUE STRIPE [22308]</v>
      </c>
    </row>
    <row r="1536" spans="1:9" x14ac:dyDescent="0.3">
      <c r="A1536" s="1">
        <v>22309</v>
      </c>
      <c r="B1536" t="s">
        <v>4609</v>
      </c>
      <c r="C1536" s="1">
        <v>2.7949999999999999</v>
      </c>
      <c r="D1536" s="1">
        <v>44.5</v>
      </c>
      <c r="E1536" s="2">
        <v>55.4583333333333</v>
      </c>
      <c r="F1536" s="1">
        <v>24</v>
      </c>
      <c r="G1536" s="1">
        <v>3459.08</v>
      </c>
      <c r="H1536" s="1" t="s">
        <v>9</v>
      </c>
      <c r="I1536" t="str">
        <f t="shared" si="23"/>
        <v>TEA COSY RED  STRIPE [22309]</v>
      </c>
    </row>
    <row r="1537" spans="1:9" x14ac:dyDescent="0.3">
      <c r="A1537" s="1">
        <v>22310</v>
      </c>
      <c r="B1537" t="s">
        <v>4608</v>
      </c>
      <c r="C1537" s="2">
        <v>1.8599999999999901</v>
      </c>
      <c r="D1537" s="1">
        <v>34.5</v>
      </c>
      <c r="E1537" s="2">
        <v>66.884615384615302</v>
      </c>
      <c r="F1537" s="1">
        <v>24</v>
      </c>
      <c r="G1537" s="1">
        <v>3113.94</v>
      </c>
      <c r="H1537" s="1" t="s">
        <v>9</v>
      </c>
      <c r="I1537" t="str">
        <f t="shared" si="23"/>
        <v>KNITTED MUG COSY IVORY COLOUR [22310]</v>
      </c>
    </row>
    <row r="1538" spans="1:9" x14ac:dyDescent="0.3">
      <c r="A1538" s="1">
        <v>22311</v>
      </c>
      <c r="B1538" t="s">
        <v>4607</v>
      </c>
      <c r="C1538" s="1">
        <v>3.62</v>
      </c>
      <c r="D1538" s="1">
        <v>18</v>
      </c>
      <c r="E1538" s="1">
        <v>84.64</v>
      </c>
      <c r="F1538" s="1">
        <v>25</v>
      </c>
      <c r="G1538" s="1">
        <v>6755.56</v>
      </c>
      <c r="H1538" s="1" t="s">
        <v>9</v>
      </c>
      <c r="I1538" t="str">
        <f t="shared" si="23"/>
        <v>OFFICE MUG WARMER BLACK+SILVER [22311]</v>
      </c>
    </row>
    <row r="1539" spans="1:9" x14ac:dyDescent="0.3">
      <c r="A1539" s="1">
        <v>22312</v>
      </c>
      <c r="B1539" t="s">
        <v>4606</v>
      </c>
      <c r="C1539" s="1">
        <v>3.24</v>
      </c>
      <c r="D1539" s="1">
        <v>23</v>
      </c>
      <c r="E1539" s="1">
        <v>49.32</v>
      </c>
      <c r="F1539" s="1">
        <v>25</v>
      </c>
      <c r="G1539" s="1">
        <v>4254.05</v>
      </c>
      <c r="H1539" s="1" t="s">
        <v>9</v>
      </c>
      <c r="I1539" t="str">
        <f t="shared" ref="I1539:I1602" si="24">B1539&amp;" ["&amp;A1539&amp;"]"</f>
        <v>OFFICE MUG WARMER POLKADOT [22312]</v>
      </c>
    </row>
    <row r="1540" spans="1:9" x14ac:dyDescent="0.3">
      <c r="A1540" s="1">
        <v>22313</v>
      </c>
      <c r="B1540" t="s">
        <v>4605</v>
      </c>
      <c r="C1540" s="1">
        <v>3.2050000000000001</v>
      </c>
      <c r="D1540" s="1">
        <v>12.5</v>
      </c>
      <c r="E1540" s="2">
        <v>41.0416666666666</v>
      </c>
      <c r="F1540" s="1">
        <v>24</v>
      </c>
      <c r="G1540" s="1">
        <v>3146.07</v>
      </c>
      <c r="H1540" s="1" t="s">
        <v>9</v>
      </c>
      <c r="I1540" t="str">
        <f t="shared" si="24"/>
        <v>OFFICE MUG WARMER PINK [22313]</v>
      </c>
    </row>
    <row r="1541" spans="1:9" x14ac:dyDescent="0.3">
      <c r="A1541" s="1">
        <v>22314</v>
      </c>
      <c r="B1541" t="s">
        <v>4604</v>
      </c>
      <c r="C1541" s="1">
        <v>3.66</v>
      </c>
      <c r="D1541" s="1">
        <v>22</v>
      </c>
      <c r="E1541" s="1">
        <v>44.4</v>
      </c>
      <c r="F1541" s="1">
        <v>25</v>
      </c>
      <c r="G1541" s="1">
        <v>3888.48</v>
      </c>
      <c r="H1541" s="1" t="s">
        <v>9</v>
      </c>
      <c r="I1541" t="str">
        <f t="shared" si="24"/>
        <v>OFFICE MUG WARMER CHOC+BLUE [22314]</v>
      </c>
    </row>
    <row r="1542" spans="1:9" x14ac:dyDescent="0.3">
      <c r="A1542" s="1">
        <v>22315</v>
      </c>
      <c r="B1542" t="s">
        <v>4603</v>
      </c>
      <c r="C1542" s="1">
        <v>1.28</v>
      </c>
      <c r="D1542" s="1">
        <v>75</v>
      </c>
      <c r="E1542" s="1">
        <v>85.44</v>
      </c>
      <c r="F1542" s="1">
        <v>25</v>
      </c>
      <c r="G1542" s="1">
        <v>2749.51</v>
      </c>
      <c r="H1542" s="1" t="s">
        <v>10</v>
      </c>
      <c r="I1542" t="str">
        <f t="shared" si="24"/>
        <v>200 RED + WHITE BENDY STRAWS [22315]</v>
      </c>
    </row>
    <row r="1543" spans="1:9" x14ac:dyDescent="0.3">
      <c r="A1543" s="1">
        <v>22316</v>
      </c>
      <c r="B1543" t="s">
        <v>4602</v>
      </c>
      <c r="C1543" s="1">
        <v>1.25</v>
      </c>
      <c r="D1543" s="1">
        <v>27</v>
      </c>
      <c r="E1543" s="1">
        <v>50.28</v>
      </c>
      <c r="F1543" s="1">
        <v>25</v>
      </c>
      <c r="G1543" s="2">
        <v>1432.82</v>
      </c>
      <c r="H1543" s="1" t="s">
        <v>9</v>
      </c>
      <c r="I1543" t="str">
        <f t="shared" si="24"/>
        <v>200 BENDY SKULL STRAWS [22316]</v>
      </c>
    </row>
    <row r="1544" spans="1:9" x14ac:dyDescent="0.3">
      <c r="A1544" s="1">
        <v>22317</v>
      </c>
      <c r="B1544" t="s">
        <v>4601</v>
      </c>
      <c r="C1544" s="1">
        <v>3.16</v>
      </c>
      <c r="D1544" s="1">
        <v>19</v>
      </c>
      <c r="E1544" s="2">
        <v>24.4583333333333</v>
      </c>
      <c r="F1544" s="1">
        <v>24</v>
      </c>
      <c r="G1544" s="2">
        <v>1827.6399999999901</v>
      </c>
      <c r="H1544" s="1" t="s">
        <v>9</v>
      </c>
      <c r="I1544" t="str">
        <f t="shared" si="24"/>
        <v>FIVE CATS HANGING DECORATION [22317]</v>
      </c>
    </row>
    <row r="1545" spans="1:9" x14ac:dyDescent="0.3">
      <c r="A1545" s="1">
        <v>22318</v>
      </c>
      <c r="B1545" t="s">
        <v>4600</v>
      </c>
      <c r="C1545" s="1">
        <v>3.19</v>
      </c>
      <c r="D1545" s="1">
        <v>53</v>
      </c>
      <c r="E1545" s="1">
        <v>63.32</v>
      </c>
      <c r="F1545" s="1">
        <v>25</v>
      </c>
      <c r="G1545" s="2">
        <v>4983.9799999999996</v>
      </c>
      <c r="H1545" s="1" t="s">
        <v>9</v>
      </c>
      <c r="I1545" t="str">
        <f t="shared" si="24"/>
        <v>FIVE HEART HANGING DECORATION [22318]</v>
      </c>
    </row>
    <row r="1546" spans="1:9" x14ac:dyDescent="0.3">
      <c r="A1546" s="1">
        <v>22319</v>
      </c>
      <c r="B1546" t="s">
        <v>4599</v>
      </c>
      <c r="C1546" s="1">
        <v>0.65</v>
      </c>
      <c r="D1546" s="1">
        <v>96</v>
      </c>
      <c r="E1546" s="1">
        <v>119.48</v>
      </c>
      <c r="F1546" s="1">
        <v>25</v>
      </c>
      <c r="G1546" s="1">
        <v>1698.04</v>
      </c>
      <c r="H1546" s="1" t="s">
        <v>10</v>
      </c>
      <c r="I1546" t="str">
        <f t="shared" si="24"/>
        <v>HAIRCLIPS FORTIES FABRIC ASSORTED [22319]</v>
      </c>
    </row>
    <row r="1547" spans="1:9" x14ac:dyDescent="0.3">
      <c r="A1547" s="1">
        <v>22320</v>
      </c>
      <c r="B1547" t="s">
        <v>4598</v>
      </c>
      <c r="C1547" s="1">
        <v>5.95</v>
      </c>
      <c r="D1547" s="1">
        <v>19</v>
      </c>
      <c r="E1547" s="1">
        <v>23.92</v>
      </c>
      <c r="F1547" s="1">
        <v>25</v>
      </c>
      <c r="G1547" s="1">
        <v>3545.02</v>
      </c>
      <c r="H1547" s="1" t="s">
        <v>9</v>
      </c>
      <c r="I1547" t="str">
        <f t="shared" si="24"/>
        <v>BIRDS MOBILE VINTAGE DESIGN [22320]</v>
      </c>
    </row>
    <row r="1548" spans="1:9" x14ac:dyDescent="0.3">
      <c r="A1548" s="1">
        <v>22321</v>
      </c>
      <c r="B1548" t="s">
        <v>4597</v>
      </c>
      <c r="C1548" s="1">
        <v>0.93</v>
      </c>
      <c r="D1548" s="1">
        <v>73</v>
      </c>
      <c r="E1548" s="2">
        <v>90.285714285714207</v>
      </c>
      <c r="F1548" s="1">
        <v>25</v>
      </c>
      <c r="G1548" s="1">
        <v>2339.9499999999998</v>
      </c>
      <c r="H1548" s="1" t="s">
        <v>10</v>
      </c>
      <c r="I1548" t="str">
        <f t="shared" si="24"/>
        <v>BIRD DECORATION RED SPOT [22321]</v>
      </c>
    </row>
    <row r="1549" spans="1:9" x14ac:dyDescent="0.3">
      <c r="A1549" s="1">
        <v>22322</v>
      </c>
      <c r="B1549" t="s">
        <v>4596</v>
      </c>
      <c r="C1549" s="1">
        <v>0.97</v>
      </c>
      <c r="D1549" s="1">
        <v>30</v>
      </c>
      <c r="E1549" s="1">
        <v>64.680000000000007</v>
      </c>
      <c r="F1549" s="1">
        <v>24</v>
      </c>
      <c r="G1549" s="1">
        <v>1528.21</v>
      </c>
      <c r="H1549" s="1" t="s">
        <v>9</v>
      </c>
      <c r="I1549" t="str">
        <f t="shared" si="24"/>
        <v>BIRD DECORATION GREEN  SPOT [22322]</v>
      </c>
    </row>
    <row r="1550" spans="1:9" x14ac:dyDescent="0.3">
      <c r="A1550" s="1">
        <v>22323</v>
      </c>
      <c r="B1550" t="s">
        <v>4595</v>
      </c>
      <c r="C1550" s="2">
        <v>2.2249999999999899</v>
      </c>
      <c r="D1550" s="1">
        <v>62</v>
      </c>
      <c r="E1550" s="2">
        <v>51.6666666666666</v>
      </c>
      <c r="F1550" s="1">
        <v>12</v>
      </c>
      <c r="G1550" s="1">
        <v>1592.96</v>
      </c>
      <c r="H1550" s="1" t="s">
        <v>10</v>
      </c>
      <c r="I1550" t="str">
        <f t="shared" si="24"/>
        <v>BAG FOR CHILDREN VINTAGE PINK [22323]</v>
      </c>
    </row>
    <row r="1551" spans="1:9" x14ac:dyDescent="0.3">
      <c r="A1551" s="1">
        <v>22324</v>
      </c>
      <c r="B1551" t="s">
        <v>4594</v>
      </c>
      <c r="C1551" s="1">
        <v>2.41</v>
      </c>
      <c r="D1551" s="1">
        <v>24</v>
      </c>
      <c r="E1551" s="1">
        <v>26.4</v>
      </c>
      <c r="F1551" s="1">
        <v>24</v>
      </c>
      <c r="G1551" s="1">
        <v>1771.82</v>
      </c>
      <c r="H1551" s="1" t="s">
        <v>9</v>
      </c>
      <c r="I1551" t="str">
        <f t="shared" si="24"/>
        <v>BAG FOR CHILDREN VINTAGE BLUE [22324]</v>
      </c>
    </row>
    <row r="1552" spans="1:9" x14ac:dyDescent="0.3">
      <c r="A1552" s="1">
        <v>22325</v>
      </c>
      <c r="B1552" t="s">
        <v>4593</v>
      </c>
      <c r="C1552" s="1">
        <v>4.95</v>
      </c>
      <c r="D1552" s="1">
        <v>15</v>
      </c>
      <c r="E1552" s="1">
        <v>29.125</v>
      </c>
      <c r="F1552" s="1">
        <v>24</v>
      </c>
      <c r="G1552" s="1">
        <v>3139.99</v>
      </c>
      <c r="H1552" s="1" t="s">
        <v>9</v>
      </c>
      <c r="I1552" t="str">
        <f t="shared" si="24"/>
        <v>MOBILE VINTAGE HEARTS [22325]</v>
      </c>
    </row>
    <row r="1553" spans="1:9" x14ac:dyDescent="0.3">
      <c r="A1553" s="1">
        <v>22326</v>
      </c>
      <c r="B1553" t="s">
        <v>4592</v>
      </c>
      <c r="C1553" s="1">
        <v>2.88</v>
      </c>
      <c r="D1553" s="1">
        <v>597</v>
      </c>
      <c r="E1553" s="1">
        <v>617.84</v>
      </c>
      <c r="F1553" s="1">
        <v>24</v>
      </c>
      <c r="G1553" s="1">
        <v>44257.74</v>
      </c>
      <c r="H1553" s="1" t="s">
        <v>10</v>
      </c>
      <c r="I1553" t="str">
        <f t="shared" si="24"/>
        <v>ROUND SNACK BOXES ,SET4, WOODLAND [22326]</v>
      </c>
    </row>
    <row r="1554" spans="1:9" x14ac:dyDescent="0.3">
      <c r="A1554" s="1">
        <v>22327</v>
      </c>
      <c r="B1554" t="s">
        <v>4591</v>
      </c>
      <c r="C1554" s="1">
        <v>3.27</v>
      </c>
      <c r="D1554" s="1">
        <v>134.5</v>
      </c>
      <c r="E1554" s="2">
        <v>127.708333333333</v>
      </c>
      <c r="F1554" s="1">
        <v>24</v>
      </c>
      <c r="G1554" s="1">
        <v>9943.5499999999993</v>
      </c>
      <c r="H1554" s="1" t="s">
        <v>10</v>
      </c>
      <c r="I1554" t="str">
        <f t="shared" si="24"/>
        <v>ROUND SNACK BOXES SET OF 4 SKULLS [22327]</v>
      </c>
    </row>
    <row r="1555" spans="1:9" x14ac:dyDescent="0.3">
      <c r="A1555" s="1">
        <v>22328</v>
      </c>
      <c r="B1555" t="s">
        <v>4590</v>
      </c>
      <c r="C1555" s="1">
        <v>2.84</v>
      </c>
      <c r="D1555" s="1">
        <v>457</v>
      </c>
      <c r="E1555" s="1">
        <v>518.36</v>
      </c>
      <c r="F1555" s="1">
        <v>24</v>
      </c>
      <c r="G1555" s="1">
        <v>36170.31</v>
      </c>
      <c r="H1555" s="1" t="s">
        <v>10</v>
      </c>
      <c r="I1555" t="str">
        <f t="shared" si="24"/>
        <v>ROUND SNACK BOXES ,SET 4, FRUITS [22328]</v>
      </c>
    </row>
    <row r="1556" spans="1:9" x14ac:dyDescent="0.3">
      <c r="A1556" s="1">
        <v>22329</v>
      </c>
      <c r="B1556" t="s">
        <v>4589</v>
      </c>
      <c r="C1556" s="1">
        <v>1.65</v>
      </c>
      <c r="D1556" s="1">
        <v>211</v>
      </c>
      <c r="E1556" s="1">
        <v>206.36</v>
      </c>
      <c r="F1556" s="1">
        <v>24</v>
      </c>
      <c r="G1556" s="1">
        <v>8430.4500000000007</v>
      </c>
      <c r="H1556" s="1" t="s">
        <v>10</v>
      </c>
      <c r="I1556" t="str">
        <f t="shared" si="24"/>
        <v>ROUND CONTAINER SET OF 5 RETROSPOT [22329]</v>
      </c>
    </row>
    <row r="1557" spans="1:9" x14ac:dyDescent="0.3">
      <c r="A1557" s="1">
        <v>22330</v>
      </c>
      <c r="B1557" t="s">
        <v>4588</v>
      </c>
      <c r="C1557" s="1">
        <v>1.45</v>
      </c>
      <c r="D1557" s="1">
        <v>19</v>
      </c>
      <c r="E1557" s="2">
        <v>42.6666666666666</v>
      </c>
      <c r="F1557" s="1">
        <v>3</v>
      </c>
      <c r="G1557" s="1">
        <v>197.9</v>
      </c>
      <c r="H1557" s="1" t="s">
        <v>9</v>
      </c>
      <c r="I1557" t="str">
        <f t="shared" si="24"/>
        <v>72 ROUND PINK DOILIES [22330]</v>
      </c>
    </row>
    <row r="1558" spans="1:9" x14ac:dyDescent="0.3">
      <c r="A1558" s="1">
        <v>22331</v>
      </c>
      <c r="B1558" t="s">
        <v>4587</v>
      </c>
      <c r="C1558" s="1">
        <v>1.69</v>
      </c>
      <c r="D1558" s="1">
        <v>138</v>
      </c>
      <c r="E1558" s="1">
        <v>146.4</v>
      </c>
      <c r="F1558" s="1">
        <v>25</v>
      </c>
      <c r="G1558" s="1">
        <v>6011.57</v>
      </c>
      <c r="H1558" s="1" t="s">
        <v>10</v>
      </c>
      <c r="I1558" t="str">
        <f t="shared" si="24"/>
        <v>WOODLAND PARTY BAG + STICKER SET [22331]</v>
      </c>
    </row>
    <row r="1559" spans="1:9" x14ac:dyDescent="0.3">
      <c r="A1559" s="1">
        <v>22332</v>
      </c>
      <c r="B1559" t="s">
        <v>4586</v>
      </c>
      <c r="C1559" s="1">
        <v>1.65</v>
      </c>
      <c r="D1559" s="1">
        <v>118</v>
      </c>
      <c r="E1559" s="1">
        <v>166.32</v>
      </c>
      <c r="F1559" s="1">
        <v>25</v>
      </c>
      <c r="G1559" s="1">
        <v>6520.55</v>
      </c>
      <c r="H1559" s="1" t="s">
        <v>10</v>
      </c>
      <c r="I1559" t="str">
        <f t="shared" si="24"/>
        <v>SKULLS PARTY BAG + STICKER SET [22332]</v>
      </c>
    </row>
    <row r="1560" spans="1:9" x14ac:dyDescent="0.3">
      <c r="A1560" s="1">
        <v>22333</v>
      </c>
      <c r="B1560" t="s">
        <v>4585</v>
      </c>
      <c r="C1560" s="1">
        <v>1.59</v>
      </c>
      <c r="D1560" s="1">
        <v>292</v>
      </c>
      <c r="E1560" s="2">
        <v>345.86206896551698</v>
      </c>
      <c r="F1560" s="1">
        <v>25</v>
      </c>
      <c r="G1560" s="1">
        <v>15639.65</v>
      </c>
      <c r="H1560" s="1" t="s">
        <v>10</v>
      </c>
      <c r="I1560" t="str">
        <f t="shared" si="24"/>
        <v>RETRO SPORT PARTY BAG + STICKER SET [22333]</v>
      </c>
    </row>
    <row r="1561" spans="1:9" x14ac:dyDescent="0.3">
      <c r="A1561" s="1">
        <v>22334</v>
      </c>
      <c r="B1561" t="s">
        <v>4584</v>
      </c>
      <c r="C1561" s="1">
        <v>1.65</v>
      </c>
      <c r="D1561" s="1">
        <v>55</v>
      </c>
      <c r="E1561" s="1">
        <v>89.2</v>
      </c>
      <c r="F1561" s="1">
        <v>25</v>
      </c>
      <c r="G1561" s="1">
        <v>3552.36</v>
      </c>
      <c r="H1561" s="1" t="s">
        <v>9</v>
      </c>
      <c r="I1561" t="str">
        <f t="shared" si="24"/>
        <v>DINOSAUR PARTY BAG + STICKER SET [22334]</v>
      </c>
    </row>
    <row r="1562" spans="1:9" x14ac:dyDescent="0.3">
      <c r="A1562" s="1">
        <v>22335</v>
      </c>
      <c r="B1562" t="s">
        <v>4583</v>
      </c>
      <c r="C1562" s="1">
        <v>0.68</v>
      </c>
      <c r="D1562" s="1">
        <v>196</v>
      </c>
      <c r="E1562" s="1">
        <v>346.64</v>
      </c>
      <c r="F1562" s="1">
        <v>25</v>
      </c>
      <c r="G1562" s="2">
        <v>5644.7699999999904</v>
      </c>
      <c r="H1562" s="1" t="s">
        <v>10</v>
      </c>
      <c r="I1562" t="str">
        <f t="shared" si="24"/>
        <v>HEART DECORATION PAINTED ZINC [22335]</v>
      </c>
    </row>
    <row r="1563" spans="1:9" x14ac:dyDescent="0.3">
      <c r="A1563" s="1">
        <v>22336</v>
      </c>
      <c r="B1563" t="s">
        <v>4582</v>
      </c>
      <c r="C1563" s="1">
        <v>0.65</v>
      </c>
      <c r="D1563" s="1">
        <v>42.5</v>
      </c>
      <c r="E1563" s="2">
        <v>211.863636363636</v>
      </c>
      <c r="F1563" s="1">
        <v>22</v>
      </c>
      <c r="G1563" s="1">
        <v>2234.96</v>
      </c>
      <c r="H1563" s="1" t="s">
        <v>9</v>
      </c>
      <c r="I1563" t="str">
        <f t="shared" si="24"/>
        <v>DOVE DECORATION PAINTED ZINC [22336]</v>
      </c>
    </row>
    <row r="1564" spans="1:9" x14ac:dyDescent="0.3">
      <c r="A1564" s="1">
        <v>22337</v>
      </c>
      <c r="B1564" t="s">
        <v>4581</v>
      </c>
      <c r="C1564" s="1">
        <v>0.64</v>
      </c>
      <c r="D1564" s="1">
        <v>216</v>
      </c>
      <c r="E1564" s="2">
        <v>190.230769230769</v>
      </c>
      <c r="F1564" s="1">
        <v>13</v>
      </c>
      <c r="G1564" s="1">
        <v>1522.52</v>
      </c>
      <c r="H1564" s="1" t="s">
        <v>10</v>
      </c>
      <c r="I1564" t="str">
        <f t="shared" si="24"/>
        <v>ANGEL DECORATION PAINTED ZINC [22337]</v>
      </c>
    </row>
    <row r="1565" spans="1:9" x14ac:dyDescent="0.3">
      <c r="A1565" s="1">
        <v>22338</v>
      </c>
      <c r="B1565" t="s">
        <v>4580</v>
      </c>
      <c r="C1565" s="1">
        <v>0.65</v>
      </c>
      <c r="D1565" s="1">
        <v>92</v>
      </c>
      <c r="E1565" s="2">
        <v>320.36842105263099</v>
      </c>
      <c r="F1565" s="1">
        <v>19</v>
      </c>
      <c r="G1565" s="1">
        <v>2151.9899999999998</v>
      </c>
      <c r="H1565" s="1" t="s">
        <v>10</v>
      </c>
      <c r="I1565" t="str">
        <f t="shared" si="24"/>
        <v>STAR DECORATION PAINTED ZINC [22338]</v>
      </c>
    </row>
    <row r="1566" spans="1:9" x14ac:dyDescent="0.3">
      <c r="A1566" s="1">
        <v>22339</v>
      </c>
      <c r="B1566" t="s">
        <v>4579</v>
      </c>
      <c r="C1566" s="1">
        <v>0.65</v>
      </c>
      <c r="D1566" s="1">
        <v>85</v>
      </c>
      <c r="E1566" s="1">
        <v>220.0625</v>
      </c>
      <c r="F1566" s="1">
        <v>16</v>
      </c>
      <c r="G1566" s="1">
        <v>1385.46</v>
      </c>
      <c r="H1566" s="1" t="s">
        <v>10</v>
      </c>
      <c r="I1566" t="str">
        <f t="shared" si="24"/>
        <v>CHRISTMAS TREE PAINTED ZINC [22339]</v>
      </c>
    </row>
    <row r="1567" spans="1:9" x14ac:dyDescent="0.3">
      <c r="A1567" s="1">
        <v>22340</v>
      </c>
      <c r="B1567" t="s">
        <v>4578</v>
      </c>
      <c r="C1567" s="1">
        <v>1.66</v>
      </c>
      <c r="D1567" s="1">
        <v>35.5</v>
      </c>
      <c r="E1567" s="1">
        <v>112.4375</v>
      </c>
      <c r="F1567" s="1">
        <v>16</v>
      </c>
      <c r="G1567" s="1">
        <v>1511.05</v>
      </c>
      <c r="H1567" s="1" t="s">
        <v>9</v>
      </c>
      <c r="I1567" t="str">
        <f t="shared" si="24"/>
        <v>NOEL GARLAND PAINTED ZINC [22340]</v>
      </c>
    </row>
    <row r="1568" spans="1:9" x14ac:dyDescent="0.3">
      <c r="A1568" s="1">
        <v>22341</v>
      </c>
      <c r="B1568" t="s">
        <v>4577</v>
      </c>
      <c r="C1568" s="1">
        <v>1.78</v>
      </c>
      <c r="D1568" s="1">
        <v>59</v>
      </c>
      <c r="E1568" s="1">
        <v>138.68</v>
      </c>
      <c r="F1568" s="1">
        <v>25</v>
      </c>
      <c r="G1568" s="1">
        <v>5698.89</v>
      </c>
      <c r="H1568" s="1" t="s">
        <v>9</v>
      </c>
      <c r="I1568" t="str">
        <f t="shared" si="24"/>
        <v>LOVE GARLAND PAINTED ZINC [22341]</v>
      </c>
    </row>
    <row r="1569" spans="1:9" x14ac:dyDescent="0.3">
      <c r="A1569" s="1">
        <v>22342</v>
      </c>
      <c r="B1569" t="s">
        <v>4576</v>
      </c>
      <c r="C1569" s="1">
        <v>1.7</v>
      </c>
      <c r="D1569" s="1">
        <v>62</v>
      </c>
      <c r="E1569" s="1">
        <v>72.680000000000007</v>
      </c>
      <c r="F1569" s="1">
        <v>25</v>
      </c>
      <c r="G1569" s="1">
        <v>2521.25</v>
      </c>
      <c r="H1569" s="1" t="s">
        <v>10</v>
      </c>
      <c r="I1569" t="str">
        <f t="shared" si="24"/>
        <v>HOME GARLAND PAINTED ZINC [22342]</v>
      </c>
    </row>
    <row r="1570" spans="1:9" x14ac:dyDescent="0.3">
      <c r="A1570" s="1">
        <v>22343</v>
      </c>
      <c r="B1570" t="s">
        <v>4575</v>
      </c>
      <c r="C1570" s="1">
        <v>0.85</v>
      </c>
      <c r="D1570" s="1">
        <v>77</v>
      </c>
      <c r="E1570" s="1">
        <v>112.5</v>
      </c>
      <c r="F1570" s="1">
        <v>24</v>
      </c>
      <c r="G1570" s="1">
        <v>1912.18</v>
      </c>
      <c r="H1570" s="1" t="s">
        <v>10</v>
      </c>
      <c r="I1570" t="str">
        <f t="shared" si="24"/>
        <v>PARTY PIZZA DISH RED WHITE SPOT [22343]</v>
      </c>
    </row>
    <row r="1571" spans="1:9" x14ac:dyDescent="0.3">
      <c r="A1571" s="1">
        <v>22344</v>
      </c>
      <c r="B1571" t="s">
        <v>4574</v>
      </c>
      <c r="C1571" s="1">
        <v>0.85</v>
      </c>
      <c r="D1571" s="1">
        <v>26.5</v>
      </c>
      <c r="E1571" s="2">
        <v>52.115384615384599</v>
      </c>
      <c r="F1571" s="1">
        <v>23</v>
      </c>
      <c r="G1571" s="1">
        <v>764.57</v>
      </c>
      <c r="H1571" s="1" t="s">
        <v>9</v>
      </c>
      <c r="I1571" t="str">
        <f t="shared" si="24"/>
        <v>PARTY PIZZA DISH PINK WHITE SPOT [22344]</v>
      </c>
    </row>
    <row r="1572" spans="1:9" x14ac:dyDescent="0.3">
      <c r="A1572" s="1">
        <v>22345</v>
      </c>
      <c r="B1572" t="s">
        <v>4573</v>
      </c>
      <c r="C1572" s="1">
        <v>0.85</v>
      </c>
      <c r="D1572" s="1">
        <v>20.5</v>
      </c>
      <c r="E1572" s="2">
        <v>52.357142857142797</v>
      </c>
      <c r="F1572" s="1">
        <v>25</v>
      </c>
      <c r="G1572" s="1">
        <v>710.6</v>
      </c>
      <c r="H1572" s="1" t="s">
        <v>9</v>
      </c>
      <c r="I1572" t="str">
        <f t="shared" si="24"/>
        <v>PARTY PIZZA DISH BLUE WHITE SPOT [22345]</v>
      </c>
    </row>
    <row r="1573" spans="1:9" x14ac:dyDescent="0.3">
      <c r="A1573" s="1">
        <v>22346</v>
      </c>
      <c r="B1573" t="s">
        <v>4572</v>
      </c>
      <c r="C1573" s="1">
        <v>0.85</v>
      </c>
      <c r="D1573" s="1">
        <v>12</v>
      </c>
      <c r="E1573" s="2">
        <v>44.5416666666666</v>
      </c>
      <c r="F1573" s="1">
        <v>21</v>
      </c>
      <c r="G1573" s="1">
        <v>568.72</v>
      </c>
      <c r="H1573" s="1" t="s">
        <v>9</v>
      </c>
      <c r="I1573" t="str">
        <f t="shared" si="24"/>
        <v>PARTY PIZZA DISH GREEN WHITE SPOT [22346]</v>
      </c>
    </row>
    <row r="1574" spans="1:9" x14ac:dyDescent="0.3">
      <c r="A1574" s="1">
        <v>22347</v>
      </c>
      <c r="B1574" t="s">
        <v>4571</v>
      </c>
      <c r="C1574" s="1">
        <v>1.19</v>
      </c>
      <c r="D1574" s="1">
        <v>179.5</v>
      </c>
      <c r="E1574" s="1">
        <v>271.60000000000002</v>
      </c>
      <c r="F1574" s="1">
        <v>9</v>
      </c>
      <c r="G1574" s="1">
        <v>3119.18</v>
      </c>
      <c r="H1574" s="1" t="s">
        <v>10</v>
      </c>
      <c r="I1574" t="str">
        <f t="shared" si="24"/>
        <v>PIZZA DISH SLICE [22347]</v>
      </c>
    </row>
    <row r="1575" spans="1:9" x14ac:dyDescent="0.3">
      <c r="A1575" s="1">
        <v>22348</v>
      </c>
      <c r="B1575" t="s">
        <v>4570</v>
      </c>
      <c r="C1575" s="1">
        <v>0.87</v>
      </c>
      <c r="D1575" s="1">
        <v>360</v>
      </c>
      <c r="E1575" s="2">
        <v>461.222222222222</v>
      </c>
      <c r="F1575" s="1">
        <v>25</v>
      </c>
      <c r="G1575" s="1">
        <v>10583.12</v>
      </c>
      <c r="H1575" s="1" t="s">
        <v>10</v>
      </c>
      <c r="I1575" t="str">
        <f t="shared" si="24"/>
        <v>TEA BAG PLATE RED SPOTTY [22348]</v>
      </c>
    </row>
    <row r="1576" spans="1:9" x14ac:dyDescent="0.3">
      <c r="A1576" s="1">
        <v>22349</v>
      </c>
      <c r="B1576" t="s">
        <v>4569</v>
      </c>
      <c r="C1576" s="1">
        <v>3.75</v>
      </c>
      <c r="D1576" s="1">
        <v>67</v>
      </c>
      <c r="E1576" s="2">
        <v>98.884615384615302</v>
      </c>
      <c r="F1576" s="1">
        <v>25</v>
      </c>
      <c r="G1576" s="1">
        <v>10551.67</v>
      </c>
      <c r="H1576" s="1" t="s">
        <v>10</v>
      </c>
      <c r="I1576" t="str">
        <f t="shared" si="24"/>
        <v>DOG BOWL , CHASING BALL DESIGN [22349]</v>
      </c>
    </row>
    <row r="1577" spans="1:9" x14ac:dyDescent="0.3">
      <c r="A1577" s="1">
        <v>22350</v>
      </c>
      <c r="B1577" t="s">
        <v>4568</v>
      </c>
      <c r="C1577" s="1">
        <v>2.6749999999999998</v>
      </c>
      <c r="D1577" s="1">
        <v>54.5</v>
      </c>
      <c r="E1577" s="2">
        <v>109.230769230769</v>
      </c>
      <c r="F1577" s="1">
        <v>25</v>
      </c>
      <c r="G1577" s="2">
        <v>7883.44</v>
      </c>
      <c r="H1577" s="1" t="s">
        <v>9</v>
      </c>
      <c r="I1577" t="str">
        <f t="shared" si="24"/>
        <v>CAT BOWL [22350]</v>
      </c>
    </row>
    <row r="1578" spans="1:9" x14ac:dyDescent="0.3">
      <c r="A1578" s="1">
        <v>22351</v>
      </c>
      <c r="B1578" t="s">
        <v>4567</v>
      </c>
      <c r="C1578" s="1">
        <v>3.29</v>
      </c>
      <c r="D1578" s="1">
        <v>2</v>
      </c>
      <c r="E1578" s="1">
        <v>5</v>
      </c>
      <c r="F1578" s="1">
        <v>3</v>
      </c>
      <c r="G1578" s="2">
        <v>29.81</v>
      </c>
      <c r="H1578" s="1" t="s">
        <v>8</v>
      </c>
      <c r="I1578" t="str">
        <f t="shared" si="24"/>
        <v>DOTCOMGIFTSHOP TEA TOWEL [22351]</v>
      </c>
    </row>
    <row r="1579" spans="1:9" x14ac:dyDescent="0.3">
      <c r="A1579" s="1">
        <v>22352</v>
      </c>
      <c r="B1579" t="s">
        <v>4566</v>
      </c>
      <c r="C1579" s="1">
        <v>2.5499999999999998</v>
      </c>
      <c r="D1579" s="1">
        <v>294</v>
      </c>
      <c r="E1579" s="2">
        <v>262.59259259259198</v>
      </c>
      <c r="F1579" s="1">
        <v>25</v>
      </c>
      <c r="G1579" s="1">
        <v>17830.71</v>
      </c>
      <c r="H1579" s="1" t="s">
        <v>10</v>
      </c>
      <c r="I1579" t="str">
        <f t="shared" si="24"/>
        <v>LUNCHBOX WITH CUTLERY RETROSPOT [22352]</v>
      </c>
    </row>
    <row r="1580" spans="1:9" x14ac:dyDescent="0.3">
      <c r="A1580" s="1">
        <v>22353</v>
      </c>
      <c r="B1580" t="s">
        <v>4565</v>
      </c>
      <c r="C1580" s="1">
        <v>2.5499999999999998</v>
      </c>
      <c r="D1580" s="1">
        <v>159</v>
      </c>
      <c r="E1580" s="2">
        <v>178.058823529411</v>
      </c>
      <c r="F1580" s="1">
        <v>14</v>
      </c>
      <c r="G1580" s="1">
        <v>7846.97</v>
      </c>
      <c r="H1580" s="1" t="s">
        <v>10</v>
      </c>
      <c r="I1580" t="str">
        <f t="shared" si="24"/>
        <v>LUNCHBOX WITH CUTLERY FAIRY CAKES [22353]</v>
      </c>
    </row>
    <row r="1581" spans="1:9" x14ac:dyDescent="0.3">
      <c r="A1581" s="1">
        <v>22354</v>
      </c>
      <c r="B1581" t="s">
        <v>4564</v>
      </c>
      <c r="C1581" s="1">
        <v>3.76</v>
      </c>
      <c r="D1581" s="1">
        <v>81.5</v>
      </c>
      <c r="E1581" s="1">
        <v>85.692307692307693</v>
      </c>
      <c r="F1581" s="1">
        <v>25</v>
      </c>
      <c r="G1581" s="1">
        <v>8454.56</v>
      </c>
      <c r="H1581" s="1" t="s">
        <v>10</v>
      </c>
      <c r="I1581" t="str">
        <f t="shared" si="24"/>
        <v>RETRO SPOT PADDED SEAT CUSHION [22354]</v>
      </c>
    </row>
    <row r="1582" spans="1:9" x14ac:dyDescent="0.3">
      <c r="A1582" s="1">
        <v>22355</v>
      </c>
      <c r="B1582" t="s">
        <v>4563</v>
      </c>
      <c r="C1582" s="1">
        <v>1.39</v>
      </c>
      <c r="D1582" s="1">
        <v>1195</v>
      </c>
      <c r="E1582" s="2">
        <v>1183.55555555555</v>
      </c>
      <c r="F1582" s="1">
        <v>25</v>
      </c>
      <c r="G1582" s="1">
        <v>45377.56</v>
      </c>
      <c r="H1582" s="1" t="s">
        <v>10</v>
      </c>
      <c r="I1582" t="str">
        <f t="shared" si="24"/>
        <v>CHARLOTTE BAG , SUKI DESIGN [22355]</v>
      </c>
    </row>
    <row r="1583" spans="1:9" x14ac:dyDescent="0.3">
      <c r="A1583" s="1">
        <v>22356</v>
      </c>
      <c r="B1583" t="s">
        <v>4562</v>
      </c>
      <c r="C1583" s="1">
        <v>1.06</v>
      </c>
      <c r="D1583" s="1">
        <v>640</v>
      </c>
      <c r="E1583" s="2">
        <v>690.17241379310303</v>
      </c>
      <c r="F1583" s="1">
        <v>25</v>
      </c>
      <c r="G1583" s="1">
        <v>20871.900000000001</v>
      </c>
      <c r="H1583" s="1" t="s">
        <v>10</v>
      </c>
      <c r="I1583" t="str">
        <f t="shared" si="24"/>
        <v>CHARLOTTE BAG , PINK/WHITE SPOTS [22356]</v>
      </c>
    </row>
    <row r="1584" spans="1:9" x14ac:dyDescent="0.3">
      <c r="A1584" s="1">
        <v>22357</v>
      </c>
      <c r="B1584" t="s">
        <v>4561</v>
      </c>
      <c r="C1584" s="2">
        <v>4.5399999999999903</v>
      </c>
      <c r="D1584" s="1">
        <v>59</v>
      </c>
      <c r="E1584" s="1">
        <v>86.375</v>
      </c>
      <c r="F1584" s="1">
        <v>24</v>
      </c>
      <c r="G1584" s="1">
        <v>9352.41</v>
      </c>
      <c r="H1584" s="1" t="s">
        <v>9</v>
      </c>
      <c r="I1584" t="str">
        <f t="shared" si="24"/>
        <v>KINGS CHOICE BISCUIT TIN [22357]</v>
      </c>
    </row>
    <row r="1585" spans="1:9" x14ac:dyDescent="0.3">
      <c r="A1585" s="1">
        <v>22358</v>
      </c>
      <c r="B1585" t="s">
        <v>4560</v>
      </c>
      <c r="C1585" s="1">
        <v>3.3050000000000002</v>
      </c>
      <c r="D1585" s="1">
        <v>75</v>
      </c>
      <c r="E1585" s="2">
        <v>110.458333333333</v>
      </c>
      <c r="F1585" s="1">
        <v>24</v>
      </c>
      <c r="G1585" s="1">
        <v>8393.61</v>
      </c>
      <c r="H1585" s="1" t="s">
        <v>10</v>
      </c>
      <c r="I1585" t="str">
        <f t="shared" si="24"/>
        <v>KINGS CHOICE TEA CADDY [22358]</v>
      </c>
    </row>
    <row r="1586" spans="1:9" x14ac:dyDescent="0.3">
      <c r="A1586" s="1">
        <v>22359</v>
      </c>
      <c r="B1586" t="s">
        <v>4559</v>
      </c>
      <c r="C1586" s="1">
        <v>3.19</v>
      </c>
      <c r="D1586" s="1">
        <v>16</v>
      </c>
      <c r="E1586" s="2">
        <v>49.153846153846096</v>
      </c>
      <c r="F1586" s="1">
        <v>22</v>
      </c>
      <c r="G1586" s="2">
        <v>4052.18</v>
      </c>
      <c r="H1586" s="1" t="s">
        <v>9</v>
      </c>
      <c r="I1586" t="str">
        <f t="shared" si="24"/>
        <v>GLASS JAR KINGS CHOICE [22359]</v>
      </c>
    </row>
    <row r="1587" spans="1:9" x14ac:dyDescent="0.3">
      <c r="A1587" s="1">
        <v>22360</v>
      </c>
      <c r="B1587" t="s">
        <v>4558</v>
      </c>
      <c r="C1587" s="1">
        <v>3.04</v>
      </c>
      <c r="D1587" s="1">
        <v>83</v>
      </c>
      <c r="E1587" s="2">
        <v>108.826086956521</v>
      </c>
      <c r="F1587" s="1">
        <v>23</v>
      </c>
      <c r="G1587" s="1">
        <v>7535.5</v>
      </c>
      <c r="H1587" s="1" t="s">
        <v>10</v>
      </c>
      <c r="I1587" t="str">
        <f t="shared" si="24"/>
        <v>GLASS JAR, ENGLISH CONFECTIONERY [22360]</v>
      </c>
    </row>
    <row r="1588" spans="1:9" x14ac:dyDescent="0.3">
      <c r="A1588" s="1">
        <v>22361</v>
      </c>
      <c r="B1588" t="s">
        <v>4557</v>
      </c>
      <c r="C1588" s="1">
        <v>3.375</v>
      </c>
      <c r="D1588" s="1">
        <v>69</v>
      </c>
      <c r="E1588" s="2">
        <v>83.863636363636303</v>
      </c>
      <c r="F1588" s="1">
        <v>22</v>
      </c>
      <c r="G1588" s="1">
        <v>6036.26</v>
      </c>
      <c r="H1588" s="1" t="s">
        <v>10</v>
      </c>
      <c r="I1588" t="str">
        <f t="shared" si="24"/>
        <v>GLASS JAR DAISY FRESH COTTON WOOL [22361]</v>
      </c>
    </row>
    <row r="1589" spans="1:9" x14ac:dyDescent="0.3">
      <c r="A1589" s="1">
        <v>22362</v>
      </c>
      <c r="B1589" t="s">
        <v>4556</v>
      </c>
      <c r="C1589" s="1">
        <v>3.37</v>
      </c>
      <c r="D1589" s="1">
        <v>29</v>
      </c>
      <c r="E1589" s="2">
        <v>33.954545454545404</v>
      </c>
      <c r="F1589" s="1">
        <v>22</v>
      </c>
      <c r="G1589" s="2">
        <v>2410.5299999999902</v>
      </c>
      <c r="H1589" s="1" t="s">
        <v>9</v>
      </c>
      <c r="I1589" t="str">
        <f t="shared" si="24"/>
        <v>GLASS JAR PEACOCK BATH SALTS [22362]</v>
      </c>
    </row>
    <row r="1590" spans="1:9" x14ac:dyDescent="0.3">
      <c r="A1590" s="1">
        <v>22363</v>
      </c>
      <c r="B1590" t="s">
        <v>4555</v>
      </c>
      <c r="C1590" s="1">
        <v>3.12</v>
      </c>
      <c r="D1590" s="1">
        <v>23.5</v>
      </c>
      <c r="E1590" s="1">
        <v>35.5</v>
      </c>
      <c r="F1590" s="1">
        <v>22</v>
      </c>
      <c r="G1590" s="1">
        <v>2303.39</v>
      </c>
      <c r="H1590" s="1" t="s">
        <v>9</v>
      </c>
      <c r="I1590" t="str">
        <f t="shared" si="24"/>
        <v>GLASS JAR MARMALADE [22363]</v>
      </c>
    </row>
    <row r="1591" spans="1:9" x14ac:dyDescent="0.3">
      <c r="A1591" s="1">
        <v>22364</v>
      </c>
      <c r="B1591" t="s">
        <v>4554</v>
      </c>
      <c r="C1591" s="1">
        <v>3.2450000000000001</v>
      </c>
      <c r="D1591" s="1">
        <v>49.5</v>
      </c>
      <c r="E1591" s="2">
        <v>93.363636363636303</v>
      </c>
      <c r="F1591" s="1">
        <v>22</v>
      </c>
      <c r="G1591" s="1">
        <v>6498.61</v>
      </c>
      <c r="H1591" s="1" t="s">
        <v>9</v>
      </c>
      <c r="I1591" t="str">
        <f t="shared" si="24"/>
        <v>GLASS JAR DIGESTIVE BISCUITS [22364]</v>
      </c>
    </row>
    <row r="1592" spans="1:9" x14ac:dyDescent="0.3">
      <c r="A1592" s="1">
        <v>22365</v>
      </c>
      <c r="B1592" t="s">
        <v>4553</v>
      </c>
      <c r="C1592" s="1">
        <v>7.4950000000000001</v>
      </c>
      <c r="D1592" s="1">
        <v>45.5</v>
      </c>
      <c r="E1592" s="2">
        <v>83.178571428571402</v>
      </c>
      <c r="F1592" s="1">
        <v>24</v>
      </c>
      <c r="G1592" s="1">
        <v>15289.79</v>
      </c>
      <c r="H1592" s="1" t="s">
        <v>9</v>
      </c>
      <c r="I1592" t="str">
        <f t="shared" si="24"/>
        <v>DOORMAT RESPECTABLE HOUSE [22365]</v>
      </c>
    </row>
    <row r="1593" spans="1:9" x14ac:dyDescent="0.3">
      <c r="A1593" s="1">
        <v>22366</v>
      </c>
      <c r="B1593" t="s">
        <v>4552</v>
      </c>
      <c r="C1593" s="1">
        <v>7.6950000000000003</v>
      </c>
      <c r="D1593" s="1">
        <v>62</v>
      </c>
      <c r="E1593" s="2">
        <v>90.714285714285694</v>
      </c>
      <c r="F1593" s="1">
        <v>24</v>
      </c>
      <c r="G1593" s="1">
        <v>17242.3</v>
      </c>
      <c r="H1593" s="1" t="s">
        <v>10</v>
      </c>
      <c r="I1593" t="str">
        <f t="shared" si="24"/>
        <v>DOORMAT AIRMAIL [22366]</v>
      </c>
    </row>
    <row r="1594" spans="1:9" x14ac:dyDescent="0.3">
      <c r="A1594" s="1">
        <v>22367</v>
      </c>
      <c r="B1594" t="s">
        <v>4551</v>
      </c>
      <c r="C1594" s="2">
        <v>1.9449999999999901</v>
      </c>
      <c r="D1594" s="1">
        <v>291.5</v>
      </c>
      <c r="E1594" s="2">
        <v>309.961538461538</v>
      </c>
      <c r="F1594" s="1">
        <v>24</v>
      </c>
      <c r="G1594" s="1">
        <v>15778.67</v>
      </c>
      <c r="H1594" s="1" t="s">
        <v>10</v>
      </c>
      <c r="I1594" t="str">
        <f t="shared" si="24"/>
        <v>CHILDS APRON SPACEBOY DESIGN [22367]</v>
      </c>
    </row>
    <row r="1595" spans="1:9" x14ac:dyDescent="0.3">
      <c r="A1595" s="1">
        <v>22371</v>
      </c>
      <c r="B1595" t="s">
        <v>4550</v>
      </c>
      <c r="C1595" s="1">
        <v>4.8</v>
      </c>
      <c r="D1595" s="1">
        <v>70</v>
      </c>
      <c r="E1595" s="2">
        <v>79.478260869565204</v>
      </c>
      <c r="F1595" s="1">
        <v>23</v>
      </c>
      <c r="G1595" s="1">
        <v>8936.7999999999993</v>
      </c>
      <c r="H1595" s="1" t="s">
        <v>10</v>
      </c>
      <c r="I1595" t="str">
        <f t="shared" si="24"/>
        <v>AIRLINE BAG VINTAGE TOKYO 78 [22371]</v>
      </c>
    </row>
    <row r="1596" spans="1:9" x14ac:dyDescent="0.3">
      <c r="A1596" s="1">
        <v>22372</v>
      </c>
      <c r="B1596" t="s">
        <v>4549</v>
      </c>
      <c r="C1596" s="1">
        <v>4.78</v>
      </c>
      <c r="D1596" s="1">
        <v>23</v>
      </c>
      <c r="E1596" s="2">
        <v>26.260869565217298</v>
      </c>
      <c r="F1596" s="1">
        <v>23</v>
      </c>
      <c r="G1596" s="1">
        <v>3073.43</v>
      </c>
      <c r="H1596" s="1" t="s">
        <v>9</v>
      </c>
      <c r="I1596" t="str">
        <f t="shared" si="24"/>
        <v>AIRLINE BAG VINTAGE WORLD CHAMPION [22372]</v>
      </c>
    </row>
    <row r="1597" spans="1:9" x14ac:dyDescent="0.3">
      <c r="A1597" s="1">
        <v>22374</v>
      </c>
      <c r="B1597" t="s">
        <v>4548</v>
      </c>
      <c r="C1597" s="1">
        <v>4.6100000000000003</v>
      </c>
      <c r="D1597" s="1">
        <v>43</v>
      </c>
      <c r="E1597" s="2">
        <v>44.478260869565197</v>
      </c>
      <c r="F1597" s="1">
        <v>23</v>
      </c>
      <c r="G1597" s="1">
        <v>5099.84</v>
      </c>
      <c r="H1597" s="1" t="s">
        <v>9</v>
      </c>
      <c r="I1597" t="str">
        <f t="shared" si="24"/>
        <v>AIRLINE BAG VINTAGE JET SET RED [22374]</v>
      </c>
    </row>
    <row r="1598" spans="1:9" x14ac:dyDescent="0.3">
      <c r="A1598" s="1">
        <v>22375</v>
      </c>
      <c r="B1598" t="s">
        <v>4547</v>
      </c>
      <c r="C1598" s="1">
        <v>4.7</v>
      </c>
      <c r="D1598" s="1">
        <v>26</v>
      </c>
      <c r="E1598" s="2">
        <v>25.652173913043399</v>
      </c>
      <c r="F1598" s="1">
        <v>23</v>
      </c>
      <c r="G1598" s="1">
        <v>2969.29</v>
      </c>
      <c r="H1598" s="1" t="s">
        <v>9</v>
      </c>
      <c r="I1598" t="str">
        <f t="shared" si="24"/>
        <v>AIRLINE BAG VINTAGE JET SET BROWN [22375]</v>
      </c>
    </row>
    <row r="1599" spans="1:9" x14ac:dyDescent="0.3">
      <c r="A1599" s="1">
        <v>22376</v>
      </c>
      <c r="B1599" t="s">
        <v>4546</v>
      </c>
      <c r="C1599" s="1">
        <v>4.6399999999999997</v>
      </c>
      <c r="D1599" s="1">
        <v>19</v>
      </c>
      <c r="E1599" s="1">
        <v>23</v>
      </c>
      <c r="F1599" s="1">
        <v>23</v>
      </c>
      <c r="G1599" s="1">
        <v>2632.18</v>
      </c>
      <c r="H1599" s="1" t="s">
        <v>9</v>
      </c>
      <c r="I1599" t="str">
        <f t="shared" si="24"/>
        <v>AIRLINE BAG VINTAGE JET SET WHITE [22376]</v>
      </c>
    </row>
    <row r="1600" spans="1:9" x14ac:dyDescent="0.3">
      <c r="A1600" s="1">
        <v>22377</v>
      </c>
      <c r="B1600" t="s">
        <v>4545</v>
      </c>
      <c r="C1600" s="2">
        <v>2.1799999999999899</v>
      </c>
      <c r="D1600" s="1">
        <v>93</v>
      </c>
      <c r="E1600" s="1">
        <v>150.75</v>
      </c>
      <c r="F1600" s="1">
        <v>24</v>
      </c>
      <c r="G1600" s="1">
        <v>6920.11</v>
      </c>
      <c r="H1600" s="1" t="s">
        <v>10</v>
      </c>
      <c r="I1600" t="str">
        <f t="shared" si="24"/>
        <v>BOTTLE BAG RETROSPOT [22377]</v>
      </c>
    </row>
    <row r="1601" spans="1:9" x14ac:dyDescent="0.3">
      <c r="A1601" s="1">
        <v>22378</v>
      </c>
      <c r="B1601" t="s">
        <v>4544</v>
      </c>
      <c r="C1601" s="1">
        <v>2.2250000000000001</v>
      </c>
      <c r="D1601" s="1">
        <v>100.5</v>
      </c>
      <c r="E1601" s="2">
        <v>156.208333333333</v>
      </c>
      <c r="F1601" s="1">
        <v>24</v>
      </c>
      <c r="G1601" s="1">
        <v>6826.51</v>
      </c>
      <c r="H1601" s="1" t="s">
        <v>10</v>
      </c>
      <c r="I1601" t="str">
        <f t="shared" si="24"/>
        <v>WALL TIDY RETROSPOT [22378]</v>
      </c>
    </row>
    <row r="1602" spans="1:9" x14ac:dyDescent="0.3">
      <c r="A1602" s="1">
        <v>22379</v>
      </c>
      <c r="B1602" t="s">
        <v>4543</v>
      </c>
      <c r="C1602" s="2">
        <v>2.1949999999999998</v>
      </c>
      <c r="D1602" s="1">
        <v>574</v>
      </c>
      <c r="E1602" s="1">
        <v>656.875</v>
      </c>
      <c r="F1602" s="1">
        <v>24</v>
      </c>
      <c r="G1602" s="1">
        <v>34640.839999999997</v>
      </c>
      <c r="H1602" s="1" t="s">
        <v>10</v>
      </c>
      <c r="I1602" t="str">
        <f t="shared" si="24"/>
        <v>RECYCLING BAG RETROSPOT [22379]</v>
      </c>
    </row>
    <row r="1603" spans="1:9" x14ac:dyDescent="0.3">
      <c r="A1603" s="1">
        <v>22380</v>
      </c>
      <c r="B1603" t="s">
        <v>4542</v>
      </c>
      <c r="C1603" s="2">
        <v>2.11</v>
      </c>
      <c r="D1603" s="1">
        <v>143.5</v>
      </c>
      <c r="E1603" s="2">
        <v>206.833333333333</v>
      </c>
      <c r="F1603" s="1">
        <v>24</v>
      </c>
      <c r="G1603" s="1">
        <v>10217.66</v>
      </c>
      <c r="H1603" s="1" t="s">
        <v>10</v>
      </c>
      <c r="I1603" t="str">
        <f t="shared" ref="I1603:I1666" si="25">B1603&amp;" ["&amp;A1603&amp;"]"</f>
        <v>TOY TIDY SPACEBOY [22380]</v>
      </c>
    </row>
    <row r="1604" spans="1:9" x14ac:dyDescent="0.3">
      <c r="A1604" s="1">
        <v>22381</v>
      </c>
      <c r="B1604" t="s">
        <v>4541</v>
      </c>
      <c r="C1604" s="1">
        <v>2.12</v>
      </c>
      <c r="D1604" s="1">
        <v>257</v>
      </c>
      <c r="E1604" s="2">
        <v>343.14814814814798</v>
      </c>
      <c r="F1604" s="1">
        <v>24</v>
      </c>
      <c r="G1604" s="1">
        <v>19619.54</v>
      </c>
      <c r="H1604" s="1" t="s">
        <v>10</v>
      </c>
      <c r="I1604" t="str">
        <f t="shared" si="25"/>
        <v>TOY TIDY PINK RETROSPOT [22381]</v>
      </c>
    </row>
    <row r="1605" spans="1:9" x14ac:dyDescent="0.3">
      <c r="A1605" s="1">
        <v>22382</v>
      </c>
      <c r="B1605" t="s">
        <v>4540</v>
      </c>
      <c r="C1605" s="1">
        <v>1.66</v>
      </c>
      <c r="D1605" s="1">
        <v>799</v>
      </c>
      <c r="E1605" s="1">
        <v>749.92592592592598</v>
      </c>
      <c r="F1605" s="1">
        <v>24</v>
      </c>
      <c r="G1605" s="1">
        <v>34071.97</v>
      </c>
      <c r="H1605" s="1" t="s">
        <v>10</v>
      </c>
      <c r="I1605" t="str">
        <f t="shared" si="25"/>
        <v>LUNCHBAG SPACEBOY DESIGN [22382]</v>
      </c>
    </row>
    <row r="1606" spans="1:9" x14ac:dyDescent="0.3">
      <c r="A1606" s="1">
        <v>22383</v>
      </c>
      <c r="B1606" t="s">
        <v>4539</v>
      </c>
      <c r="C1606" s="1">
        <v>1.71</v>
      </c>
      <c r="D1606" s="1">
        <v>875</v>
      </c>
      <c r="E1606" s="2">
        <v>864.06896551724105</v>
      </c>
      <c r="F1606" s="1">
        <v>24</v>
      </c>
      <c r="G1606" s="1">
        <v>43254.35</v>
      </c>
      <c r="H1606" s="1" t="s">
        <v>10</v>
      </c>
      <c r="I1606" t="str">
        <f t="shared" si="25"/>
        <v>LUNCHBAG SUKI  DESIGN [22383]</v>
      </c>
    </row>
    <row r="1607" spans="1:9" x14ac:dyDescent="0.3">
      <c r="A1607" s="1">
        <v>22384</v>
      </c>
      <c r="B1607" t="s">
        <v>4538</v>
      </c>
      <c r="C1607" s="1">
        <v>1.65</v>
      </c>
      <c r="D1607" s="1">
        <v>841.5</v>
      </c>
      <c r="E1607" s="1">
        <v>742.25</v>
      </c>
      <c r="F1607" s="1">
        <v>24</v>
      </c>
      <c r="G1607" s="1">
        <v>34088.79</v>
      </c>
      <c r="H1607" s="1" t="s">
        <v>10</v>
      </c>
      <c r="I1607" t="str">
        <f t="shared" si="25"/>
        <v>LUNCHBAG PINK RETROSPOT [22384]</v>
      </c>
    </row>
    <row r="1608" spans="1:9" x14ac:dyDescent="0.3">
      <c r="A1608" s="1">
        <v>22385</v>
      </c>
      <c r="B1608" t="s">
        <v>4537</v>
      </c>
      <c r="C1608" s="2">
        <v>1.9449999999999901</v>
      </c>
      <c r="D1608" s="1">
        <v>616</v>
      </c>
      <c r="E1608" s="2">
        <v>710.70833333333303</v>
      </c>
      <c r="F1608" s="1">
        <v>24</v>
      </c>
      <c r="G1608" s="1">
        <v>32433.5</v>
      </c>
      <c r="H1608" s="1" t="s">
        <v>10</v>
      </c>
      <c r="I1608" t="str">
        <f t="shared" si="25"/>
        <v>JUMBO BAG SPACEBOY DESIGN [22385]</v>
      </c>
    </row>
    <row r="1609" spans="1:9" x14ac:dyDescent="0.3">
      <c r="A1609" s="1">
        <v>22386</v>
      </c>
      <c r="B1609" t="s">
        <v>4536</v>
      </c>
      <c r="C1609" s="1">
        <v>1.95</v>
      </c>
      <c r="D1609" s="1">
        <v>1544</v>
      </c>
      <c r="E1609" s="2">
        <v>1460.62962962962</v>
      </c>
      <c r="F1609" s="1">
        <v>24</v>
      </c>
      <c r="G1609" s="1">
        <v>76324.62</v>
      </c>
      <c r="H1609" s="1" t="s">
        <v>10</v>
      </c>
      <c r="I1609" t="str">
        <f t="shared" si="25"/>
        <v>JUMBO BAG PINK WITH WHITE SPOTS [22386]</v>
      </c>
    </row>
    <row r="1610" spans="1:9" x14ac:dyDescent="0.3">
      <c r="A1610" s="1">
        <v>22389</v>
      </c>
      <c r="B1610" t="s">
        <v>4535</v>
      </c>
      <c r="C1610" s="1">
        <v>2.5499999999999998</v>
      </c>
      <c r="D1610" s="1">
        <v>17</v>
      </c>
      <c r="E1610" s="1">
        <v>32.35</v>
      </c>
      <c r="F1610" s="1">
        <v>20</v>
      </c>
      <c r="G1610" s="1">
        <v>1245.52</v>
      </c>
      <c r="H1610" s="1" t="s">
        <v>9</v>
      </c>
      <c r="I1610" t="str">
        <f t="shared" si="25"/>
        <v>PAPERWEIGHT SAVE THE PLANET [22389]</v>
      </c>
    </row>
    <row r="1611" spans="1:9" x14ac:dyDescent="0.3">
      <c r="A1611" s="1">
        <v>22390</v>
      </c>
      <c r="B1611" t="s">
        <v>4534</v>
      </c>
      <c r="C1611" s="1">
        <v>2.5499999999999998</v>
      </c>
      <c r="D1611" s="1">
        <v>13</v>
      </c>
      <c r="E1611" s="2">
        <v>36.3333333333333</v>
      </c>
      <c r="F1611" s="1">
        <v>21</v>
      </c>
      <c r="G1611" s="1">
        <v>1419.88</v>
      </c>
      <c r="H1611" s="1" t="s">
        <v>9</v>
      </c>
      <c r="I1611" t="str">
        <f t="shared" si="25"/>
        <v>PAPERWEIGHT CHILDHOOD MEMORIES [22390]</v>
      </c>
    </row>
    <row r="1612" spans="1:9" x14ac:dyDescent="0.3">
      <c r="A1612" s="1">
        <v>22391</v>
      </c>
      <c r="B1612" t="s">
        <v>4533</v>
      </c>
      <c r="C1612" s="1">
        <v>2.5499999999999998</v>
      </c>
      <c r="D1612" s="1">
        <v>7</v>
      </c>
      <c r="E1612" s="2">
        <v>14.9473684210526</v>
      </c>
      <c r="F1612" s="1">
        <v>19</v>
      </c>
      <c r="G1612" s="1">
        <v>619.98</v>
      </c>
      <c r="H1612" s="1" t="s">
        <v>8</v>
      </c>
      <c r="I1612" t="str">
        <f t="shared" si="25"/>
        <v>PAPERWEIGHT HOME SWEET HOME [22391]</v>
      </c>
    </row>
    <row r="1613" spans="1:9" x14ac:dyDescent="0.3">
      <c r="A1613" s="1">
        <v>22393</v>
      </c>
      <c r="B1613" t="s">
        <v>4532</v>
      </c>
      <c r="C1613" s="1">
        <v>2.59</v>
      </c>
      <c r="D1613" s="1">
        <v>23</v>
      </c>
      <c r="E1613" s="1">
        <v>28</v>
      </c>
      <c r="F1613" s="1">
        <v>21</v>
      </c>
      <c r="G1613" s="1">
        <v>1349.72</v>
      </c>
      <c r="H1613" s="1" t="s">
        <v>9</v>
      </c>
      <c r="I1613" t="str">
        <f t="shared" si="25"/>
        <v>PAPERWEIGHT VINTAGE COLLAGE [22393]</v>
      </c>
    </row>
    <row r="1614" spans="1:9" x14ac:dyDescent="0.3">
      <c r="A1614" s="1">
        <v>22394</v>
      </c>
      <c r="B1614" t="s">
        <v>4531</v>
      </c>
      <c r="C1614" s="1">
        <v>2.5499999999999998</v>
      </c>
      <c r="D1614" s="1">
        <v>11.5</v>
      </c>
      <c r="E1614" s="2">
        <v>17.8333333333333</v>
      </c>
      <c r="F1614" s="1">
        <v>18</v>
      </c>
      <c r="G1614" s="1">
        <v>534.54</v>
      </c>
      <c r="H1614" s="1" t="s">
        <v>9</v>
      </c>
      <c r="I1614" t="str">
        <f t="shared" si="25"/>
        <v>PAPERWEIGHT KINGS CHOICE [22394]</v>
      </c>
    </row>
    <row r="1615" spans="1:9" x14ac:dyDescent="0.3">
      <c r="A1615" s="1">
        <v>22395</v>
      </c>
      <c r="B1615" t="s">
        <v>4530</v>
      </c>
      <c r="C1615" s="1">
        <v>2.69</v>
      </c>
      <c r="D1615" s="1">
        <v>8</v>
      </c>
      <c r="E1615" s="2">
        <v>8.55555555555555</v>
      </c>
      <c r="F1615" s="1">
        <v>18</v>
      </c>
      <c r="G1615" s="1">
        <v>377.99</v>
      </c>
      <c r="H1615" s="1" t="s">
        <v>8</v>
      </c>
      <c r="I1615" t="str">
        <f t="shared" si="25"/>
        <v>PAPERWEIGHT VINTAGE PAISLEY [22395]</v>
      </c>
    </row>
    <row r="1616" spans="1:9" x14ac:dyDescent="0.3">
      <c r="A1616" s="1">
        <v>22396</v>
      </c>
      <c r="B1616" t="s">
        <v>4529</v>
      </c>
      <c r="C1616" s="2">
        <v>1.2149999999999901</v>
      </c>
      <c r="D1616" s="1">
        <v>65</v>
      </c>
      <c r="E1616" s="2">
        <v>86.136363636363598</v>
      </c>
      <c r="F1616" s="1">
        <v>22</v>
      </c>
      <c r="G1616" s="1">
        <v>1427.08</v>
      </c>
      <c r="H1616" s="1" t="s">
        <v>10</v>
      </c>
      <c r="I1616" t="str">
        <f t="shared" si="25"/>
        <v>MAGNETS PACK OF 4 RETRO PHOTO [22396]</v>
      </c>
    </row>
    <row r="1617" spans="1:9" x14ac:dyDescent="0.3">
      <c r="A1617" s="1">
        <v>22398</v>
      </c>
      <c r="B1617" t="s">
        <v>4528</v>
      </c>
      <c r="C1617" s="1">
        <v>1.2549999999999999</v>
      </c>
      <c r="D1617" s="1">
        <v>167</v>
      </c>
      <c r="E1617" s="2">
        <v>192.68181818181799</v>
      </c>
      <c r="F1617" s="1">
        <v>22</v>
      </c>
      <c r="G1617" s="1">
        <v>3687.48</v>
      </c>
      <c r="H1617" s="1" t="s">
        <v>10</v>
      </c>
      <c r="I1617" t="str">
        <f t="shared" si="25"/>
        <v>MAGNETS PACK OF 4 SWALLOWS [22398]</v>
      </c>
    </row>
    <row r="1618" spans="1:9" x14ac:dyDescent="0.3">
      <c r="A1618" s="1">
        <v>22399</v>
      </c>
      <c r="B1618" t="s">
        <v>4527</v>
      </c>
      <c r="C1618" s="1">
        <v>1.25</v>
      </c>
      <c r="D1618" s="1">
        <v>131.5</v>
      </c>
      <c r="E1618" s="2">
        <v>183.636363636363</v>
      </c>
      <c r="F1618" s="1">
        <v>22</v>
      </c>
      <c r="G1618" s="1">
        <v>4734.6000000000004</v>
      </c>
      <c r="H1618" s="1" t="s">
        <v>10</v>
      </c>
      <c r="I1618" t="str">
        <f t="shared" si="25"/>
        <v>MAGNETS PACK OF 4 CHILDHOOD MEMORY [22399]</v>
      </c>
    </row>
    <row r="1619" spans="1:9" x14ac:dyDescent="0.3">
      <c r="A1619" s="1">
        <v>22400</v>
      </c>
      <c r="B1619" t="s">
        <v>4526</v>
      </c>
      <c r="C1619" s="1">
        <v>1.25</v>
      </c>
      <c r="D1619" s="1">
        <v>61.5</v>
      </c>
      <c r="E1619" s="2">
        <v>111.363636363636</v>
      </c>
      <c r="F1619" s="1">
        <v>22</v>
      </c>
      <c r="G1619" s="1">
        <v>2049.56</v>
      </c>
      <c r="H1619" s="1" t="s">
        <v>10</v>
      </c>
      <c r="I1619" t="str">
        <f t="shared" si="25"/>
        <v>MAGNETS PACK OF 4 HOME SWEET HOME [22400]</v>
      </c>
    </row>
    <row r="1620" spans="1:9" x14ac:dyDescent="0.3">
      <c r="A1620" s="1">
        <v>22402</v>
      </c>
      <c r="B1620" t="s">
        <v>4525</v>
      </c>
      <c r="C1620" s="1">
        <v>1.25</v>
      </c>
      <c r="D1620" s="1">
        <v>104</v>
      </c>
      <c r="E1620" s="2">
        <v>155.95454545454501</v>
      </c>
      <c r="F1620" s="1">
        <v>22</v>
      </c>
      <c r="G1620" s="2">
        <v>3012.7799999999902</v>
      </c>
      <c r="H1620" s="1" t="s">
        <v>10</v>
      </c>
      <c r="I1620" t="str">
        <f t="shared" si="25"/>
        <v>MAGNETS PACK OF 4 VINTAGE COLLAGE [22402]</v>
      </c>
    </row>
    <row r="1621" spans="1:9" x14ac:dyDescent="0.3">
      <c r="A1621" s="1">
        <v>22403</v>
      </c>
      <c r="B1621" t="s">
        <v>4524</v>
      </c>
      <c r="C1621" s="1">
        <v>1.25</v>
      </c>
      <c r="D1621" s="1">
        <v>48.5</v>
      </c>
      <c r="E1621" s="2">
        <v>77.954545454545396</v>
      </c>
      <c r="F1621" s="1">
        <v>22</v>
      </c>
      <c r="G1621" s="1">
        <v>1195.8900000000001</v>
      </c>
      <c r="H1621" s="1" t="s">
        <v>9</v>
      </c>
      <c r="I1621" t="str">
        <f t="shared" si="25"/>
        <v>MAGNETS PACK OF 4 VINTAGE LABELS [22403]</v>
      </c>
    </row>
    <row r="1622" spans="1:9" x14ac:dyDescent="0.3">
      <c r="A1622" s="1">
        <v>22405</v>
      </c>
      <c r="B1622" t="s">
        <v>4523</v>
      </c>
      <c r="C1622" s="1">
        <v>1.25</v>
      </c>
      <c r="D1622" s="1">
        <v>31</v>
      </c>
      <c r="E1622" s="2">
        <v>68.4166666666666</v>
      </c>
      <c r="F1622" s="1">
        <v>22</v>
      </c>
      <c r="G1622" s="2">
        <v>1993.3799999999901</v>
      </c>
      <c r="H1622" s="1" t="s">
        <v>9</v>
      </c>
      <c r="I1622" t="str">
        <f t="shared" si="25"/>
        <v>MONEY BOX POCKET MONEY DESIGN [22405]</v>
      </c>
    </row>
    <row r="1623" spans="1:9" x14ac:dyDescent="0.3">
      <c r="A1623" s="1">
        <v>22406</v>
      </c>
      <c r="B1623" t="s">
        <v>4522</v>
      </c>
      <c r="C1623" s="1">
        <v>1.29</v>
      </c>
      <c r="D1623" s="1">
        <v>40.5</v>
      </c>
      <c r="E1623" s="1">
        <v>103.625</v>
      </c>
      <c r="F1623" s="1">
        <v>22</v>
      </c>
      <c r="G1623" s="1">
        <v>3149.35</v>
      </c>
      <c r="H1623" s="1" t="s">
        <v>9</v>
      </c>
      <c r="I1623" t="str">
        <f t="shared" si="25"/>
        <v>MONEY BOX KINGS CHOICE DESIGN [22406]</v>
      </c>
    </row>
    <row r="1624" spans="1:9" x14ac:dyDescent="0.3">
      <c r="A1624" s="1">
        <v>22407</v>
      </c>
      <c r="B1624" t="s">
        <v>4521</v>
      </c>
      <c r="C1624" s="1">
        <v>1.25</v>
      </c>
      <c r="D1624" s="1">
        <v>14.5</v>
      </c>
      <c r="E1624" s="1">
        <v>21.9</v>
      </c>
      <c r="F1624" s="1">
        <v>19</v>
      </c>
      <c r="G1624" s="1">
        <v>521.12</v>
      </c>
      <c r="H1624" s="1" t="s">
        <v>9</v>
      </c>
      <c r="I1624" t="str">
        <f t="shared" si="25"/>
        <v>MONEY BOX FIRST ADE DESIGN [22407]</v>
      </c>
    </row>
    <row r="1625" spans="1:9" x14ac:dyDescent="0.3">
      <c r="A1625" s="1">
        <v>22408</v>
      </c>
      <c r="B1625" t="s">
        <v>4520</v>
      </c>
      <c r="C1625" s="1">
        <v>1.25</v>
      </c>
      <c r="D1625" s="1">
        <v>23</v>
      </c>
      <c r="E1625" s="2">
        <v>30.952380952380899</v>
      </c>
      <c r="F1625" s="1">
        <v>20</v>
      </c>
      <c r="G1625" s="1">
        <v>798.67</v>
      </c>
      <c r="H1625" s="1" t="s">
        <v>9</v>
      </c>
      <c r="I1625" t="str">
        <f t="shared" si="25"/>
        <v>MONEY BOX CONFECTIONERY DESIGN [22408]</v>
      </c>
    </row>
    <row r="1626" spans="1:9" x14ac:dyDescent="0.3">
      <c r="A1626" s="1">
        <v>22409</v>
      </c>
      <c r="B1626" t="s">
        <v>4519</v>
      </c>
      <c r="C1626" s="1">
        <v>1.29</v>
      </c>
      <c r="D1626" s="1">
        <v>24</v>
      </c>
      <c r="E1626" s="1">
        <v>67.44</v>
      </c>
      <c r="F1626" s="1">
        <v>22</v>
      </c>
      <c r="G1626" s="1">
        <v>2290.46</v>
      </c>
      <c r="H1626" s="1" t="s">
        <v>9</v>
      </c>
      <c r="I1626" t="str">
        <f t="shared" si="25"/>
        <v>MONEY BOX BISCUITS DESIGN [22409]</v>
      </c>
    </row>
    <row r="1627" spans="1:9" x14ac:dyDescent="0.3">
      <c r="A1627" s="1">
        <v>22410</v>
      </c>
      <c r="B1627" t="s">
        <v>4518</v>
      </c>
      <c r="C1627" s="1">
        <v>1.28</v>
      </c>
      <c r="D1627" s="1">
        <v>24</v>
      </c>
      <c r="E1627" s="2">
        <v>59.260869565217298</v>
      </c>
      <c r="F1627" s="1">
        <v>22</v>
      </c>
      <c r="G1627" s="1">
        <v>1667.46</v>
      </c>
      <c r="H1627" s="1" t="s">
        <v>9</v>
      </c>
      <c r="I1627" t="str">
        <f t="shared" si="25"/>
        <v>MONEY BOX HOUSEKEEPING DESIGN [22410]</v>
      </c>
    </row>
    <row r="1628" spans="1:9" x14ac:dyDescent="0.3">
      <c r="A1628" s="1">
        <v>22411</v>
      </c>
      <c r="B1628" t="s">
        <v>4517</v>
      </c>
      <c r="C1628" s="2">
        <v>2.15</v>
      </c>
      <c r="D1628" s="1">
        <v>1168.5</v>
      </c>
      <c r="E1628" s="2">
        <v>1136.7083333333301</v>
      </c>
      <c r="F1628" s="1">
        <v>24</v>
      </c>
      <c r="G1628" s="1">
        <v>57318.71</v>
      </c>
      <c r="H1628" s="1" t="s">
        <v>10</v>
      </c>
      <c r="I1628" t="str">
        <f t="shared" si="25"/>
        <v>JUMBO SHOPPER VINTAGE RED PAISLEY [22411]</v>
      </c>
    </row>
    <row r="1629" spans="1:9" x14ac:dyDescent="0.3">
      <c r="A1629" s="1">
        <v>22412</v>
      </c>
      <c r="B1629" t="s">
        <v>4516</v>
      </c>
      <c r="C1629" s="1">
        <v>2.2000000000000002</v>
      </c>
      <c r="D1629" s="1">
        <v>93</v>
      </c>
      <c r="E1629" s="2">
        <v>104.39130434782599</v>
      </c>
      <c r="F1629" s="1">
        <v>23</v>
      </c>
      <c r="G1629" s="1">
        <v>5140.82</v>
      </c>
      <c r="H1629" s="1" t="s">
        <v>10</v>
      </c>
      <c r="I1629" t="str">
        <f t="shared" si="25"/>
        <v>METAL SIGN NEIGHBOURHOOD WITCH [22412]</v>
      </c>
    </row>
    <row r="1630" spans="1:9" x14ac:dyDescent="0.3">
      <c r="A1630" s="1">
        <v>22413</v>
      </c>
      <c r="B1630" t="s">
        <v>4515</v>
      </c>
      <c r="C1630" s="1">
        <v>2.9750000000000001</v>
      </c>
      <c r="D1630" s="1">
        <v>204</v>
      </c>
      <c r="E1630" s="2">
        <v>290.666666666666</v>
      </c>
      <c r="F1630" s="1">
        <v>24</v>
      </c>
      <c r="G1630" s="1">
        <v>19728.240000000002</v>
      </c>
      <c r="H1630" s="1" t="s">
        <v>10</v>
      </c>
      <c r="I1630" t="str">
        <f t="shared" si="25"/>
        <v>METAL SIGN TAKE IT OR LEAVE IT [22413]</v>
      </c>
    </row>
    <row r="1631" spans="1:9" x14ac:dyDescent="0.3">
      <c r="A1631" s="1">
        <v>22414</v>
      </c>
      <c r="B1631" t="s">
        <v>4514</v>
      </c>
      <c r="C1631" s="1">
        <v>7.78</v>
      </c>
      <c r="D1631" s="1">
        <v>16</v>
      </c>
      <c r="E1631" s="2">
        <v>43.962962962962898</v>
      </c>
      <c r="F1631" s="1">
        <v>24</v>
      </c>
      <c r="G1631" s="1">
        <v>7203.57</v>
      </c>
      <c r="H1631" s="1" t="s">
        <v>9</v>
      </c>
      <c r="I1631" t="str">
        <f t="shared" si="25"/>
        <v>DOORMAT NEIGHBOURHOOD WITCH [22414]</v>
      </c>
    </row>
    <row r="1632" spans="1:9" x14ac:dyDescent="0.3">
      <c r="A1632" s="1">
        <v>22415</v>
      </c>
      <c r="B1632" t="s">
        <v>4513</v>
      </c>
      <c r="C1632" s="1">
        <v>7.95</v>
      </c>
      <c r="D1632" s="1">
        <v>19</v>
      </c>
      <c r="E1632" s="2">
        <v>22.6428571428571</v>
      </c>
      <c r="F1632" s="1">
        <v>14</v>
      </c>
      <c r="G1632" s="1">
        <v>2520.15</v>
      </c>
      <c r="H1632" s="1" t="s">
        <v>9</v>
      </c>
      <c r="I1632" t="str">
        <f t="shared" si="25"/>
        <v>WHITE TISSUE REAM [22415]</v>
      </c>
    </row>
    <row r="1633" spans="1:9" x14ac:dyDescent="0.3">
      <c r="A1633" s="1">
        <v>22416</v>
      </c>
      <c r="B1633" t="s">
        <v>4512</v>
      </c>
      <c r="C1633" s="1">
        <v>1.45</v>
      </c>
      <c r="D1633" s="1">
        <v>43.5</v>
      </c>
      <c r="E1633" s="2">
        <v>75.769230769230703</v>
      </c>
      <c r="F1633" s="1">
        <v>23</v>
      </c>
      <c r="G1633" s="1">
        <v>2763.36</v>
      </c>
      <c r="H1633" s="1" t="s">
        <v>9</v>
      </c>
      <c r="I1633" t="str">
        <f t="shared" si="25"/>
        <v>36 DOILIES SPACEBOY DESIGN [22416]</v>
      </c>
    </row>
    <row r="1634" spans="1:9" x14ac:dyDescent="0.3">
      <c r="A1634" s="1">
        <v>22417</v>
      </c>
      <c r="B1634" t="s">
        <v>4511</v>
      </c>
      <c r="C1634" s="1">
        <v>0.53</v>
      </c>
      <c r="D1634" s="1">
        <v>744.5</v>
      </c>
      <c r="E1634" s="2">
        <v>893.79166666666595</v>
      </c>
      <c r="F1634" s="1">
        <v>24</v>
      </c>
      <c r="G1634" s="1">
        <v>11159.9</v>
      </c>
      <c r="H1634" s="1" t="s">
        <v>10</v>
      </c>
      <c r="I1634" t="str">
        <f t="shared" si="25"/>
        <v>PACK OF 60 SPACEBOY CAKE CASES [22417]</v>
      </c>
    </row>
    <row r="1635" spans="1:9" x14ac:dyDescent="0.3">
      <c r="A1635" s="1">
        <v>22418</v>
      </c>
      <c r="B1635" t="s">
        <v>4510</v>
      </c>
      <c r="C1635" s="1">
        <v>0.85</v>
      </c>
      <c r="D1635" s="1">
        <v>614</v>
      </c>
      <c r="E1635" s="2">
        <v>586.38095238095195</v>
      </c>
      <c r="F1635" s="1">
        <v>20</v>
      </c>
      <c r="G1635" s="1">
        <v>10417.73</v>
      </c>
      <c r="H1635" s="1" t="s">
        <v>10</v>
      </c>
      <c r="I1635" t="str">
        <f t="shared" si="25"/>
        <v>10 COLOUR SPACEBOY PEN [22418]</v>
      </c>
    </row>
    <row r="1636" spans="1:9" x14ac:dyDescent="0.3">
      <c r="A1636" s="1">
        <v>22419</v>
      </c>
      <c r="B1636" t="s">
        <v>4509</v>
      </c>
      <c r="C1636" s="2">
        <v>0.46499999999999903</v>
      </c>
      <c r="D1636" s="1">
        <v>263</v>
      </c>
      <c r="E1636" s="1">
        <v>342.35</v>
      </c>
      <c r="F1636" s="1">
        <v>20</v>
      </c>
      <c r="G1636" s="1">
        <v>3242.59</v>
      </c>
      <c r="H1636" s="1" t="s">
        <v>10</v>
      </c>
      <c r="I1636" t="str">
        <f t="shared" si="25"/>
        <v>LIPSTICK PEN RED [22419]</v>
      </c>
    </row>
    <row r="1637" spans="1:9" x14ac:dyDescent="0.3">
      <c r="A1637" s="1">
        <v>22420</v>
      </c>
      <c r="B1637" t="s">
        <v>4508</v>
      </c>
      <c r="C1637" s="1">
        <v>0.45</v>
      </c>
      <c r="D1637" s="1">
        <v>79</v>
      </c>
      <c r="E1637" s="1">
        <v>105.55</v>
      </c>
      <c r="F1637" s="1">
        <v>20</v>
      </c>
      <c r="G1637" s="1">
        <v>1014.75</v>
      </c>
      <c r="H1637" s="1" t="s">
        <v>10</v>
      </c>
      <c r="I1637" t="str">
        <f t="shared" si="25"/>
        <v>LIPSTICK PEN BABY PINK [22420]</v>
      </c>
    </row>
    <row r="1638" spans="1:9" x14ac:dyDescent="0.3">
      <c r="A1638" s="1">
        <v>22421</v>
      </c>
      <c r="B1638" t="s">
        <v>4507</v>
      </c>
      <c r="C1638" s="1">
        <v>0.47499999999999998</v>
      </c>
      <c r="D1638" s="1">
        <v>148.5</v>
      </c>
      <c r="E1638" s="1">
        <v>236.05</v>
      </c>
      <c r="F1638" s="1">
        <v>20</v>
      </c>
      <c r="G1638" s="1">
        <v>2351.86</v>
      </c>
      <c r="H1638" s="1" t="s">
        <v>10</v>
      </c>
      <c r="I1638" t="str">
        <f t="shared" si="25"/>
        <v>LIPSTICK PEN FUSCHIA [22421]</v>
      </c>
    </row>
    <row r="1639" spans="1:9" x14ac:dyDescent="0.3">
      <c r="A1639" s="1">
        <v>22422</v>
      </c>
      <c r="B1639" t="s">
        <v>4506</v>
      </c>
      <c r="C1639" s="1">
        <v>0.74</v>
      </c>
      <c r="D1639" s="1">
        <v>63.5</v>
      </c>
      <c r="E1639" s="1">
        <v>137.15</v>
      </c>
      <c r="F1639" s="1">
        <v>20</v>
      </c>
      <c r="G1639" s="1">
        <v>1760.94</v>
      </c>
      <c r="H1639" s="1" t="s">
        <v>10</v>
      </c>
      <c r="I1639" t="str">
        <f t="shared" si="25"/>
        <v>TOOTHPASTE TUBE PEN [22422]</v>
      </c>
    </row>
    <row r="1640" spans="1:9" x14ac:dyDescent="0.3">
      <c r="A1640" s="1">
        <v>22423</v>
      </c>
      <c r="B1640" t="s">
        <v>4505</v>
      </c>
      <c r="C1640" s="1">
        <v>12.414999999999999</v>
      </c>
      <c r="D1640" s="1">
        <v>1071.5</v>
      </c>
      <c r="E1640" s="2">
        <v>1203.54545454545</v>
      </c>
      <c r="F1640" s="1">
        <v>22</v>
      </c>
      <c r="G1640" s="1">
        <v>330590.32</v>
      </c>
      <c r="H1640" s="1" t="s">
        <v>10</v>
      </c>
      <c r="I1640" t="str">
        <f t="shared" si="25"/>
        <v>REGENCY CAKESTAND 3 TIER [22423]</v>
      </c>
    </row>
    <row r="1641" spans="1:9" x14ac:dyDescent="0.3">
      <c r="A1641" s="1">
        <v>22424</v>
      </c>
      <c r="B1641" t="s">
        <v>4504</v>
      </c>
      <c r="C1641" s="1">
        <v>13.73</v>
      </c>
      <c r="D1641" s="1">
        <v>68.5</v>
      </c>
      <c r="E1641" s="1">
        <v>76.45</v>
      </c>
      <c r="F1641" s="1">
        <v>20</v>
      </c>
      <c r="G1641" s="1">
        <v>20886.89</v>
      </c>
      <c r="H1641" s="1" t="s">
        <v>10</v>
      </c>
      <c r="I1641" t="str">
        <f t="shared" si="25"/>
        <v>ENAMEL BREAD BIN CREAM [22424]</v>
      </c>
    </row>
    <row r="1642" spans="1:9" x14ac:dyDescent="0.3">
      <c r="A1642" s="1">
        <v>22425</v>
      </c>
      <c r="B1642" t="s">
        <v>4503</v>
      </c>
      <c r="C1642" s="1">
        <v>5.15</v>
      </c>
      <c r="D1642" s="1">
        <v>32.5</v>
      </c>
      <c r="E1642" s="2">
        <v>35.5833333333333</v>
      </c>
      <c r="F1642" s="1">
        <v>20</v>
      </c>
      <c r="G1642" s="2">
        <v>4321.5199999999904</v>
      </c>
      <c r="H1642" s="1" t="s">
        <v>9</v>
      </c>
      <c r="I1642" t="str">
        <f t="shared" si="25"/>
        <v>ENAMEL COLANDER CREAM [22425]</v>
      </c>
    </row>
    <row r="1643" spans="1:9" x14ac:dyDescent="0.3">
      <c r="A1643" s="1">
        <v>22426</v>
      </c>
      <c r="B1643" t="s">
        <v>4502</v>
      </c>
      <c r="C1643" s="1">
        <v>3.84</v>
      </c>
      <c r="D1643" s="1">
        <v>63</v>
      </c>
      <c r="E1643" s="2">
        <v>63.476190476190403</v>
      </c>
      <c r="F1643" s="1">
        <v>21</v>
      </c>
      <c r="G1643" s="1">
        <v>5133.3</v>
      </c>
      <c r="H1643" s="1" t="s">
        <v>10</v>
      </c>
      <c r="I1643" t="str">
        <f t="shared" si="25"/>
        <v>ENAMEL WASH BOWL CREAM [22426]</v>
      </c>
    </row>
    <row r="1644" spans="1:9" x14ac:dyDescent="0.3">
      <c r="A1644" s="1">
        <v>22427</v>
      </c>
      <c r="B1644" t="s">
        <v>4501</v>
      </c>
      <c r="C1644" s="1">
        <v>5.95</v>
      </c>
      <c r="D1644" s="1">
        <v>162</v>
      </c>
      <c r="E1644" s="2">
        <v>168.947368421052</v>
      </c>
      <c r="F1644" s="1">
        <v>19</v>
      </c>
      <c r="G1644" s="1">
        <v>19273.28</v>
      </c>
      <c r="H1644" s="1" t="s">
        <v>10</v>
      </c>
      <c r="I1644" t="str">
        <f t="shared" si="25"/>
        <v>ENAMEL FLOWER JUG CREAM [22427]</v>
      </c>
    </row>
    <row r="1645" spans="1:9" x14ac:dyDescent="0.3">
      <c r="A1645" s="1">
        <v>22428</v>
      </c>
      <c r="B1645" t="s">
        <v>4500</v>
      </c>
      <c r="C1645" s="1">
        <v>7.36</v>
      </c>
      <c r="D1645" s="1">
        <v>22</v>
      </c>
      <c r="E1645" s="2">
        <v>21.857142857142801</v>
      </c>
      <c r="F1645" s="1">
        <v>21</v>
      </c>
      <c r="G1645" s="1">
        <v>3379.67</v>
      </c>
      <c r="H1645" s="1" t="s">
        <v>9</v>
      </c>
      <c r="I1645" t="str">
        <f t="shared" si="25"/>
        <v>ENAMEL FIRE BUCKET CREAM [22428]</v>
      </c>
    </row>
    <row r="1646" spans="1:9" x14ac:dyDescent="0.3">
      <c r="A1646" s="1">
        <v>22429</v>
      </c>
      <c r="B1646" t="s">
        <v>4499</v>
      </c>
      <c r="C1646" s="1">
        <v>4.37</v>
      </c>
      <c r="D1646" s="1">
        <v>90</v>
      </c>
      <c r="E1646" s="2">
        <v>108.571428571428</v>
      </c>
      <c r="F1646" s="1">
        <v>21</v>
      </c>
      <c r="G1646" s="1">
        <v>9844.0400000000009</v>
      </c>
      <c r="H1646" s="1" t="s">
        <v>10</v>
      </c>
      <c r="I1646" t="str">
        <f t="shared" si="25"/>
        <v>ENAMEL MEASURING JUG CREAM [22429]</v>
      </c>
    </row>
    <row r="1647" spans="1:9" x14ac:dyDescent="0.3">
      <c r="A1647" s="1">
        <v>22430</v>
      </c>
      <c r="B1647" t="s">
        <v>4498</v>
      </c>
      <c r="C1647" s="2">
        <v>5.1099999999999897</v>
      </c>
      <c r="D1647" s="1">
        <v>40</v>
      </c>
      <c r="E1647" s="1">
        <v>69.849999999999994</v>
      </c>
      <c r="F1647" s="1">
        <v>20</v>
      </c>
      <c r="G1647" s="1">
        <v>6761.38</v>
      </c>
      <c r="H1647" s="1" t="s">
        <v>9</v>
      </c>
      <c r="I1647" t="str">
        <f t="shared" si="25"/>
        <v>ENAMEL WATERING CAN CREAM [22430]</v>
      </c>
    </row>
    <row r="1648" spans="1:9" x14ac:dyDescent="0.3">
      <c r="A1648" s="1">
        <v>22431</v>
      </c>
      <c r="B1648" t="s">
        <v>4497</v>
      </c>
      <c r="C1648" s="1">
        <v>2</v>
      </c>
      <c r="D1648" s="1">
        <v>130</v>
      </c>
      <c r="E1648" s="2">
        <v>146.304347826086</v>
      </c>
      <c r="F1648" s="1">
        <v>23</v>
      </c>
      <c r="G1648" s="2">
        <v>6771.5199999999904</v>
      </c>
      <c r="H1648" s="1" t="s">
        <v>10</v>
      </c>
      <c r="I1648" t="str">
        <f t="shared" si="25"/>
        <v>WATERING CAN BLUE ELEPHANT [22431]</v>
      </c>
    </row>
    <row r="1649" spans="1:9" x14ac:dyDescent="0.3">
      <c r="A1649" s="1">
        <v>22432</v>
      </c>
      <c r="B1649" t="s">
        <v>4496</v>
      </c>
      <c r="C1649" s="1">
        <v>1.95</v>
      </c>
      <c r="D1649" s="1">
        <v>93</v>
      </c>
      <c r="E1649" s="2">
        <v>135.84615384615299</v>
      </c>
      <c r="F1649" s="1">
        <v>23</v>
      </c>
      <c r="G1649" s="1">
        <v>6730.42</v>
      </c>
      <c r="H1649" s="1" t="s">
        <v>10</v>
      </c>
      <c r="I1649" t="str">
        <f t="shared" si="25"/>
        <v>WATERING CAN GREEN DINOSAUR [22432]</v>
      </c>
    </row>
    <row r="1650" spans="1:9" x14ac:dyDescent="0.3">
      <c r="A1650" s="1">
        <v>22433</v>
      </c>
      <c r="B1650" t="s">
        <v>4496</v>
      </c>
      <c r="C1650" s="2">
        <v>1.9649999999999901</v>
      </c>
      <c r="D1650" s="1">
        <v>67</v>
      </c>
      <c r="E1650" s="2">
        <v>106.846153846153</v>
      </c>
      <c r="F1650" s="1">
        <v>23</v>
      </c>
      <c r="G1650" s="1">
        <v>5186.28</v>
      </c>
      <c r="H1650" s="1" t="s">
        <v>10</v>
      </c>
      <c r="I1650" t="str">
        <f t="shared" si="25"/>
        <v>WATERING CAN GREEN DINOSAUR [22433]</v>
      </c>
    </row>
    <row r="1651" spans="1:9" x14ac:dyDescent="0.3">
      <c r="A1651" s="1">
        <v>22434</v>
      </c>
      <c r="B1651" t="s">
        <v>4495</v>
      </c>
      <c r="C1651" s="1">
        <v>1.95</v>
      </c>
      <c r="D1651" s="1">
        <v>82</v>
      </c>
      <c r="E1651" s="2">
        <v>121.28571428571399</v>
      </c>
      <c r="F1651" s="1">
        <v>21</v>
      </c>
      <c r="G1651" s="1">
        <v>4733.49</v>
      </c>
      <c r="H1651" s="1" t="s">
        <v>10</v>
      </c>
      <c r="I1651" t="str">
        <f t="shared" si="25"/>
        <v>BALLOON PUMP WITH 10 BALLOONS [22434]</v>
      </c>
    </row>
    <row r="1652" spans="1:9" x14ac:dyDescent="0.3">
      <c r="A1652" s="1">
        <v>22435</v>
      </c>
      <c r="B1652" t="s">
        <v>4494</v>
      </c>
      <c r="C1652" s="1">
        <v>1.28</v>
      </c>
      <c r="D1652" s="1">
        <v>238</v>
      </c>
      <c r="E1652" s="2">
        <v>234.04761904761901</v>
      </c>
      <c r="F1652" s="1">
        <v>21</v>
      </c>
      <c r="G1652" s="1">
        <v>6185.22</v>
      </c>
      <c r="H1652" s="1" t="s">
        <v>10</v>
      </c>
      <c r="I1652" t="str">
        <f t="shared" si="25"/>
        <v>SET OF 9 HEART SHAPED BALLOONS [22435]</v>
      </c>
    </row>
    <row r="1653" spans="1:9" x14ac:dyDescent="0.3">
      <c r="A1653" s="1">
        <v>22436</v>
      </c>
      <c r="B1653" t="s">
        <v>4493</v>
      </c>
      <c r="C1653" s="1">
        <v>0.65</v>
      </c>
      <c r="D1653" s="1">
        <v>171</v>
      </c>
      <c r="E1653" s="2">
        <v>200.71428571428501</v>
      </c>
      <c r="F1653" s="1">
        <v>21</v>
      </c>
      <c r="G1653" s="1">
        <v>2687.05</v>
      </c>
      <c r="H1653" s="1" t="s">
        <v>10</v>
      </c>
      <c r="I1653" t="str">
        <f t="shared" si="25"/>
        <v>12 COLOURED PARTY BALLOONS [22436]</v>
      </c>
    </row>
    <row r="1654" spans="1:9" x14ac:dyDescent="0.3">
      <c r="A1654" s="1">
        <v>22437</v>
      </c>
      <c r="B1654" t="s">
        <v>4492</v>
      </c>
      <c r="C1654" s="1">
        <v>0.87</v>
      </c>
      <c r="D1654" s="1">
        <v>256</v>
      </c>
      <c r="E1654" s="2">
        <v>310.19047619047598</v>
      </c>
      <c r="F1654" s="1">
        <v>21</v>
      </c>
      <c r="G1654" s="1">
        <v>5457.97</v>
      </c>
      <c r="H1654" s="1" t="s">
        <v>10</v>
      </c>
      <c r="I1654" t="str">
        <f t="shared" si="25"/>
        <v>SET OF 9 BLACK SKULL BALLOONS [22437]</v>
      </c>
    </row>
    <row r="1655" spans="1:9" x14ac:dyDescent="0.3">
      <c r="A1655" s="1">
        <v>22438</v>
      </c>
      <c r="B1655" t="s">
        <v>4491</v>
      </c>
      <c r="C1655" s="1">
        <v>1.95</v>
      </c>
      <c r="D1655" s="1">
        <v>40.5</v>
      </c>
      <c r="E1655" s="1">
        <v>43.1</v>
      </c>
      <c r="F1655" s="1">
        <v>20</v>
      </c>
      <c r="G1655" s="1">
        <v>1672.91</v>
      </c>
      <c r="H1655" s="1" t="s">
        <v>9</v>
      </c>
      <c r="I1655" t="str">
        <f t="shared" si="25"/>
        <v>BALLOON ART MAKE YOUR OWN FLOWERS [22438]</v>
      </c>
    </row>
    <row r="1656" spans="1:9" x14ac:dyDescent="0.3">
      <c r="A1656" s="1">
        <v>22439</v>
      </c>
      <c r="B1656" t="s">
        <v>4490</v>
      </c>
      <c r="C1656" s="1">
        <v>0.66</v>
      </c>
      <c r="D1656" s="1">
        <v>164</v>
      </c>
      <c r="E1656" s="2">
        <v>185.28571428571399</v>
      </c>
      <c r="F1656" s="1">
        <v>21</v>
      </c>
      <c r="G1656" s="2">
        <v>2599.0099999999902</v>
      </c>
      <c r="H1656" s="1" t="s">
        <v>10</v>
      </c>
      <c r="I1656" t="str">
        <f t="shared" si="25"/>
        <v>6 ROCKET BALLOONS [22439]</v>
      </c>
    </row>
    <row r="1657" spans="1:9" x14ac:dyDescent="0.3">
      <c r="A1657" s="1">
        <v>22440</v>
      </c>
      <c r="B1657" t="s">
        <v>4489</v>
      </c>
      <c r="C1657" s="1">
        <v>0.42</v>
      </c>
      <c r="D1657" s="1">
        <v>201</v>
      </c>
      <c r="E1657" s="2">
        <v>405.85714285714198</v>
      </c>
      <c r="F1657" s="1">
        <v>21</v>
      </c>
      <c r="G1657" s="1">
        <v>3399.41</v>
      </c>
      <c r="H1657" s="1" t="s">
        <v>10</v>
      </c>
      <c r="I1657" t="str">
        <f t="shared" si="25"/>
        <v>BALLOON WATER BOMB PACK OF 35 [22440]</v>
      </c>
    </row>
    <row r="1658" spans="1:9" x14ac:dyDescent="0.3">
      <c r="A1658" s="1">
        <v>22441</v>
      </c>
      <c r="B1658" t="s">
        <v>4488</v>
      </c>
      <c r="C1658" s="2">
        <v>2.1549999999999998</v>
      </c>
      <c r="D1658" s="1">
        <v>98</v>
      </c>
      <c r="E1658" s="2">
        <v>120.181818181818</v>
      </c>
      <c r="F1658" s="1">
        <v>22</v>
      </c>
      <c r="G1658" s="1">
        <v>5729.57</v>
      </c>
      <c r="H1658" s="1" t="s">
        <v>10</v>
      </c>
      <c r="I1658" t="str">
        <f t="shared" si="25"/>
        <v>GROW YOUR OWN BASIL IN ENAMEL MUG [22441]</v>
      </c>
    </row>
    <row r="1659" spans="1:9" x14ac:dyDescent="0.3">
      <c r="A1659" s="1">
        <v>22442</v>
      </c>
      <c r="B1659" t="s">
        <v>4487</v>
      </c>
      <c r="C1659" s="1">
        <v>7.95</v>
      </c>
      <c r="D1659" s="1">
        <v>13</v>
      </c>
      <c r="E1659" s="2">
        <v>35.421052631578902</v>
      </c>
      <c r="F1659" s="1">
        <v>19</v>
      </c>
      <c r="G1659" s="1">
        <v>4364.97</v>
      </c>
      <c r="H1659" s="1" t="s">
        <v>9</v>
      </c>
      <c r="I1659" t="str">
        <f t="shared" si="25"/>
        <v>GROW YOUR OWN FLOWERS SET OF 3 [22442]</v>
      </c>
    </row>
    <row r="1660" spans="1:9" x14ac:dyDescent="0.3">
      <c r="A1660" s="1">
        <v>22443</v>
      </c>
      <c r="B1660" t="s">
        <v>4486</v>
      </c>
      <c r="C1660" s="1">
        <v>7.95</v>
      </c>
      <c r="D1660" s="1">
        <v>24.5</v>
      </c>
      <c r="E1660" s="2">
        <v>37.9444444444444</v>
      </c>
      <c r="F1660" s="1">
        <v>18</v>
      </c>
      <c r="G1660" s="1">
        <v>5393.43</v>
      </c>
      <c r="H1660" s="1" t="s">
        <v>9</v>
      </c>
      <c r="I1660" t="str">
        <f t="shared" si="25"/>
        <v>GROW YOUR OWN HERBS SET OF 3 [22443]</v>
      </c>
    </row>
    <row r="1661" spans="1:9" x14ac:dyDescent="0.3">
      <c r="A1661" s="1">
        <v>22444</v>
      </c>
      <c r="B1661" t="s">
        <v>4485</v>
      </c>
      <c r="C1661" s="1">
        <v>1.28</v>
      </c>
      <c r="D1661" s="1">
        <v>713.5</v>
      </c>
      <c r="E1661" s="2">
        <v>723.642857142857</v>
      </c>
      <c r="F1661" s="1">
        <v>14</v>
      </c>
      <c r="G1661" s="1">
        <v>13846.64</v>
      </c>
      <c r="H1661" s="1" t="s">
        <v>10</v>
      </c>
      <c r="I1661" t="str">
        <f t="shared" si="25"/>
        <v>GROW YOUR OWN PLANT IN A CAN [22444]</v>
      </c>
    </row>
    <row r="1662" spans="1:9" x14ac:dyDescent="0.3">
      <c r="A1662" s="1">
        <v>22445</v>
      </c>
      <c r="B1662" t="s">
        <v>4484</v>
      </c>
      <c r="C1662" s="1">
        <v>3.06</v>
      </c>
      <c r="D1662" s="1">
        <v>49</v>
      </c>
      <c r="E1662" s="1">
        <v>53.625</v>
      </c>
      <c r="F1662" s="1">
        <v>22</v>
      </c>
      <c r="G1662" s="1">
        <v>3948.86</v>
      </c>
      <c r="H1662" s="1" t="s">
        <v>9</v>
      </c>
      <c r="I1662" t="str">
        <f t="shared" si="25"/>
        <v>PENCIL CASE GINGHAM FOREST [22445]</v>
      </c>
    </row>
    <row r="1663" spans="1:9" x14ac:dyDescent="0.3">
      <c r="A1663" s="1">
        <v>22446</v>
      </c>
      <c r="B1663" t="s">
        <v>4483</v>
      </c>
      <c r="C1663" s="1">
        <v>3.35</v>
      </c>
      <c r="D1663" s="1">
        <v>20</v>
      </c>
      <c r="E1663" s="2">
        <v>29.428571428571399</v>
      </c>
      <c r="F1663" s="1">
        <v>21</v>
      </c>
      <c r="G1663" s="1">
        <v>1751.93</v>
      </c>
      <c r="H1663" s="1" t="s">
        <v>9</v>
      </c>
      <c r="I1663" t="str">
        <f t="shared" si="25"/>
        <v>PIN CUSHION RUSSIAN DOLL PINK [22446]</v>
      </c>
    </row>
    <row r="1664" spans="1:9" x14ac:dyDescent="0.3">
      <c r="A1664" s="1">
        <v>22447</v>
      </c>
      <c r="B1664" t="s">
        <v>4482</v>
      </c>
      <c r="C1664" s="1">
        <v>3.35</v>
      </c>
      <c r="D1664" s="1">
        <v>9</v>
      </c>
      <c r="E1664" s="2">
        <v>11.8095238095238</v>
      </c>
      <c r="F1664" s="1">
        <v>21</v>
      </c>
      <c r="G1664" s="1">
        <v>796.34</v>
      </c>
      <c r="H1664" s="1" t="s">
        <v>8</v>
      </c>
      <c r="I1664" t="str">
        <f t="shared" si="25"/>
        <v>PIN CUSHION RUSSIAN DOLL BLUE [22447]</v>
      </c>
    </row>
    <row r="1665" spans="1:9" x14ac:dyDescent="0.3">
      <c r="A1665" s="1">
        <v>22448</v>
      </c>
      <c r="B1665" t="s">
        <v>4481</v>
      </c>
      <c r="C1665" s="1">
        <v>3.35</v>
      </c>
      <c r="D1665" s="1">
        <v>19</v>
      </c>
      <c r="E1665" s="2">
        <v>32.739130434782602</v>
      </c>
      <c r="F1665" s="1">
        <v>22</v>
      </c>
      <c r="G1665" s="1">
        <v>2426.73</v>
      </c>
      <c r="H1665" s="1" t="s">
        <v>9</v>
      </c>
      <c r="I1665" t="str">
        <f t="shared" si="25"/>
        <v>PIN CUSHION RUSSIAN DOLL RED [22448]</v>
      </c>
    </row>
    <row r="1666" spans="1:9" x14ac:dyDescent="0.3">
      <c r="A1666" s="1">
        <v>22449</v>
      </c>
      <c r="B1666" t="s">
        <v>4480</v>
      </c>
      <c r="C1666" s="1">
        <v>3.35</v>
      </c>
      <c r="D1666" s="1">
        <v>57.5</v>
      </c>
      <c r="E1666" s="2">
        <v>60.136363636363598</v>
      </c>
      <c r="F1666" s="1">
        <v>21</v>
      </c>
      <c r="G1666" s="1">
        <v>4374.45</v>
      </c>
      <c r="H1666" s="1" t="s">
        <v>9</v>
      </c>
      <c r="I1666" t="str">
        <f t="shared" si="25"/>
        <v>SILK PURSE RUSSIAN DOLL PINK [22449]</v>
      </c>
    </row>
    <row r="1667" spans="1:9" x14ac:dyDescent="0.3">
      <c r="A1667" s="1">
        <v>22450</v>
      </c>
      <c r="B1667" t="s">
        <v>4479</v>
      </c>
      <c r="C1667" s="1">
        <v>3.35</v>
      </c>
      <c r="D1667" s="1">
        <v>35.5</v>
      </c>
      <c r="E1667" s="1">
        <v>41.7</v>
      </c>
      <c r="F1667" s="1">
        <v>19</v>
      </c>
      <c r="G1667" s="1">
        <v>2798.28</v>
      </c>
      <c r="H1667" s="1" t="s">
        <v>9</v>
      </c>
      <c r="I1667" t="str">
        <f t="shared" ref="I1667:I1730" si="26">B1667&amp;" ["&amp;A1667&amp;"]"</f>
        <v>SILK PURSE RUSSIAN DOLL BLUE [22450]</v>
      </c>
    </row>
    <row r="1668" spans="1:9" x14ac:dyDescent="0.3">
      <c r="A1668" s="1">
        <v>22451</v>
      </c>
      <c r="B1668" t="s">
        <v>4478</v>
      </c>
      <c r="C1668" s="1">
        <v>3.35</v>
      </c>
      <c r="D1668" s="1">
        <v>78</v>
      </c>
      <c r="E1668" s="1">
        <v>83.6875</v>
      </c>
      <c r="F1668" s="1">
        <v>15</v>
      </c>
      <c r="G1668" s="1">
        <v>4496.99</v>
      </c>
      <c r="H1668" s="1" t="s">
        <v>10</v>
      </c>
      <c r="I1668" t="str">
        <f t="shared" si="26"/>
        <v>SILK PURSE RUSSIAN DOLL RED [22451]</v>
      </c>
    </row>
    <row r="1669" spans="1:9" x14ac:dyDescent="0.3">
      <c r="A1669" s="1">
        <v>22452</v>
      </c>
      <c r="B1669" t="s">
        <v>4477</v>
      </c>
      <c r="C1669" s="1">
        <v>2.95</v>
      </c>
      <c r="D1669" s="1">
        <v>28</v>
      </c>
      <c r="E1669" s="2">
        <v>55.260869565217298</v>
      </c>
      <c r="F1669" s="1">
        <v>22</v>
      </c>
      <c r="G1669" s="1">
        <v>3358.1</v>
      </c>
      <c r="H1669" s="1" t="s">
        <v>9</v>
      </c>
      <c r="I1669" t="str">
        <f t="shared" si="26"/>
        <v>MEASURING TAPE RUSSIAN DOLL PINK [22452]</v>
      </c>
    </row>
    <row r="1670" spans="1:9" x14ac:dyDescent="0.3">
      <c r="A1670" s="1">
        <v>22453</v>
      </c>
      <c r="B1670" t="s">
        <v>4476</v>
      </c>
      <c r="C1670" s="1">
        <v>2.95</v>
      </c>
      <c r="D1670" s="1">
        <v>18</v>
      </c>
      <c r="E1670" s="2">
        <v>34.826086956521699</v>
      </c>
      <c r="F1670" s="1">
        <v>22</v>
      </c>
      <c r="G1670" s="1">
        <v>2212.92</v>
      </c>
      <c r="H1670" s="1" t="s">
        <v>9</v>
      </c>
      <c r="I1670" t="str">
        <f t="shared" si="26"/>
        <v>MEASURING TAPE RUSSIAN DOLL BLUE [22453]</v>
      </c>
    </row>
    <row r="1671" spans="1:9" x14ac:dyDescent="0.3">
      <c r="A1671" s="1">
        <v>22454</v>
      </c>
      <c r="B1671" t="s">
        <v>4475</v>
      </c>
      <c r="C1671" s="1">
        <v>2.95</v>
      </c>
      <c r="D1671" s="1">
        <v>24</v>
      </c>
      <c r="E1671" s="1">
        <v>66.904761904761898</v>
      </c>
      <c r="F1671" s="1">
        <v>20</v>
      </c>
      <c r="G1671" s="1">
        <v>3933.63</v>
      </c>
      <c r="H1671" s="1" t="s">
        <v>9</v>
      </c>
      <c r="I1671" t="str">
        <f t="shared" si="26"/>
        <v>MEASURING TAPE RUSSIAN DOLL RED [22454]</v>
      </c>
    </row>
    <row r="1672" spans="1:9" x14ac:dyDescent="0.3">
      <c r="A1672" s="1">
        <v>22456</v>
      </c>
      <c r="B1672" t="s">
        <v>4474</v>
      </c>
      <c r="C1672" s="1">
        <v>5.2850000000000001</v>
      </c>
      <c r="D1672" s="1">
        <v>161</v>
      </c>
      <c r="E1672" s="2">
        <v>200.72727272727201</v>
      </c>
      <c r="F1672" s="1">
        <v>22</v>
      </c>
      <c r="G1672" s="1">
        <v>21583.200000000001</v>
      </c>
      <c r="H1672" s="1" t="s">
        <v>10</v>
      </c>
      <c r="I1672" t="str">
        <f t="shared" si="26"/>
        <v>NATURAL SLATE CHALKBOARD LARGE [22456]</v>
      </c>
    </row>
    <row r="1673" spans="1:9" x14ac:dyDescent="0.3">
      <c r="A1673" s="1">
        <v>22457</v>
      </c>
      <c r="B1673" t="s">
        <v>4473</v>
      </c>
      <c r="C1673" s="1">
        <v>3.04</v>
      </c>
      <c r="D1673" s="1">
        <v>690</v>
      </c>
      <c r="E1673" s="2">
        <v>698.77272727272702</v>
      </c>
      <c r="F1673" s="1">
        <v>22</v>
      </c>
      <c r="G1673" s="1">
        <v>47288.23</v>
      </c>
      <c r="H1673" s="1" t="s">
        <v>10</v>
      </c>
      <c r="I1673" t="str">
        <f t="shared" si="26"/>
        <v>NATURAL SLATE HEART CHALKBOARD [22457]</v>
      </c>
    </row>
    <row r="1674" spans="1:9" x14ac:dyDescent="0.3">
      <c r="A1674" s="1">
        <v>22458</v>
      </c>
      <c r="B1674" t="s">
        <v>4472</v>
      </c>
      <c r="C1674" s="1">
        <v>2.63</v>
      </c>
      <c r="D1674" s="1">
        <v>98.5</v>
      </c>
      <c r="E1674" s="2">
        <v>108.78571428571399</v>
      </c>
      <c r="F1674" s="1">
        <v>14</v>
      </c>
      <c r="G1674" s="1">
        <v>3790.47</v>
      </c>
      <c r="H1674" s="1" t="s">
        <v>10</v>
      </c>
      <c r="I1674" t="str">
        <f t="shared" si="26"/>
        <v>CAST IRON HOOK GARDEN FORK [22458]</v>
      </c>
    </row>
    <row r="1675" spans="1:9" x14ac:dyDescent="0.3">
      <c r="A1675" s="1">
        <v>22459</v>
      </c>
      <c r="B1675" t="s">
        <v>4471</v>
      </c>
      <c r="C1675" s="1">
        <v>2.59</v>
      </c>
      <c r="D1675" s="1">
        <v>58</v>
      </c>
      <c r="E1675" s="2">
        <v>98.428571428571402</v>
      </c>
      <c r="F1675" s="1">
        <v>14</v>
      </c>
      <c r="G1675" s="2">
        <v>3389.74</v>
      </c>
      <c r="H1675" s="1" t="s">
        <v>9</v>
      </c>
      <c r="I1675" t="str">
        <f t="shared" si="26"/>
        <v>CAST IRON HOOK GARDEN TROWEL [22459]</v>
      </c>
    </row>
    <row r="1676" spans="1:9" x14ac:dyDescent="0.3">
      <c r="A1676" s="1">
        <v>22460</v>
      </c>
      <c r="B1676" t="s">
        <v>4470</v>
      </c>
      <c r="C1676" s="1">
        <v>1.33</v>
      </c>
      <c r="D1676" s="1">
        <v>180.5</v>
      </c>
      <c r="E1676" s="2">
        <v>216.863636363636</v>
      </c>
      <c r="F1676" s="1">
        <v>22</v>
      </c>
      <c r="G1676" s="1">
        <v>6283.87</v>
      </c>
      <c r="H1676" s="1" t="s">
        <v>10</v>
      </c>
      <c r="I1676" t="str">
        <f t="shared" si="26"/>
        <v>EMBOSSED GLASS TEALIGHT HOLDER [22460]</v>
      </c>
    </row>
    <row r="1677" spans="1:9" x14ac:dyDescent="0.3">
      <c r="A1677" s="1">
        <v>22461</v>
      </c>
      <c r="B1677" t="s">
        <v>4469</v>
      </c>
      <c r="C1677" s="1">
        <v>12.33</v>
      </c>
      <c r="D1677" s="1">
        <v>16.5</v>
      </c>
      <c r="E1677" s="2">
        <v>22.7777777777777</v>
      </c>
      <c r="F1677" s="1">
        <v>18</v>
      </c>
      <c r="G1677" s="1">
        <v>3607.81</v>
      </c>
      <c r="H1677" s="1" t="s">
        <v>9</v>
      </c>
      <c r="I1677" t="str">
        <f t="shared" si="26"/>
        <v>SAVOY ART DECO CLOCK [22461]</v>
      </c>
    </row>
    <row r="1678" spans="1:9" x14ac:dyDescent="0.3">
      <c r="A1678" s="1">
        <v>22464</v>
      </c>
      <c r="B1678" t="s">
        <v>4468</v>
      </c>
      <c r="C1678" s="2">
        <v>1.6949999999999901</v>
      </c>
      <c r="D1678" s="1">
        <v>344</v>
      </c>
      <c r="E1678" s="2">
        <v>356.68181818181802</v>
      </c>
      <c r="F1678" s="1">
        <v>22</v>
      </c>
      <c r="G1678" s="1">
        <v>12985.31</v>
      </c>
      <c r="H1678" s="1" t="s">
        <v>10</v>
      </c>
      <c r="I1678" t="str">
        <f t="shared" si="26"/>
        <v>HANGING METAL HEART LANTERN [22464]</v>
      </c>
    </row>
    <row r="1679" spans="1:9" x14ac:dyDescent="0.3">
      <c r="A1679" s="1">
        <v>22465</v>
      </c>
      <c r="B1679" t="s">
        <v>4467</v>
      </c>
      <c r="C1679" s="1">
        <v>1.69</v>
      </c>
      <c r="D1679" s="1">
        <v>222.5</v>
      </c>
      <c r="E1679" s="2">
        <v>205.31818181818099</v>
      </c>
      <c r="F1679" s="1">
        <v>22</v>
      </c>
      <c r="G1679" s="1">
        <v>7284.24</v>
      </c>
      <c r="H1679" s="1" t="s">
        <v>10</v>
      </c>
      <c r="I1679" t="str">
        <f t="shared" si="26"/>
        <v>HANGING METAL STAR LANTERN [22465]</v>
      </c>
    </row>
    <row r="1680" spans="1:9" x14ac:dyDescent="0.3">
      <c r="A1680" s="1">
        <v>22466</v>
      </c>
      <c r="B1680" t="s">
        <v>4466</v>
      </c>
      <c r="C1680" s="1">
        <v>1.95</v>
      </c>
      <c r="D1680" s="1">
        <v>182</v>
      </c>
      <c r="E1680" s="2">
        <v>230.95652173913001</v>
      </c>
      <c r="F1680" s="1">
        <v>22</v>
      </c>
      <c r="G1680" s="1">
        <v>9857.18</v>
      </c>
      <c r="H1680" s="1" t="s">
        <v>10</v>
      </c>
      <c r="I1680" t="str">
        <f t="shared" si="26"/>
        <v>FAIRY TALE COTTAGE NIGHTLIGHT [22466]</v>
      </c>
    </row>
    <row r="1681" spans="1:9" x14ac:dyDescent="0.3">
      <c r="A1681" s="1">
        <v>22467</v>
      </c>
      <c r="B1681" t="s">
        <v>4465</v>
      </c>
      <c r="C1681" s="1">
        <v>2.37</v>
      </c>
      <c r="D1681" s="1">
        <v>609</v>
      </c>
      <c r="E1681" s="2">
        <v>565.142857142857</v>
      </c>
      <c r="F1681" s="1">
        <v>21</v>
      </c>
      <c r="G1681" s="1">
        <v>28059.48</v>
      </c>
      <c r="H1681" s="1" t="s">
        <v>10</v>
      </c>
      <c r="I1681" t="str">
        <f t="shared" si="26"/>
        <v>GUMBALL COAT RACK [22467]</v>
      </c>
    </row>
    <row r="1682" spans="1:9" x14ac:dyDescent="0.3">
      <c r="A1682" s="1">
        <v>22468</v>
      </c>
      <c r="B1682" t="s">
        <v>4464</v>
      </c>
      <c r="C1682" s="1">
        <v>6.87</v>
      </c>
      <c r="D1682" s="1">
        <v>53.5</v>
      </c>
      <c r="E1682" s="1">
        <v>78.909090909090907</v>
      </c>
      <c r="F1682" s="1">
        <v>22</v>
      </c>
      <c r="G1682" s="1">
        <v>11542.6</v>
      </c>
      <c r="H1682" s="1" t="s">
        <v>9</v>
      </c>
      <c r="I1682" t="str">
        <f t="shared" si="26"/>
        <v>BABUSHKA LIGHTS STRING OF 10 [22468]</v>
      </c>
    </row>
    <row r="1683" spans="1:9" x14ac:dyDescent="0.3">
      <c r="A1683" s="1">
        <v>22469</v>
      </c>
      <c r="B1683" t="s">
        <v>4463</v>
      </c>
      <c r="C1683" s="1">
        <v>1.75</v>
      </c>
      <c r="D1683" s="1">
        <v>1326</v>
      </c>
      <c r="E1683" s="2">
        <v>1328.9523809523801</v>
      </c>
      <c r="F1683" s="1">
        <v>21</v>
      </c>
      <c r="G1683" s="1">
        <v>48935.11</v>
      </c>
      <c r="H1683" s="1" t="s">
        <v>10</v>
      </c>
      <c r="I1683" t="str">
        <f t="shared" si="26"/>
        <v>HEART OF WICKER SMALL [22469]</v>
      </c>
    </row>
    <row r="1684" spans="1:9" x14ac:dyDescent="0.3">
      <c r="A1684" s="1">
        <v>22470</v>
      </c>
      <c r="B1684" t="s">
        <v>4462</v>
      </c>
      <c r="C1684" s="1">
        <v>3.02</v>
      </c>
      <c r="D1684" s="1">
        <v>723</v>
      </c>
      <c r="E1684" s="2">
        <v>846.33333333333303</v>
      </c>
      <c r="F1684" s="1">
        <v>21</v>
      </c>
      <c r="G1684" s="1">
        <v>53506.13</v>
      </c>
      <c r="H1684" s="1" t="s">
        <v>10</v>
      </c>
      <c r="I1684" t="str">
        <f t="shared" si="26"/>
        <v>HEART OF WICKER LARGE [22470]</v>
      </c>
    </row>
    <row r="1685" spans="1:9" x14ac:dyDescent="0.3">
      <c r="A1685" s="1">
        <v>22471</v>
      </c>
      <c r="B1685" t="s">
        <v>4461</v>
      </c>
      <c r="C1685" s="1">
        <v>4.95</v>
      </c>
      <c r="D1685" s="1">
        <v>20.5</v>
      </c>
      <c r="E1685" s="1">
        <v>31.35</v>
      </c>
      <c r="F1685" s="1">
        <v>20</v>
      </c>
      <c r="G1685" s="1">
        <v>2568.7600000000002</v>
      </c>
      <c r="H1685" s="1" t="s">
        <v>9</v>
      </c>
      <c r="I1685" t="str">
        <f t="shared" si="26"/>
        <v>TV DINNER TRAY AIR HOSTESS [22471]</v>
      </c>
    </row>
    <row r="1686" spans="1:9" x14ac:dyDescent="0.3">
      <c r="A1686" s="1">
        <v>22472</v>
      </c>
      <c r="B1686" t="s">
        <v>4460</v>
      </c>
      <c r="C1686" s="1">
        <v>5.13</v>
      </c>
      <c r="D1686" s="1">
        <v>32</v>
      </c>
      <c r="E1686" s="2">
        <v>47.782608695652101</v>
      </c>
      <c r="F1686" s="1">
        <v>22</v>
      </c>
      <c r="G1686" s="1">
        <v>5160.32</v>
      </c>
      <c r="H1686" s="1" t="s">
        <v>9</v>
      </c>
      <c r="I1686" t="str">
        <f t="shared" si="26"/>
        <v>TV DINNER TRAY DOLLY GIRL [22472]</v>
      </c>
    </row>
    <row r="1687" spans="1:9" x14ac:dyDescent="0.3">
      <c r="A1687" s="1">
        <v>22473</v>
      </c>
      <c r="B1687" t="s">
        <v>4459</v>
      </c>
      <c r="C1687" s="1">
        <v>5.0049999999999999</v>
      </c>
      <c r="D1687" s="1">
        <v>19.5</v>
      </c>
      <c r="E1687" s="2">
        <v>36.863636363636303</v>
      </c>
      <c r="F1687" s="1">
        <v>22</v>
      </c>
      <c r="G1687" s="1">
        <v>3070.92</v>
      </c>
      <c r="H1687" s="1" t="s">
        <v>9</v>
      </c>
      <c r="I1687" t="str">
        <f t="shared" si="26"/>
        <v>TV DINNER TRAY VINTAGE PAISLEY [22473]</v>
      </c>
    </row>
    <row r="1688" spans="1:9" x14ac:dyDescent="0.3">
      <c r="A1688" s="1">
        <v>22474</v>
      </c>
      <c r="B1688" t="s">
        <v>4458</v>
      </c>
      <c r="C1688" s="1">
        <v>5.34</v>
      </c>
      <c r="D1688" s="1">
        <v>26</v>
      </c>
      <c r="E1688" s="2">
        <v>42.260869565217298</v>
      </c>
      <c r="F1688" s="1">
        <v>22</v>
      </c>
      <c r="G1688" s="1">
        <v>4746.53</v>
      </c>
      <c r="H1688" s="1" t="s">
        <v>9</v>
      </c>
      <c r="I1688" t="str">
        <f t="shared" si="26"/>
        <v>SPACEBOY TV DINNER TRAY [22474]</v>
      </c>
    </row>
    <row r="1689" spans="1:9" x14ac:dyDescent="0.3">
      <c r="A1689" s="1">
        <v>22475</v>
      </c>
      <c r="B1689" t="s">
        <v>4457</v>
      </c>
      <c r="C1689" s="1">
        <v>5.59</v>
      </c>
      <c r="D1689" s="1">
        <v>21.5</v>
      </c>
      <c r="E1689" s="2">
        <v>34.954545454545404</v>
      </c>
      <c r="F1689" s="1">
        <v>22</v>
      </c>
      <c r="G1689" s="2">
        <v>3856.7999999999902</v>
      </c>
      <c r="H1689" s="1" t="s">
        <v>9</v>
      </c>
      <c r="I1689" t="str">
        <f t="shared" si="26"/>
        <v>SKULL DESIGN TV DINNER TRAY [22475]</v>
      </c>
    </row>
    <row r="1690" spans="1:9" x14ac:dyDescent="0.3">
      <c r="A1690" s="1">
        <v>22476</v>
      </c>
      <c r="B1690" t="s">
        <v>4456</v>
      </c>
      <c r="C1690" s="2">
        <v>5.64</v>
      </c>
      <c r="D1690" s="1">
        <v>30</v>
      </c>
      <c r="E1690" s="2">
        <v>60.545454545454497</v>
      </c>
      <c r="F1690" s="1">
        <v>22</v>
      </c>
      <c r="G1690" s="1">
        <v>5218.6099999999997</v>
      </c>
      <c r="H1690" s="1" t="s">
        <v>9</v>
      </c>
      <c r="I1690" t="str">
        <f t="shared" si="26"/>
        <v>EMPIRE UNION JACK TV DINNER TRAY [22476]</v>
      </c>
    </row>
    <row r="1691" spans="1:9" x14ac:dyDescent="0.3">
      <c r="A1691" s="1">
        <v>22477</v>
      </c>
      <c r="B1691" t="s">
        <v>4455</v>
      </c>
      <c r="C1691" s="1">
        <v>1.43</v>
      </c>
      <c r="D1691" s="1">
        <v>48.5</v>
      </c>
      <c r="E1691" s="2">
        <v>109.72727272727199</v>
      </c>
      <c r="F1691" s="1">
        <v>22</v>
      </c>
      <c r="G1691" s="2">
        <v>3356.74</v>
      </c>
      <c r="H1691" s="1" t="s">
        <v>9</v>
      </c>
      <c r="I1691" t="str">
        <f t="shared" si="26"/>
        <v>WATERING CAN GARDEN MARKER [22477]</v>
      </c>
    </row>
    <row r="1692" spans="1:9" x14ac:dyDescent="0.3">
      <c r="A1692" s="1">
        <v>22478</v>
      </c>
      <c r="B1692" t="s">
        <v>4454</v>
      </c>
      <c r="C1692" s="1">
        <v>1.38</v>
      </c>
      <c r="D1692" s="1">
        <v>75</v>
      </c>
      <c r="E1692" s="1">
        <v>126</v>
      </c>
      <c r="F1692" s="1">
        <v>22</v>
      </c>
      <c r="G1692" s="1">
        <v>3848.41</v>
      </c>
      <c r="H1692" s="1" t="s">
        <v>10</v>
      </c>
      <c r="I1692" t="str">
        <f t="shared" si="26"/>
        <v>BIRDHOUSE GARDEN MARKER [22478]</v>
      </c>
    </row>
    <row r="1693" spans="1:9" x14ac:dyDescent="0.3">
      <c r="A1693" s="1">
        <v>22479</v>
      </c>
      <c r="B1693" t="s">
        <v>4453</v>
      </c>
      <c r="C1693" s="1">
        <v>1.35</v>
      </c>
      <c r="D1693" s="1">
        <v>36.5</v>
      </c>
      <c r="E1693" s="2">
        <v>88.136363636363598</v>
      </c>
      <c r="F1693" s="1">
        <v>22</v>
      </c>
      <c r="G1693" s="1">
        <v>2691.19</v>
      </c>
      <c r="H1693" s="1" t="s">
        <v>9</v>
      </c>
      <c r="I1693" t="str">
        <f t="shared" si="26"/>
        <v>DAISY GARDEN MARKER [22479]</v>
      </c>
    </row>
    <row r="1694" spans="1:9" x14ac:dyDescent="0.3">
      <c r="A1694" s="1">
        <v>22480</v>
      </c>
      <c r="B1694" t="s">
        <v>4452</v>
      </c>
      <c r="C1694" s="1">
        <v>1.25</v>
      </c>
      <c r="D1694" s="1">
        <v>119</v>
      </c>
      <c r="E1694" s="2">
        <v>131.555555555555</v>
      </c>
      <c r="F1694" s="1">
        <v>18</v>
      </c>
      <c r="G1694" s="1">
        <v>2863.06</v>
      </c>
      <c r="H1694" s="1" t="s">
        <v>10</v>
      </c>
      <c r="I1694" t="str">
        <f t="shared" si="26"/>
        <v>RED TEA TOWEL CLASSIC DESIGN [22480]</v>
      </c>
    </row>
    <row r="1695" spans="1:9" x14ac:dyDescent="0.3">
      <c r="A1695" s="1">
        <v>22481</v>
      </c>
      <c r="B1695" t="s">
        <v>4451</v>
      </c>
      <c r="C1695" s="1">
        <v>1.25</v>
      </c>
      <c r="D1695" s="1">
        <v>53.5</v>
      </c>
      <c r="E1695" s="2">
        <v>57.818181818181799</v>
      </c>
      <c r="F1695" s="1">
        <v>22</v>
      </c>
      <c r="G1695" s="1">
        <v>1309.81</v>
      </c>
      <c r="H1695" s="1" t="s">
        <v>9</v>
      </c>
      <c r="I1695" t="str">
        <f t="shared" si="26"/>
        <v>BLACK TEA TOWEL CLASSIC DESIGN [22481]</v>
      </c>
    </row>
    <row r="1696" spans="1:9" x14ac:dyDescent="0.3">
      <c r="A1696" s="1">
        <v>22482</v>
      </c>
      <c r="B1696" t="s">
        <v>4450</v>
      </c>
      <c r="C1696" s="1">
        <v>1.25</v>
      </c>
      <c r="D1696" s="1">
        <v>128</v>
      </c>
      <c r="E1696" s="2">
        <v>136.41176470588201</v>
      </c>
      <c r="F1696" s="1">
        <v>17</v>
      </c>
      <c r="G1696" s="1">
        <v>2739.43</v>
      </c>
      <c r="H1696" s="1" t="s">
        <v>10</v>
      </c>
      <c r="I1696" t="str">
        <f t="shared" si="26"/>
        <v>BLUE TEA TOWEL CLASSIC DESIGN [22482]</v>
      </c>
    </row>
    <row r="1697" spans="1:9" x14ac:dyDescent="0.3">
      <c r="A1697" s="1">
        <v>22483</v>
      </c>
      <c r="B1697" t="s">
        <v>4449</v>
      </c>
      <c r="C1697" s="1">
        <v>2.95</v>
      </c>
      <c r="D1697" s="1">
        <v>69</v>
      </c>
      <c r="E1697" s="2">
        <v>85.318181818181799</v>
      </c>
      <c r="F1697" s="1">
        <v>22</v>
      </c>
      <c r="G1697" s="1">
        <v>5440.51</v>
      </c>
      <c r="H1697" s="1" t="s">
        <v>10</v>
      </c>
      <c r="I1697" t="str">
        <f t="shared" si="26"/>
        <v>RED GINGHAM TEDDY BEAR [22483]</v>
      </c>
    </row>
    <row r="1698" spans="1:9" x14ac:dyDescent="0.3">
      <c r="A1698" s="1">
        <v>22485</v>
      </c>
      <c r="B1698" t="s">
        <v>4448</v>
      </c>
      <c r="C1698" s="1">
        <v>13.365</v>
      </c>
      <c r="D1698" s="1">
        <v>44.5</v>
      </c>
      <c r="E1698" s="2">
        <v>50.045454545454497</v>
      </c>
      <c r="F1698" s="1">
        <v>22</v>
      </c>
      <c r="G1698" s="1">
        <v>14677.84</v>
      </c>
      <c r="H1698" s="1" t="s">
        <v>9</v>
      </c>
      <c r="I1698" t="str">
        <f t="shared" si="26"/>
        <v>SET OF 2 WOODEN MARKET CRATES [22485]</v>
      </c>
    </row>
    <row r="1699" spans="1:9" x14ac:dyDescent="0.3">
      <c r="A1699" s="1">
        <v>22486</v>
      </c>
      <c r="B1699" t="s">
        <v>4447</v>
      </c>
      <c r="C1699" s="1">
        <v>9.7799999999999994</v>
      </c>
      <c r="D1699" s="1">
        <v>6</v>
      </c>
      <c r="E1699" s="1">
        <v>8</v>
      </c>
      <c r="F1699" s="1">
        <v>13</v>
      </c>
      <c r="G1699" s="1">
        <v>856.4</v>
      </c>
      <c r="H1699" s="1" t="s">
        <v>8</v>
      </c>
      <c r="I1699" t="str">
        <f t="shared" si="26"/>
        <v>PLASMATRONIC LAMP [22486]</v>
      </c>
    </row>
    <row r="1700" spans="1:9" x14ac:dyDescent="0.3">
      <c r="A1700" s="1">
        <v>22487</v>
      </c>
      <c r="B1700" t="s">
        <v>4446</v>
      </c>
      <c r="C1700" s="1">
        <v>9.9849999999999994</v>
      </c>
      <c r="D1700" s="1">
        <v>65.5</v>
      </c>
      <c r="E1700" s="2">
        <v>74.181818181818102</v>
      </c>
      <c r="F1700" s="1">
        <v>22</v>
      </c>
      <c r="G1700" s="1">
        <v>16373.7</v>
      </c>
      <c r="H1700" s="1" t="s">
        <v>10</v>
      </c>
      <c r="I1700" t="str">
        <f t="shared" si="26"/>
        <v>WHITE WOOD GARDEN PLANT LADDER [22487]</v>
      </c>
    </row>
    <row r="1701" spans="1:9" x14ac:dyDescent="0.3">
      <c r="A1701" s="1">
        <v>22488</v>
      </c>
      <c r="B1701" t="s">
        <v>4445</v>
      </c>
      <c r="C1701" s="1">
        <v>1.7050000000000001</v>
      </c>
      <c r="D1701" s="1">
        <v>319.5</v>
      </c>
      <c r="E1701" s="2">
        <v>313.86363636363598</v>
      </c>
      <c r="F1701" s="1">
        <v>22</v>
      </c>
      <c r="G1701" s="1">
        <v>11788.06</v>
      </c>
      <c r="H1701" s="1" t="s">
        <v>10</v>
      </c>
      <c r="I1701" t="str">
        <f t="shared" si="26"/>
        <v>NATURAL SLATE RECTANGLE CHALKBOARD [22488]</v>
      </c>
    </row>
    <row r="1702" spans="1:9" x14ac:dyDescent="0.3">
      <c r="A1702" s="1">
        <v>22489</v>
      </c>
      <c r="B1702" t="s">
        <v>4444</v>
      </c>
      <c r="C1702" s="1">
        <v>0.42</v>
      </c>
      <c r="D1702" s="1">
        <v>880</v>
      </c>
      <c r="E1702" s="2">
        <v>853.142857142857</v>
      </c>
      <c r="F1702" s="1">
        <v>21</v>
      </c>
      <c r="G1702" s="1">
        <v>7548.67</v>
      </c>
      <c r="H1702" s="1" t="s">
        <v>10</v>
      </c>
      <c r="I1702" t="str">
        <f t="shared" si="26"/>
        <v>PACK OF 12 TRADITIONAL CRAYONS [22489]</v>
      </c>
    </row>
    <row r="1703" spans="1:9" x14ac:dyDescent="0.3">
      <c r="A1703" s="1">
        <v>22491</v>
      </c>
      <c r="B1703" t="s">
        <v>4443</v>
      </c>
      <c r="C1703" s="1">
        <v>0.84</v>
      </c>
      <c r="D1703" s="1">
        <v>272.5</v>
      </c>
      <c r="E1703" s="1">
        <v>371.15</v>
      </c>
      <c r="F1703" s="1">
        <v>20</v>
      </c>
      <c r="G1703" s="1">
        <v>5950</v>
      </c>
      <c r="H1703" s="1" t="s">
        <v>10</v>
      </c>
      <c r="I1703" t="str">
        <f t="shared" si="26"/>
        <v>PACK OF 12 COLOURED PENCILS [22491]</v>
      </c>
    </row>
    <row r="1704" spans="1:9" x14ac:dyDescent="0.3">
      <c r="A1704" s="1">
        <v>22492</v>
      </c>
      <c r="B1704" t="s">
        <v>4442</v>
      </c>
      <c r="C1704" s="1">
        <v>0.63500000000000001</v>
      </c>
      <c r="D1704" s="1">
        <v>1883.5</v>
      </c>
      <c r="E1704" s="2">
        <v>1814.4166666666599</v>
      </c>
      <c r="F1704" s="1">
        <v>20</v>
      </c>
      <c r="G1704" s="1">
        <v>27817.59</v>
      </c>
      <c r="H1704" s="1" t="s">
        <v>10</v>
      </c>
      <c r="I1704" t="str">
        <f t="shared" si="26"/>
        <v>MINI PAINT SET VINTAGE [22492]</v>
      </c>
    </row>
    <row r="1705" spans="1:9" x14ac:dyDescent="0.3">
      <c r="A1705" s="1">
        <v>22493</v>
      </c>
      <c r="B1705" t="s">
        <v>4441</v>
      </c>
      <c r="C1705" s="1">
        <v>1.65</v>
      </c>
      <c r="D1705" s="1">
        <v>156</v>
      </c>
      <c r="E1705" s="1">
        <v>206</v>
      </c>
      <c r="F1705" s="1">
        <v>20</v>
      </c>
      <c r="G1705" s="1">
        <v>7608.12</v>
      </c>
      <c r="H1705" s="1" t="s">
        <v>10</v>
      </c>
      <c r="I1705" t="str">
        <f t="shared" si="26"/>
        <v>PAINT YOUR OWN CANVAS SET [22493]</v>
      </c>
    </row>
    <row r="1706" spans="1:9" x14ac:dyDescent="0.3">
      <c r="A1706" s="1">
        <v>22494</v>
      </c>
      <c r="B1706" t="s">
        <v>4440</v>
      </c>
      <c r="C1706" s="2">
        <v>1.345</v>
      </c>
      <c r="D1706" s="1">
        <v>102.5</v>
      </c>
      <c r="E1706" s="2">
        <v>115.208333333333</v>
      </c>
      <c r="F1706" s="1">
        <v>24</v>
      </c>
      <c r="G1706" s="1">
        <v>3730.92</v>
      </c>
      <c r="H1706" s="1" t="s">
        <v>10</v>
      </c>
      <c r="I1706" t="str">
        <f t="shared" si="26"/>
        <v>EMERGENCY FIRST AID TIN [22494]</v>
      </c>
    </row>
    <row r="1707" spans="1:9" x14ac:dyDescent="0.3">
      <c r="A1707" s="1">
        <v>22495</v>
      </c>
      <c r="B1707" t="s">
        <v>4439</v>
      </c>
      <c r="C1707" s="1">
        <v>2.95</v>
      </c>
      <c r="D1707" s="1">
        <v>29.5</v>
      </c>
      <c r="E1707" s="2">
        <v>39.1666666666666</v>
      </c>
      <c r="F1707" s="1">
        <v>24</v>
      </c>
      <c r="G1707" s="1">
        <v>2682.32</v>
      </c>
      <c r="H1707" s="1" t="s">
        <v>9</v>
      </c>
      <c r="I1707" t="str">
        <f t="shared" si="26"/>
        <v>SET OF 2 ROUND TINS CAMEMBERT [22495]</v>
      </c>
    </row>
    <row r="1708" spans="1:9" x14ac:dyDescent="0.3">
      <c r="A1708" s="1">
        <v>22496</v>
      </c>
      <c r="B1708" t="s">
        <v>4438</v>
      </c>
      <c r="C1708" s="1">
        <v>2.95</v>
      </c>
      <c r="D1708" s="1">
        <v>18</v>
      </c>
      <c r="E1708" s="2">
        <v>26.956521739130402</v>
      </c>
      <c r="F1708" s="1">
        <v>23</v>
      </c>
      <c r="G1708" s="1">
        <v>1908.4</v>
      </c>
      <c r="H1708" s="1" t="s">
        <v>9</v>
      </c>
      <c r="I1708" t="str">
        <f t="shared" si="26"/>
        <v>SET OF 2 ROUND TINS DUTCH CHEESE [22496]</v>
      </c>
    </row>
    <row r="1709" spans="1:9" x14ac:dyDescent="0.3">
      <c r="A1709" s="1">
        <v>22497</v>
      </c>
      <c r="B1709" t="s">
        <v>4437</v>
      </c>
      <c r="C1709" s="1">
        <v>4.4649999999999999</v>
      </c>
      <c r="D1709" s="1">
        <v>23</v>
      </c>
      <c r="E1709" s="2">
        <v>38.7083333333333</v>
      </c>
      <c r="F1709" s="1">
        <v>24</v>
      </c>
      <c r="G1709" s="1">
        <v>4239.07</v>
      </c>
      <c r="H1709" s="1" t="s">
        <v>9</v>
      </c>
      <c r="I1709" t="str">
        <f t="shared" si="26"/>
        <v>SET OF 2 TINS VINTAGE BATHROOM [22497]</v>
      </c>
    </row>
    <row r="1710" spans="1:9" x14ac:dyDescent="0.3">
      <c r="A1710" s="1">
        <v>22498</v>
      </c>
      <c r="B1710" t="s">
        <v>4436</v>
      </c>
      <c r="C1710" s="1">
        <v>6.42</v>
      </c>
      <c r="D1710" s="1">
        <v>44</v>
      </c>
      <c r="E1710" s="2">
        <v>49.347826086956502</v>
      </c>
      <c r="F1710" s="1">
        <v>23</v>
      </c>
      <c r="G1710" s="1">
        <v>6933.74</v>
      </c>
      <c r="H1710" s="1" t="s">
        <v>9</v>
      </c>
      <c r="I1710" t="str">
        <f t="shared" si="26"/>
        <v>WOODEN REGATTA BUNTING [22498]</v>
      </c>
    </row>
    <row r="1711" spans="1:9" x14ac:dyDescent="0.3">
      <c r="A1711" s="1">
        <v>22499</v>
      </c>
      <c r="B1711" t="s">
        <v>4435</v>
      </c>
      <c r="C1711" s="1">
        <v>6.2</v>
      </c>
      <c r="D1711" s="1">
        <v>110</v>
      </c>
      <c r="E1711" s="2">
        <v>155.82608695652101</v>
      </c>
      <c r="F1711" s="1">
        <v>23</v>
      </c>
      <c r="G1711" s="1">
        <v>21826.52</v>
      </c>
      <c r="H1711" s="1" t="s">
        <v>10</v>
      </c>
      <c r="I1711" t="str">
        <f t="shared" si="26"/>
        <v>WOODEN UNION JACK BUNTING [22499]</v>
      </c>
    </row>
    <row r="1712" spans="1:9" x14ac:dyDescent="0.3">
      <c r="A1712" s="1">
        <v>22500</v>
      </c>
      <c r="B1712" t="s">
        <v>4434</v>
      </c>
      <c r="C1712" s="1">
        <v>4.95</v>
      </c>
      <c r="D1712" s="1">
        <v>16</v>
      </c>
      <c r="E1712" s="2">
        <v>21.260869565217298</v>
      </c>
      <c r="F1712" s="1">
        <v>23</v>
      </c>
      <c r="G1712" s="1">
        <v>2533.56</v>
      </c>
      <c r="H1712" s="1" t="s">
        <v>9</v>
      </c>
      <c r="I1712" t="str">
        <f t="shared" si="26"/>
        <v>SET OF 2 TINS JARDIN DE PROVENCE [22500]</v>
      </c>
    </row>
    <row r="1713" spans="1:9" x14ac:dyDescent="0.3">
      <c r="A1713" s="1">
        <v>22501</v>
      </c>
      <c r="B1713" t="s">
        <v>4433</v>
      </c>
      <c r="C1713" s="1">
        <v>11.92</v>
      </c>
      <c r="D1713" s="1">
        <v>104</v>
      </c>
      <c r="E1713" s="2">
        <v>137.47368421052599</v>
      </c>
      <c r="F1713" s="1">
        <v>19</v>
      </c>
      <c r="G1713" s="1">
        <v>30339.360000000001</v>
      </c>
      <c r="H1713" s="1" t="s">
        <v>10</v>
      </c>
      <c r="I1713" t="str">
        <f t="shared" si="26"/>
        <v>PICNIC BASKET WICKER LARGE [22501]</v>
      </c>
    </row>
    <row r="1714" spans="1:9" x14ac:dyDescent="0.3">
      <c r="A1714" s="1">
        <v>22502</v>
      </c>
      <c r="B1714" t="s">
        <v>4432</v>
      </c>
      <c r="C1714" s="1">
        <v>5.97</v>
      </c>
      <c r="D1714" s="1">
        <v>209</v>
      </c>
      <c r="E1714" s="2">
        <v>217.941176470588</v>
      </c>
      <c r="F1714" s="1">
        <v>17</v>
      </c>
      <c r="G1714" s="1">
        <v>21260.799999999999</v>
      </c>
      <c r="H1714" s="1" t="s">
        <v>10</v>
      </c>
      <c r="I1714" t="str">
        <f t="shared" si="26"/>
        <v>PICNIC BASKET WICKER SMALL [22502]</v>
      </c>
    </row>
    <row r="1715" spans="1:9" x14ac:dyDescent="0.3">
      <c r="A1715" s="1">
        <v>22503</v>
      </c>
      <c r="B1715" t="s">
        <v>4431</v>
      </c>
      <c r="C1715" s="1">
        <v>27.81</v>
      </c>
      <c r="D1715" s="1">
        <v>4</v>
      </c>
      <c r="E1715" s="2">
        <v>8.2941176470588207</v>
      </c>
      <c r="F1715" s="1">
        <v>17</v>
      </c>
      <c r="G1715" s="1">
        <v>3178.02</v>
      </c>
      <c r="H1715" s="1" t="s">
        <v>8</v>
      </c>
      <c r="I1715" t="str">
        <f t="shared" si="26"/>
        <v>CABIN BAG VINTAGE PAISLEY [22503]</v>
      </c>
    </row>
    <row r="1716" spans="1:9" x14ac:dyDescent="0.3">
      <c r="A1716" s="1">
        <v>22504</v>
      </c>
      <c r="B1716" t="s">
        <v>4430</v>
      </c>
      <c r="C1716" s="2">
        <v>28.384999999999899</v>
      </c>
      <c r="D1716" s="1">
        <v>16</v>
      </c>
      <c r="E1716" s="2">
        <v>20.3333333333333</v>
      </c>
      <c r="F1716" s="1">
        <v>18</v>
      </c>
      <c r="G1716" s="1">
        <v>7985.03</v>
      </c>
      <c r="H1716" s="1" t="s">
        <v>9</v>
      </c>
      <c r="I1716" t="str">
        <f t="shared" si="26"/>
        <v>CABIN BAG VINTAGE RETROSPOT [22504]</v>
      </c>
    </row>
    <row r="1717" spans="1:9" x14ac:dyDescent="0.3">
      <c r="A1717" s="1">
        <v>22505</v>
      </c>
      <c r="B1717" t="s">
        <v>4429</v>
      </c>
      <c r="C1717" s="1">
        <v>4.875</v>
      </c>
      <c r="D1717" s="1">
        <v>151</v>
      </c>
      <c r="E1717" s="1">
        <v>171.5</v>
      </c>
      <c r="F1717" s="1">
        <v>22</v>
      </c>
      <c r="G1717" s="1">
        <v>18034.63</v>
      </c>
      <c r="H1717" s="1" t="s">
        <v>10</v>
      </c>
      <c r="I1717" t="str">
        <f t="shared" si="26"/>
        <v>MEMO BOARD COTTAGE DESIGN [22505]</v>
      </c>
    </row>
    <row r="1718" spans="1:9" x14ac:dyDescent="0.3">
      <c r="A1718" s="1">
        <v>22507</v>
      </c>
      <c r="B1718" t="s">
        <v>4428</v>
      </c>
      <c r="C1718" s="1">
        <v>4.8650000000000002</v>
      </c>
      <c r="D1718" s="1">
        <v>186</v>
      </c>
      <c r="E1718" s="2">
        <v>247.95454545454501</v>
      </c>
      <c r="F1718" s="1">
        <v>22</v>
      </c>
      <c r="G1718" s="1">
        <v>25603.46</v>
      </c>
      <c r="H1718" s="1" t="s">
        <v>10</v>
      </c>
      <c r="I1718" t="str">
        <f t="shared" si="26"/>
        <v>MEMO BOARD RETROSPOT  DESIGN [22507]</v>
      </c>
    </row>
    <row r="1719" spans="1:9" x14ac:dyDescent="0.3">
      <c r="A1719" s="1">
        <v>22508</v>
      </c>
      <c r="B1719" t="s">
        <v>4427</v>
      </c>
      <c r="C1719" s="1">
        <v>4.07</v>
      </c>
      <c r="D1719" s="1">
        <v>91.5</v>
      </c>
      <c r="E1719" s="2">
        <v>130.90909090909</v>
      </c>
      <c r="F1719" s="1">
        <v>22</v>
      </c>
      <c r="G1719" s="2">
        <v>11561.949999999901</v>
      </c>
      <c r="H1719" s="1" t="s">
        <v>10</v>
      </c>
      <c r="I1719" t="str">
        <f t="shared" si="26"/>
        <v>DOORSTOP RETROSPOT HEART [22508]</v>
      </c>
    </row>
    <row r="1720" spans="1:9" x14ac:dyDescent="0.3">
      <c r="A1720" s="1">
        <v>22509</v>
      </c>
      <c r="B1720" t="s">
        <v>4426</v>
      </c>
      <c r="C1720" s="1">
        <v>16.95</v>
      </c>
      <c r="D1720" s="1">
        <v>10</v>
      </c>
      <c r="E1720" s="2">
        <v>13.1428571428571</v>
      </c>
      <c r="F1720" s="1">
        <v>21</v>
      </c>
      <c r="G1720" s="1">
        <v>4691.91</v>
      </c>
      <c r="H1720" s="1" t="s">
        <v>9</v>
      </c>
      <c r="I1720" t="str">
        <f t="shared" si="26"/>
        <v>SEWING BOX RETROSPOT DESIGN [22509]</v>
      </c>
    </row>
    <row r="1721" spans="1:9" x14ac:dyDescent="0.3">
      <c r="A1721" s="1">
        <v>22510</v>
      </c>
      <c r="B1721" t="s">
        <v>4425</v>
      </c>
      <c r="C1721" s="1">
        <v>3.75</v>
      </c>
      <c r="D1721" s="1">
        <v>9</v>
      </c>
      <c r="E1721" s="2">
        <v>15.157894736842101</v>
      </c>
      <c r="F1721" s="1">
        <v>18</v>
      </c>
      <c r="G1721" s="1">
        <v>799.45</v>
      </c>
      <c r="H1721" s="1" t="s">
        <v>8</v>
      </c>
      <c r="I1721" t="str">
        <f t="shared" si="26"/>
        <v>DOORSTOP RUSSIAN DOLL GINGHAM [22510]</v>
      </c>
    </row>
    <row r="1722" spans="1:9" x14ac:dyDescent="0.3">
      <c r="A1722" s="1">
        <v>22511</v>
      </c>
      <c r="B1722" t="s">
        <v>4424</v>
      </c>
      <c r="C1722" s="1">
        <v>3.75</v>
      </c>
      <c r="D1722" s="1">
        <v>15</v>
      </c>
      <c r="E1722" s="2">
        <v>22.0555555555555</v>
      </c>
      <c r="F1722" s="1">
        <v>18</v>
      </c>
      <c r="G1722" s="1">
        <v>1046.6600000000001</v>
      </c>
      <c r="H1722" s="1" t="s">
        <v>9</v>
      </c>
      <c r="I1722" t="str">
        <f t="shared" si="26"/>
        <v>DOORSTOP RUSSIAN DOLL RETROSPOT [22511]</v>
      </c>
    </row>
    <row r="1723" spans="1:9" x14ac:dyDescent="0.3">
      <c r="A1723" s="1">
        <v>22512</v>
      </c>
      <c r="B1723" t="s">
        <v>4423</v>
      </c>
      <c r="C1723" s="1">
        <v>3.75</v>
      </c>
      <c r="D1723" s="1">
        <v>8</v>
      </c>
      <c r="E1723" s="2">
        <v>21.058823529411701</v>
      </c>
      <c r="F1723" s="1">
        <v>17</v>
      </c>
      <c r="G1723" s="1">
        <v>929.71</v>
      </c>
      <c r="H1723" s="1" t="s">
        <v>8</v>
      </c>
      <c r="I1723" t="str">
        <f t="shared" si="26"/>
        <v>DOORSTOP RACING CAR DESIGN [22512]</v>
      </c>
    </row>
    <row r="1724" spans="1:9" x14ac:dyDescent="0.3">
      <c r="A1724" s="1">
        <v>22513</v>
      </c>
      <c r="B1724" t="s">
        <v>4422</v>
      </c>
      <c r="C1724" s="1">
        <v>4.03</v>
      </c>
      <c r="D1724" s="1">
        <v>13</v>
      </c>
      <c r="E1724" s="2">
        <v>27.857142857142801</v>
      </c>
      <c r="F1724" s="1">
        <v>21</v>
      </c>
      <c r="G1724" s="1">
        <v>1894.7</v>
      </c>
      <c r="H1724" s="1" t="s">
        <v>9</v>
      </c>
      <c r="I1724" t="str">
        <f t="shared" si="26"/>
        <v>DOORSTOP FOOTBALL DESIGN [22513]</v>
      </c>
    </row>
    <row r="1725" spans="1:9" x14ac:dyDescent="0.3">
      <c r="A1725" s="1">
        <v>22514</v>
      </c>
      <c r="B1725" t="s">
        <v>4421</v>
      </c>
      <c r="C1725" s="1">
        <v>2.12</v>
      </c>
      <c r="D1725" s="1">
        <v>23</v>
      </c>
      <c r="E1725" s="2">
        <v>49.181818181818102</v>
      </c>
      <c r="F1725" s="1">
        <v>22</v>
      </c>
      <c r="G1725" s="1">
        <v>2202.92</v>
      </c>
      <c r="H1725" s="1" t="s">
        <v>9</v>
      </c>
      <c r="I1725" t="str">
        <f t="shared" si="26"/>
        <v>CHILDS GARDEN SPADE BLUE [22514]</v>
      </c>
    </row>
    <row r="1726" spans="1:9" x14ac:dyDescent="0.3">
      <c r="A1726" s="1">
        <v>22515</v>
      </c>
      <c r="B1726" t="s">
        <v>4420</v>
      </c>
      <c r="C1726" s="1">
        <v>2.23</v>
      </c>
      <c r="D1726" s="1">
        <v>20.5</v>
      </c>
      <c r="E1726" s="2">
        <v>47.545454545454497</v>
      </c>
      <c r="F1726" s="1">
        <v>22</v>
      </c>
      <c r="G1726" s="1">
        <v>2129.7399999999998</v>
      </c>
      <c r="H1726" s="1" t="s">
        <v>9</v>
      </c>
      <c r="I1726" t="str">
        <f t="shared" si="26"/>
        <v>CHILDS GARDEN SPADE PINK [22515]</v>
      </c>
    </row>
    <row r="1727" spans="1:9" x14ac:dyDescent="0.3">
      <c r="A1727" s="1">
        <v>22516</v>
      </c>
      <c r="B1727" t="s">
        <v>4419</v>
      </c>
      <c r="C1727" s="2">
        <v>2.1949999999999998</v>
      </c>
      <c r="D1727" s="1">
        <v>13.5</v>
      </c>
      <c r="E1727" s="1">
        <v>41.95</v>
      </c>
      <c r="F1727" s="1">
        <v>20</v>
      </c>
      <c r="G1727" s="1">
        <v>1700.6</v>
      </c>
      <c r="H1727" s="1" t="s">
        <v>9</v>
      </c>
      <c r="I1727" t="str">
        <f t="shared" si="26"/>
        <v>CHILDS GARDEN RAKE BLUE [22516]</v>
      </c>
    </row>
    <row r="1728" spans="1:9" x14ac:dyDescent="0.3">
      <c r="A1728" s="1">
        <v>22517</v>
      </c>
      <c r="B1728" t="s">
        <v>4418</v>
      </c>
      <c r="C1728" s="2">
        <v>2.11</v>
      </c>
      <c r="D1728" s="1">
        <v>11</v>
      </c>
      <c r="E1728" s="2">
        <v>36.636363636363598</v>
      </c>
      <c r="F1728" s="1">
        <v>22</v>
      </c>
      <c r="G1728" s="1">
        <v>1589.41</v>
      </c>
      <c r="H1728" s="1" t="s">
        <v>9</v>
      </c>
      <c r="I1728" t="str">
        <f t="shared" si="26"/>
        <v>CHILDS GARDEN RAKE PINK [22517]</v>
      </c>
    </row>
    <row r="1729" spans="1:9" x14ac:dyDescent="0.3">
      <c r="A1729" s="1">
        <v>22518</v>
      </c>
      <c r="B1729" t="s">
        <v>4417</v>
      </c>
      <c r="C1729" s="1">
        <v>2.2000000000000002</v>
      </c>
      <c r="D1729" s="1">
        <v>69</v>
      </c>
      <c r="E1729" s="1">
        <v>93.2</v>
      </c>
      <c r="F1729" s="1">
        <v>15</v>
      </c>
      <c r="G1729" s="1">
        <v>2899.8</v>
      </c>
      <c r="H1729" s="1" t="s">
        <v>10</v>
      </c>
      <c r="I1729" t="str">
        <f t="shared" si="26"/>
        <v>CHILDS GARDEN BRUSH BLUE [22518]</v>
      </c>
    </row>
    <row r="1730" spans="1:9" x14ac:dyDescent="0.3">
      <c r="A1730" s="1">
        <v>22519</v>
      </c>
      <c r="B1730" t="s">
        <v>4416</v>
      </c>
      <c r="C1730" s="1">
        <v>2.1</v>
      </c>
      <c r="D1730" s="1">
        <v>58.5</v>
      </c>
      <c r="E1730" s="1">
        <v>89.0625</v>
      </c>
      <c r="F1730" s="1">
        <v>16</v>
      </c>
      <c r="G1730" s="1">
        <v>2968.77</v>
      </c>
      <c r="H1730" s="1" t="s">
        <v>9</v>
      </c>
      <c r="I1730" t="str">
        <f t="shared" si="26"/>
        <v>CHILDS GARDEN BRUSH PINK [22519]</v>
      </c>
    </row>
    <row r="1731" spans="1:9" x14ac:dyDescent="0.3">
      <c r="A1731" s="1">
        <v>22520</v>
      </c>
      <c r="B1731" t="s">
        <v>4415</v>
      </c>
      <c r="C1731" s="1">
        <v>0.87</v>
      </c>
      <c r="D1731" s="1">
        <v>131</v>
      </c>
      <c r="E1731" s="2">
        <v>152.933333333333</v>
      </c>
      <c r="F1731" s="1">
        <v>15</v>
      </c>
      <c r="G1731" s="1">
        <v>2011.28</v>
      </c>
      <c r="H1731" s="1" t="s">
        <v>10</v>
      </c>
      <c r="I1731" t="str">
        <f t="shared" ref="I1731:I1794" si="27">B1731&amp;" ["&amp;A1731&amp;"]"</f>
        <v>CHILDS GARDEN TROWEL BLUE [22520]</v>
      </c>
    </row>
    <row r="1732" spans="1:9" x14ac:dyDescent="0.3">
      <c r="A1732" s="1">
        <v>22521</v>
      </c>
      <c r="B1732" t="s">
        <v>4414</v>
      </c>
      <c r="C1732" s="1">
        <v>0.86</v>
      </c>
      <c r="D1732" s="1">
        <v>121</v>
      </c>
      <c r="E1732" s="2">
        <v>152.53333333333299</v>
      </c>
      <c r="F1732" s="1">
        <v>15</v>
      </c>
      <c r="G1732" s="1">
        <v>1987.93</v>
      </c>
      <c r="H1732" s="1" t="s">
        <v>10</v>
      </c>
      <c r="I1732" t="str">
        <f t="shared" si="27"/>
        <v>CHILDS GARDEN TROWEL PINK [22521]</v>
      </c>
    </row>
    <row r="1733" spans="1:9" x14ac:dyDescent="0.3">
      <c r="A1733" s="1">
        <v>22522</v>
      </c>
      <c r="B1733" t="s">
        <v>4413</v>
      </c>
      <c r="C1733" s="1">
        <v>0.85</v>
      </c>
      <c r="D1733" s="1">
        <v>62.5</v>
      </c>
      <c r="E1733" s="2">
        <v>101.772727272727</v>
      </c>
      <c r="F1733" s="1">
        <v>22</v>
      </c>
      <c r="G1733" s="1">
        <v>1905.81</v>
      </c>
      <c r="H1733" s="1" t="s">
        <v>10</v>
      </c>
      <c r="I1733" t="str">
        <f t="shared" si="27"/>
        <v>CHILDS GARDEN FORK BLUE [22522]</v>
      </c>
    </row>
    <row r="1734" spans="1:9" x14ac:dyDescent="0.3">
      <c r="A1734" s="1">
        <v>22523</v>
      </c>
      <c r="B1734" t="s">
        <v>4412</v>
      </c>
      <c r="C1734" s="1">
        <v>0.86</v>
      </c>
      <c r="D1734" s="1">
        <v>64.5</v>
      </c>
      <c r="E1734" s="2">
        <v>99.227272727272705</v>
      </c>
      <c r="F1734" s="1">
        <v>22</v>
      </c>
      <c r="G1734" s="1">
        <v>1882.29</v>
      </c>
      <c r="H1734" s="1" t="s">
        <v>10</v>
      </c>
      <c r="I1734" t="str">
        <f t="shared" si="27"/>
        <v>CHILDS GARDEN FORK PINK [22523]</v>
      </c>
    </row>
    <row r="1735" spans="1:9" x14ac:dyDescent="0.3">
      <c r="A1735" s="1">
        <v>22524</v>
      </c>
      <c r="B1735" t="s">
        <v>4411</v>
      </c>
      <c r="C1735" s="1">
        <v>1.33</v>
      </c>
      <c r="D1735" s="1">
        <v>104</v>
      </c>
      <c r="E1735" s="2">
        <v>128.333333333333</v>
      </c>
      <c r="F1735" s="1">
        <v>15</v>
      </c>
      <c r="G1735" s="1">
        <v>2713.23</v>
      </c>
      <c r="H1735" s="1" t="s">
        <v>10</v>
      </c>
      <c r="I1735" t="str">
        <f t="shared" si="27"/>
        <v>CHILDRENS GARDEN GLOVES BLUE [22524]</v>
      </c>
    </row>
    <row r="1736" spans="1:9" x14ac:dyDescent="0.3">
      <c r="A1736" s="1">
        <v>22525</v>
      </c>
      <c r="B1736" t="s">
        <v>4410</v>
      </c>
      <c r="C1736" s="1">
        <v>1.35</v>
      </c>
      <c r="D1736" s="1">
        <v>118.5</v>
      </c>
      <c r="E1736" s="1">
        <v>139</v>
      </c>
      <c r="F1736" s="1">
        <v>14</v>
      </c>
      <c r="G1736" s="1">
        <v>2748.79</v>
      </c>
      <c r="H1736" s="1" t="s">
        <v>10</v>
      </c>
      <c r="I1736" t="str">
        <f t="shared" si="27"/>
        <v>CHILDRENS GARDEN GLOVES PINK [22525]</v>
      </c>
    </row>
    <row r="1737" spans="1:9" x14ac:dyDescent="0.3">
      <c r="A1737" s="1">
        <v>22526</v>
      </c>
      <c r="B1737" t="s">
        <v>4409</v>
      </c>
      <c r="C1737" s="1">
        <v>12.75</v>
      </c>
      <c r="D1737" s="1">
        <v>9.5</v>
      </c>
      <c r="E1737" s="2">
        <v>24.727272727272702</v>
      </c>
      <c r="F1737" s="1">
        <v>22</v>
      </c>
      <c r="G1737" s="1">
        <v>6689.67</v>
      </c>
      <c r="H1737" s="1" t="s">
        <v>8</v>
      </c>
      <c r="I1737" t="str">
        <f t="shared" si="27"/>
        <v>WHEELBARROW FOR CHILDREN [22526]</v>
      </c>
    </row>
    <row r="1738" spans="1:9" x14ac:dyDescent="0.3">
      <c r="A1738" s="1">
        <v>22528</v>
      </c>
      <c r="B1738" t="s">
        <v>4408</v>
      </c>
      <c r="C1738" s="1">
        <v>1.24</v>
      </c>
      <c r="D1738" s="1">
        <v>817</v>
      </c>
      <c r="E1738" s="2">
        <v>819.57142857142799</v>
      </c>
      <c r="F1738" s="1">
        <v>7</v>
      </c>
      <c r="G1738" s="1">
        <v>7362.74</v>
      </c>
      <c r="H1738" s="1" t="s">
        <v>10</v>
      </c>
      <c r="I1738" t="str">
        <f t="shared" si="27"/>
        <v>GARDENERS KNEELING PAD [22528]</v>
      </c>
    </row>
    <row r="1739" spans="1:9" x14ac:dyDescent="0.3">
      <c r="A1739" s="1">
        <v>22529</v>
      </c>
      <c r="B1739" t="s">
        <v>4407</v>
      </c>
      <c r="C1739" s="1">
        <v>0.42</v>
      </c>
      <c r="D1739" s="1">
        <v>64</v>
      </c>
      <c r="E1739" s="2">
        <v>101.541666666666</v>
      </c>
      <c r="F1739" s="1">
        <v>22</v>
      </c>
      <c r="G1739" s="1">
        <v>984.03</v>
      </c>
      <c r="H1739" s="1" t="s">
        <v>10</v>
      </c>
      <c r="I1739" t="str">
        <f t="shared" si="27"/>
        <v>MAGIC DRAWING SLATE GO TO THE FAIR [22529]</v>
      </c>
    </row>
    <row r="1740" spans="1:9" x14ac:dyDescent="0.3">
      <c r="A1740" s="1">
        <v>22530</v>
      </c>
      <c r="B1740" t="s">
        <v>4406</v>
      </c>
      <c r="C1740" s="1">
        <v>0.42</v>
      </c>
      <c r="D1740" s="1">
        <v>266</v>
      </c>
      <c r="E1740" s="1">
        <v>402.6</v>
      </c>
      <c r="F1740" s="1">
        <v>22</v>
      </c>
      <c r="G1740" s="1">
        <v>4257.09</v>
      </c>
      <c r="H1740" s="1" t="s">
        <v>10</v>
      </c>
      <c r="I1740" t="str">
        <f t="shared" si="27"/>
        <v>MAGIC DRAWING SLATE DOLLY GIRL [22530]</v>
      </c>
    </row>
    <row r="1741" spans="1:9" x14ac:dyDescent="0.3">
      <c r="A1741" s="1">
        <v>22531</v>
      </c>
      <c r="B1741" t="s">
        <v>4405</v>
      </c>
      <c r="C1741" s="1">
        <v>0.42</v>
      </c>
      <c r="D1741" s="1">
        <v>239</v>
      </c>
      <c r="E1741" s="1">
        <v>325.44</v>
      </c>
      <c r="F1741" s="1">
        <v>22</v>
      </c>
      <c r="G1741" s="2">
        <v>3507.7599999999902</v>
      </c>
      <c r="H1741" s="1" t="s">
        <v>10</v>
      </c>
      <c r="I1741" t="str">
        <f t="shared" si="27"/>
        <v>MAGIC DRAWING SLATE CIRCUS PARADE [22531]</v>
      </c>
    </row>
    <row r="1742" spans="1:9" x14ac:dyDescent="0.3">
      <c r="A1742" s="1">
        <v>22532</v>
      </c>
      <c r="B1742" t="s">
        <v>4404</v>
      </c>
      <c r="C1742" s="1">
        <v>0.42</v>
      </c>
      <c r="D1742" s="1">
        <v>96</v>
      </c>
      <c r="E1742" s="2">
        <v>124.434782608695</v>
      </c>
      <c r="F1742" s="1">
        <v>22</v>
      </c>
      <c r="G1742" s="1">
        <v>1101.0999999999999</v>
      </c>
      <c r="H1742" s="1" t="s">
        <v>10</v>
      </c>
      <c r="I1742" t="str">
        <f t="shared" si="27"/>
        <v>MAGIC DRAWING SLATE LEAP FROG [22532]</v>
      </c>
    </row>
    <row r="1743" spans="1:9" x14ac:dyDescent="0.3">
      <c r="A1743" s="1">
        <v>22533</v>
      </c>
      <c r="B1743" t="s">
        <v>4403</v>
      </c>
      <c r="C1743" s="1">
        <v>0.42</v>
      </c>
      <c r="D1743" s="1">
        <v>187</v>
      </c>
      <c r="E1743" s="2">
        <v>196.47826086956499</v>
      </c>
      <c r="F1743" s="1">
        <v>22</v>
      </c>
      <c r="G1743" s="1">
        <v>1783.36</v>
      </c>
      <c r="H1743" s="1" t="s">
        <v>10</v>
      </c>
      <c r="I1743" t="str">
        <f t="shared" si="27"/>
        <v>MAGIC DRAWING SLATE BAKE A CAKE [22533]</v>
      </c>
    </row>
    <row r="1744" spans="1:9" x14ac:dyDescent="0.3">
      <c r="A1744" s="1">
        <v>22534</v>
      </c>
      <c r="B1744" t="s">
        <v>4402</v>
      </c>
      <c r="C1744" s="1">
        <v>0.42</v>
      </c>
      <c r="D1744" s="1">
        <v>434</v>
      </c>
      <c r="E1744" s="2">
        <v>495.80769230769198</v>
      </c>
      <c r="F1744" s="1">
        <v>22</v>
      </c>
      <c r="G1744" s="1">
        <v>5514.79</v>
      </c>
      <c r="H1744" s="1" t="s">
        <v>10</v>
      </c>
      <c r="I1744" t="str">
        <f t="shared" si="27"/>
        <v>MAGIC DRAWING SLATE SPACEBOY [22534]</v>
      </c>
    </row>
    <row r="1745" spans="1:9" x14ac:dyDescent="0.3">
      <c r="A1745" s="1">
        <v>22535</v>
      </c>
      <c r="B1745" t="s">
        <v>4401</v>
      </c>
      <c r="C1745" s="1">
        <v>0.42</v>
      </c>
      <c r="D1745" s="1">
        <v>181</v>
      </c>
      <c r="E1745" s="1">
        <v>178.16</v>
      </c>
      <c r="F1745" s="1">
        <v>22</v>
      </c>
      <c r="G1745" s="1">
        <v>1862.49</v>
      </c>
      <c r="H1745" s="1" t="s">
        <v>10</v>
      </c>
      <c r="I1745" t="str">
        <f t="shared" si="27"/>
        <v>MAGIC DRAWING SLATE BUNNIES [22535]</v>
      </c>
    </row>
    <row r="1746" spans="1:9" x14ac:dyDescent="0.3">
      <c r="A1746" s="1">
        <v>22536</v>
      </c>
      <c r="B1746" t="s">
        <v>4400</v>
      </c>
      <c r="C1746" s="1">
        <v>0.42</v>
      </c>
      <c r="D1746" s="1">
        <v>271.5</v>
      </c>
      <c r="E1746" s="2">
        <v>324.67857142857099</v>
      </c>
      <c r="F1746" s="1">
        <v>22</v>
      </c>
      <c r="G1746" s="2">
        <v>3586.24</v>
      </c>
      <c r="H1746" s="1" t="s">
        <v>10</v>
      </c>
      <c r="I1746" t="str">
        <f t="shared" si="27"/>
        <v>MAGIC DRAWING SLATE FIDO [22536]</v>
      </c>
    </row>
    <row r="1747" spans="1:9" x14ac:dyDescent="0.3">
      <c r="A1747" s="1">
        <v>22537</v>
      </c>
      <c r="B1747" t="s">
        <v>4399</v>
      </c>
      <c r="C1747" s="1">
        <v>0.43</v>
      </c>
      <c r="D1747" s="1">
        <v>164</v>
      </c>
      <c r="E1747" s="1">
        <v>234.44</v>
      </c>
      <c r="F1747" s="1">
        <v>22</v>
      </c>
      <c r="G1747" s="1">
        <v>2420.91</v>
      </c>
      <c r="H1747" s="1" t="s">
        <v>10</v>
      </c>
      <c r="I1747" t="str">
        <f t="shared" si="27"/>
        <v>MAGIC DRAWING SLATE DINOSAUR [22537]</v>
      </c>
    </row>
    <row r="1748" spans="1:9" x14ac:dyDescent="0.3">
      <c r="A1748" s="1">
        <v>22538</v>
      </c>
      <c r="B1748" t="s">
        <v>4398</v>
      </c>
      <c r="C1748" s="1">
        <v>0.43</v>
      </c>
      <c r="D1748" s="1">
        <v>51</v>
      </c>
      <c r="E1748" s="2">
        <v>68.714285714285694</v>
      </c>
      <c r="F1748" s="1">
        <v>21</v>
      </c>
      <c r="G1748" s="2">
        <v>610.42999999999995</v>
      </c>
      <c r="H1748" s="1" t="s">
        <v>9</v>
      </c>
      <c r="I1748" t="str">
        <f t="shared" si="27"/>
        <v>MINI JIGSAW GO TO THE FAIR [22538]</v>
      </c>
    </row>
    <row r="1749" spans="1:9" x14ac:dyDescent="0.3">
      <c r="A1749" s="1">
        <v>22539</v>
      </c>
      <c r="B1749" t="s">
        <v>4397</v>
      </c>
      <c r="C1749" s="1">
        <v>0.42</v>
      </c>
      <c r="D1749" s="1">
        <v>235</v>
      </c>
      <c r="E1749" s="1">
        <v>257</v>
      </c>
      <c r="F1749" s="1">
        <v>22</v>
      </c>
      <c r="G1749" s="1">
        <v>2268.13</v>
      </c>
      <c r="H1749" s="1" t="s">
        <v>10</v>
      </c>
      <c r="I1749" t="str">
        <f t="shared" si="27"/>
        <v>MINI JIGSAW DOLLY GIRL [22539]</v>
      </c>
    </row>
    <row r="1750" spans="1:9" x14ac:dyDescent="0.3">
      <c r="A1750" s="1">
        <v>22540</v>
      </c>
      <c r="B1750" t="s">
        <v>4396</v>
      </c>
      <c r="C1750" s="1">
        <v>0.42</v>
      </c>
      <c r="D1750" s="1">
        <v>191.5</v>
      </c>
      <c r="E1750" s="2">
        <v>280.09090909090901</v>
      </c>
      <c r="F1750" s="1">
        <v>22</v>
      </c>
      <c r="G1750" s="1">
        <v>2410.29</v>
      </c>
      <c r="H1750" s="1" t="s">
        <v>10</v>
      </c>
      <c r="I1750" t="str">
        <f t="shared" si="27"/>
        <v>MINI JIGSAW CIRCUS PARADE [22540]</v>
      </c>
    </row>
    <row r="1751" spans="1:9" x14ac:dyDescent="0.3">
      <c r="A1751" s="1">
        <v>22541</v>
      </c>
      <c r="B1751" t="s">
        <v>4395</v>
      </c>
      <c r="C1751" s="1">
        <v>0.43</v>
      </c>
      <c r="D1751" s="1">
        <v>24</v>
      </c>
      <c r="E1751" s="2">
        <v>59.285714285714199</v>
      </c>
      <c r="F1751" s="1">
        <v>21</v>
      </c>
      <c r="G1751" s="1">
        <v>503.92</v>
      </c>
      <c r="H1751" s="1" t="s">
        <v>9</v>
      </c>
      <c r="I1751" t="str">
        <f t="shared" si="27"/>
        <v>MINI JIGSAW LEAP FROG [22541]</v>
      </c>
    </row>
    <row r="1752" spans="1:9" x14ac:dyDescent="0.3">
      <c r="A1752" s="1">
        <v>22543</v>
      </c>
      <c r="B1752" t="s">
        <v>4394</v>
      </c>
      <c r="C1752" s="1">
        <v>0.42</v>
      </c>
      <c r="D1752" s="1">
        <v>71</v>
      </c>
      <c r="E1752" s="2">
        <v>154.619047619047</v>
      </c>
      <c r="F1752" s="1">
        <v>21</v>
      </c>
      <c r="G1752" s="1">
        <v>1281.49</v>
      </c>
      <c r="H1752" s="1" t="s">
        <v>10</v>
      </c>
      <c r="I1752" t="str">
        <f t="shared" si="27"/>
        <v>MINI JIGSAW BAKE A CAKE [22543]</v>
      </c>
    </row>
    <row r="1753" spans="1:9" x14ac:dyDescent="0.3">
      <c r="A1753" s="1">
        <v>22544</v>
      </c>
      <c r="B1753" t="s">
        <v>4393</v>
      </c>
      <c r="C1753" s="1">
        <v>0.42</v>
      </c>
      <c r="D1753" s="1">
        <v>396</v>
      </c>
      <c r="E1753" s="2">
        <v>426.45454545454498</v>
      </c>
      <c r="F1753" s="1">
        <v>22</v>
      </c>
      <c r="G1753" s="1">
        <v>3756.52</v>
      </c>
      <c r="H1753" s="1" t="s">
        <v>10</v>
      </c>
      <c r="I1753" t="str">
        <f t="shared" si="27"/>
        <v>MINI JIGSAW SPACEBOY [22544]</v>
      </c>
    </row>
    <row r="1754" spans="1:9" x14ac:dyDescent="0.3">
      <c r="A1754" s="1">
        <v>22545</v>
      </c>
      <c r="B1754" t="s">
        <v>4392</v>
      </c>
      <c r="C1754" s="1">
        <v>0.43</v>
      </c>
      <c r="D1754" s="1">
        <v>76</v>
      </c>
      <c r="E1754" s="2">
        <v>127.814814814814</v>
      </c>
      <c r="F1754" s="1">
        <v>22</v>
      </c>
      <c r="G1754" s="1">
        <v>1421.06</v>
      </c>
      <c r="H1754" s="1" t="s">
        <v>10</v>
      </c>
      <c r="I1754" t="str">
        <f t="shared" si="27"/>
        <v>MINI JIGSAW BUNNIES [22545]</v>
      </c>
    </row>
    <row r="1755" spans="1:9" x14ac:dyDescent="0.3">
      <c r="A1755" s="1">
        <v>22546</v>
      </c>
      <c r="B1755" t="s">
        <v>4391</v>
      </c>
      <c r="C1755" s="1">
        <v>0.42</v>
      </c>
      <c r="D1755" s="1">
        <v>127</v>
      </c>
      <c r="E1755" s="1">
        <v>175</v>
      </c>
      <c r="F1755" s="1">
        <v>22</v>
      </c>
      <c r="G1755" s="1">
        <v>1760.8</v>
      </c>
      <c r="H1755" s="1" t="s">
        <v>10</v>
      </c>
      <c r="I1755" t="str">
        <f t="shared" si="27"/>
        <v>MINI JIGSAW FIDO [22546]</v>
      </c>
    </row>
    <row r="1756" spans="1:9" x14ac:dyDescent="0.3">
      <c r="A1756" s="1">
        <v>22547</v>
      </c>
      <c r="B1756" t="s">
        <v>4390</v>
      </c>
      <c r="C1756" s="1">
        <v>0.44</v>
      </c>
      <c r="D1756" s="1">
        <v>77</v>
      </c>
      <c r="E1756" s="1">
        <v>90</v>
      </c>
      <c r="F1756" s="1">
        <v>22</v>
      </c>
      <c r="G1756" s="2">
        <v>846.81999999999903</v>
      </c>
      <c r="H1756" s="1" t="s">
        <v>10</v>
      </c>
      <c r="I1756" t="str">
        <f t="shared" si="27"/>
        <v>MINI JIGSAW DINOSAUR [22547]</v>
      </c>
    </row>
    <row r="1757" spans="1:9" x14ac:dyDescent="0.3">
      <c r="A1757" s="1">
        <v>22548</v>
      </c>
      <c r="B1757" t="s">
        <v>4389</v>
      </c>
      <c r="C1757" s="1">
        <v>1.28</v>
      </c>
      <c r="D1757" s="1">
        <v>115</v>
      </c>
      <c r="E1757" s="2">
        <v>167.90476190476099</v>
      </c>
      <c r="F1757" s="1">
        <v>21</v>
      </c>
      <c r="G1757" s="1">
        <v>4404.3100000000004</v>
      </c>
      <c r="H1757" s="1" t="s">
        <v>10</v>
      </c>
      <c r="I1757" t="str">
        <f t="shared" si="27"/>
        <v>HEADS AND TAILS SPORTING FUN [22548]</v>
      </c>
    </row>
    <row r="1758" spans="1:9" x14ac:dyDescent="0.3">
      <c r="A1758" s="1">
        <v>22549</v>
      </c>
      <c r="B1758" t="s">
        <v>4388</v>
      </c>
      <c r="C1758" s="1">
        <v>1.5049999999999999</v>
      </c>
      <c r="D1758" s="1">
        <v>270</v>
      </c>
      <c r="E1758" s="2">
        <v>296.40909090909003</v>
      </c>
      <c r="F1758" s="1">
        <v>22</v>
      </c>
      <c r="G1758" s="1">
        <v>9718.41</v>
      </c>
      <c r="H1758" s="1" t="s">
        <v>10</v>
      </c>
      <c r="I1758" t="str">
        <f t="shared" si="27"/>
        <v>PICTURE DOMINOES [22549]</v>
      </c>
    </row>
    <row r="1759" spans="1:9" x14ac:dyDescent="0.3">
      <c r="A1759" s="1">
        <v>22550</v>
      </c>
      <c r="B1759" t="s">
        <v>4387</v>
      </c>
      <c r="C1759" s="1">
        <v>3.7949999999999999</v>
      </c>
      <c r="D1759" s="1">
        <v>85</v>
      </c>
      <c r="E1759" s="2">
        <v>93.545454545454504</v>
      </c>
      <c r="F1759" s="1">
        <v>22</v>
      </c>
      <c r="G1759" s="1">
        <v>7669.64</v>
      </c>
      <c r="H1759" s="1" t="s">
        <v>10</v>
      </c>
      <c r="I1759" t="str">
        <f t="shared" si="27"/>
        <v>HOLIDAY FUN LUDO [22550]</v>
      </c>
    </row>
    <row r="1760" spans="1:9" x14ac:dyDescent="0.3">
      <c r="A1760" s="1">
        <v>22551</v>
      </c>
      <c r="B1760" t="s">
        <v>4386</v>
      </c>
      <c r="C1760" s="2">
        <v>1.615</v>
      </c>
      <c r="D1760" s="1">
        <v>633</v>
      </c>
      <c r="E1760" s="2">
        <v>701.86363636363603</v>
      </c>
      <c r="F1760" s="1">
        <v>22</v>
      </c>
      <c r="G1760" s="1">
        <v>25912.87</v>
      </c>
      <c r="H1760" s="1" t="s">
        <v>10</v>
      </c>
      <c r="I1760" t="str">
        <f t="shared" si="27"/>
        <v>PLASTERS IN TIN SPACEBOY [22551]</v>
      </c>
    </row>
    <row r="1761" spans="1:9" x14ac:dyDescent="0.3">
      <c r="A1761" s="1">
        <v>22553</v>
      </c>
      <c r="B1761" t="s">
        <v>4385</v>
      </c>
      <c r="C1761" s="1">
        <v>1.66</v>
      </c>
      <c r="D1761" s="1">
        <v>322.5</v>
      </c>
      <c r="E1761" s="2">
        <v>354.27272727272702</v>
      </c>
      <c r="F1761" s="1">
        <v>22</v>
      </c>
      <c r="G1761" s="1">
        <v>13013.15</v>
      </c>
      <c r="H1761" s="1" t="s">
        <v>10</v>
      </c>
      <c r="I1761" t="str">
        <f t="shared" si="27"/>
        <v>PLASTERS IN TIN SKULLS [22553]</v>
      </c>
    </row>
    <row r="1762" spans="1:9" x14ac:dyDescent="0.3">
      <c r="A1762" s="1">
        <v>22554</v>
      </c>
      <c r="B1762" t="s">
        <v>4384</v>
      </c>
      <c r="C1762" s="2">
        <v>1.63499999999999</v>
      </c>
      <c r="D1762" s="1">
        <v>647.5</v>
      </c>
      <c r="E1762" s="2">
        <v>617.63636363636294</v>
      </c>
      <c r="F1762" s="1">
        <v>22</v>
      </c>
      <c r="G1762" s="1">
        <v>22853.72</v>
      </c>
      <c r="H1762" s="1" t="s">
        <v>10</v>
      </c>
      <c r="I1762" t="str">
        <f t="shared" si="27"/>
        <v>PLASTERS IN TIN WOODLAND ANIMALS [22554]</v>
      </c>
    </row>
    <row r="1763" spans="1:9" x14ac:dyDescent="0.3">
      <c r="A1763" s="1">
        <v>22555</v>
      </c>
      <c r="B1763" t="s">
        <v>4383</v>
      </c>
      <c r="C1763" s="1">
        <v>1.65</v>
      </c>
      <c r="D1763" s="1">
        <v>383</v>
      </c>
      <c r="E1763" s="1">
        <v>461.96</v>
      </c>
      <c r="F1763" s="1">
        <v>22</v>
      </c>
      <c r="G1763" s="1">
        <v>18680.32</v>
      </c>
      <c r="H1763" s="1" t="s">
        <v>10</v>
      </c>
      <c r="I1763" t="str">
        <f t="shared" si="27"/>
        <v>PLASTERS IN TIN STRONGMAN [22555]</v>
      </c>
    </row>
    <row r="1764" spans="1:9" x14ac:dyDescent="0.3">
      <c r="A1764" s="1">
        <v>22556</v>
      </c>
      <c r="B1764" t="s">
        <v>4382</v>
      </c>
      <c r="C1764" s="1">
        <v>1.645</v>
      </c>
      <c r="D1764" s="1">
        <v>482</v>
      </c>
      <c r="E1764" s="1">
        <v>617.5</v>
      </c>
      <c r="F1764" s="1">
        <v>22</v>
      </c>
      <c r="G1764" s="1">
        <v>22334.080000000002</v>
      </c>
      <c r="H1764" s="1" t="s">
        <v>10</v>
      </c>
      <c r="I1764" t="str">
        <f t="shared" si="27"/>
        <v>PLASTERS IN TIN CIRCUS PARADE [22556]</v>
      </c>
    </row>
    <row r="1765" spans="1:9" x14ac:dyDescent="0.3">
      <c r="A1765" s="1">
        <v>22557</v>
      </c>
      <c r="B1765" t="s">
        <v>4381</v>
      </c>
      <c r="C1765" s="2">
        <v>1.65499999999999</v>
      </c>
      <c r="D1765" s="1">
        <v>437.5</v>
      </c>
      <c r="E1765" s="2">
        <v>471.31818181818102</v>
      </c>
      <c r="F1765" s="1">
        <v>22</v>
      </c>
      <c r="G1765" s="1">
        <v>17401.3</v>
      </c>
      <c r="H1765" s="1" t="s">
        <v>10</v>
      </c>
      <c r="I1765" t="str">
        <f t="shared" si="27"/>
        <v>PLASTERS IN TIN VINTAGE PAISLEY [22557]</v>
      </c>
    </row>
    <row r="1766" spans="1:9" x14ac:dyDescent="0.3">
      <c r="A1766" s="1">
        <v>22558</v>
      </c>
      <c r="B1766" t="s">
        <v>4380</v>
      </c>
      <c r="C1766" s="1">
        <v>1.55</v>
      </c>
      <c r="D1766" s="1">
        <v>635</v>
      </c>
      <c r="E1766" s="2">
        <v>726.78947368420995</v>
      </c>
      <c r="F1766" s="1">
        <v>19</v>
      </c>
      <c r="G1766" s="1">
        <v>19513.169999999998</v>
      </c>
      <c r="H1766" s="1" t="s">
        <v>10</v>
      </c>
      <c r="I1766" t="str">
        <f t="shared" si="27"/>
        <v>CLOTHES PEGS RETROSPOT PACK 24 [22558]</v>
      </c>
    </row>
    <row r="1767" spans="1:9" x14ac:dyDescent="0.3">
      <c r="A1767" s="1">
        <v>22559</v>
      </c>
      <c r="B1767" t="s">
        <v>4379</v>
      </c>
      <c r="C1767" s="1">
        <v>1.29</v>
      </c>
      <c r="D1767" s="1">
        <v>38</v>
      </c>
      <c r="E1767" s="1">
        <v>63.32</v>
      </c>
      <c r="F1767" s="1">
        <v>22</v>
      </c>
      <c r="G1767" s="2">
        <v>1986.87</v>
      </c>
      <c r="H1767" s="1" t="s">
        <v>9</v>
      </c>
      <c r="I1767" t="str">
        <f t="shared" si="27"/>
        <v>SEASIDE FRISBEE [22559]</v>
      </c>
    </row>
    <row r="1768" spans="1:9" x14ac:dyDescent="0.3">
      <c r="A1768" s="1">
        <v>22560</v>
      </c>
      <c r="B1768" t="s">
        <v>4378</v>
      </c>
      <c r="C1768" s="1">
        <v>1.1850000000000001</v>
      </c>
      <c r="D1768" s="1">
        <v>610</v>
      </c>
      <c r="E1768" s="2">
        <v>674.36363636363603</v>
      </c>
      <c r="F1768" s="1">
        <v>22</v>
      </c>
      <c r="G1768" s="1">
        <v>17861.71</v>
      </c>
      <c r="H1768" s="1" t="s">
        <v>10</v>
      </c>
      <c r="I1768" t="str">
        <f t="shared" si="27"/>
        <v>TRADITIONAL MODELLING CLAY [22560]</v>
      </c>
    </row>
    <row r="1769" spans="1:9" x14ac:dyDescent="0.3">
      <c r="A1769" s="1">
        <v>22561</v>
      </c>
      <c r="B1769" t="s">
        <v>4377</v>
      </c>
      <c r="C1769" s="1">
        <v>1.64</v>
      </c>
      <c r="D1769" s="1">
        <v>525.5</v>
      </c>
      <c r="E1769" s="2">
        <v>529.18181818181802</v>
      </c>
      <c r="F1769" s="1">
        <v>22</v>
      </c>
      <c r="G1769" s="1">
        <v>19524.27</v>
      </c>
      <c r="H1769" s="1" t="s">
        <v>10</v>
      </c>
      <c r="I1769" t="str">
        <f t="shared" si="27"/>
        <v>WOODEN SCHOOL COLOURING SET [22561]</v>
      </c>
    </row>
    <row r="1770" spans="1:9" x14ac:dyDescent="0.3">
      <c r="A1770" s="1">
        <v>22562</v>
      </c>
      <c r="B1770" t="s">
        <v>4376</v>
      </c>
      <c r="C1770" s="1">
        <v>1.25</v>
      </c>
      <c r="D1770" s="1">
        <v>121</v>
      </c>
      <c r="E1770" s="2">
        <v>180.81818181818099</v>
      </c>
      <c r="F1770" s="1">
        <v>22</v>
      </c>
      <c r="G1770" s="1">
        <v>4682.3</v>
      </c>
      <c r="H1770" s="1" t="s">
        <v>10</v>
      </c>
      <c r="I1770" t="str">
        <f t="shared" si="27"/>
        <v>MONSTERS STENCIL CRAFT [22562]</v>
      </c>
    </row>
    <row r="1771" spans="1:9" x14ac:dyDescent="0.3">
      <c r="A1771" s="1">
        <v>22563</v>
      </c>
      <c r="B1771" t="s">
        <v>4375</v>
      </c>
      <c r="C1771" s="1">
        <v>1.21</v>
      </c>
      <c r="D1771" s="1">
        <v>237</v>
      </c>
      <c r="E1771" s="2">
        <v>270.09090909090901</v>
      </c>
      <c r="F1771" s="1">
        <v>22</v>
      </c>
      <c r="G1771" s="1">
        <v>6923.85</v>
      </c>
      <c r="H1771" s="1" t="s">
        <v>10</v>
      </c>
      <c r="I1771" t="str">
        <f t="shared" si="27"/>
        <v>HAPPY STENCIL CRAFT [22563]</v>
      </c>
    </row>
    <row r="1772" spans="1:9" x14ac:dyDescent="0.3">
      <c r="A1772" s="1">
        <v>22564</v>
      </c>
      <c r="B1772" t="s">
        <v>4374</v>
      </c>
      <c r="C1772" s="1">
        <v>1.25</v>
      </c>
      <c r="D1772" s="1">
        <v>119</v>
      </c>
      <c r="E1772" s="2">
        <v>207.72727272727201</v>
      </c>
      <c r="F1772" s="1">
        <v>22</v>
      </c>
      <c r="G1772" s="1">
        <v>5221.3999999999996</v>
      </c>
      <c r="H1772" s="1" t="s">
        <v>10</v>
      </c>
      <c r="I1772" t="str">
        <f t="shared" si="27"/>
        <v>ALPHABET STENCIL CRAFT [22564]</v>
      </c>
    </row>
    <row r="1773" spans="1:9" x14ac:dyDescent="0.3">
      <c r="A1773" s="1">
        <v>22565</v>
      </c>
      <c r="B1773" t="s">
        <v>4373</v>
      </c>
      <c r="C1773" s="1">
        <v>0.87</v>
      </c>
      <c r="D1773" s="1">
        <v>74</v>
      </c>
      <c r="E1773" s="2">
        <v>86.9166666666666</v>
      </c>
      <c r="F1773" s="1">
        <v>22</v>
      </c>
      <c r="G1773" s="1">
        <v>1902.19</v>
      </c>
      <c r="H1773" s="1" t="s">
        <v>10</v>
      </c>
      <c r="I1773" t="str">
        <f t="shared" si="27"/>
        <v>FELTCRAFT HAIRBANDS PINK + WHITE [22565]</v>
      </c>
    </row>
    <row r="1774" spans="1:9" x14ac:dyDescent="0.3">
      <c r="A1774" s="1">
        <v>22566</v>
      </c>
      <c r="B1774" t="s">
        <v>4372</v>
      </c>
      <c r="C1774" s="1">
        <v>0.87</v>
      </c>
      <c r="D1774" s="1">
        <v>46</v>
      </c>
      <c r="E1774" s="2">
        <v>105.037037037037</v>
      </c>
      <c r="F1774" s="1">
        <v>22</v>
      </c>
      <c r="G1774" s="1">
        <v>2373.8200000000002</v>
      </c>
      <c r="H1774" s="1" t="s">
        <v>9</v>
      </c>
      <c r="I1774" t="str">
        <f t="shared" si="27"/>
        <v>FELTCRAFT HAIRBAND PINK AND PURPLE [22566]</v>
      </c>
    </row>
    <row r="1775" spans="1:9" x14ac:dyDescent="0.3">
      <c r="A1775" s="1">
        <v>22567</v>
      </c>
      <c r="B1775" t="s">
        <v>4371</v>
      </c>
      <c r="C1775" s="1">
        <v>1.28</v>
      </c>
      <c r="D1775" s="1">
        <v>255</v>
      </c>
      <c r="E1775" s="2">
        <v>264.809523809523</v>
      </c>
      <c r="F1775" s="1">
        <v>21</v>
      </c>
      <c r="G1775" s="1">
        <v>6955.83</v>
      </c>
      <c r="H1775" s="1" t="s">
        <v>10</v>
      </c>
      <c r="I1775" t="str">
        <f t="shared" si="27"/>
        <v>20 DOLLY PEGS RETROSPOT [22567]</v>
      </c>
    </row>
    <row r="1776" spans="1:9" x14ac:dyDescent="0.3">
      <c r="A1776" s="1">
        <v>22568</v>
      </c>
      <c r="B1776" t="s">
        <v>4370</v>
      </c>
      <c r="C1776" s="1">
        <v>3.7450000000000001</v>
      </c>
      <c r="D1776" s="1">
        <v>196</v>
      </c>
      <c r="E1776" s="2">
        <v>249.04545454545399</v>
      </c>
      <c r="F1776" s="1">
        <v>22</v>
      </c>
      <c r="G1776" s="1">
        <v>20244.97</v>
      </c>
      <c r="H1776" s="1" t="s">
        <v>10</v>
      </c>
      <c r="I1776" t="str">
        <f t="shared" si="27"/>
        <v>FELTCRAFT CUSHION OWL [22568]</v>
      </c>
    </row>
    <row r="1777" spans="1:9" x14ac:dyDescent="0.3">
      <c r="A1777" s="1">
        <v>22569</v>
      </c>
      <c r="B1777" t="s">
        <v>4369</v>
      </c>
      <c r="C1777" s="1">
        <v>3.74</v>
      </c>
      <c r="D1777" s="1">
        <v>235</v>
      </c>
      <c r="E1777" s="1">
        <v>276.05</v>
      </c>
      <c r="F1777" s="1">
        <v>20</v>
      </c>
      <c r="G1777" s="1">
        <v>20104.43</v>
      </c>
      <c r="H1777" s="1" t="s">
        <v>10</v>
      </c>
      <c r="I1777" t="str">
        <f t="shared" si="27"/>
        <v>FELTCRAFT CUSHION BUTTERFLY [22569]</v>
      </c>
    </row>
    <row r="1778" spans="1:9" x14ac:dyDescent="0.3">
      <c r="A1778" s="1">
        <v>22570</v>
      </c>
      <c r="B1778" t="s">
        <v>4368</v>
      </c>
      <c r="C1778" s="1">
        <v>3.71</v>
      </c>
      <c r="D1778" s="1">
        <v>253</v>
      </c>
      <c r="E1778" s="2">
        <v>268.142857142857</v>
      </c>
      <c r="F1778" s="1">
        <v>21</v>
      </c>
      <c r="G1778" s="1">
        <v>20901.099999999999</v>
      </c>
      <c r="H1778" s="1" t="s">
        <v>10</v>
      </c>
      <c r="I1778" t="str">
        <f t="shared" si="27"/>
        <v>FELTCRAFT CUSHION RABBIT [22570]</v>
      </c>
    </row>
    <row r="1779" spans="1:9" x14ac:dyDescent="0.3">
      <c r="A1779" s="1">
        <v>22571</v>
      </c>
      <c r="B1779" t="s">
        <v>4367</v>
      </c>
      <c r="C1779" s="1">
        <v>0.87</v>
      </c>
      <c r="D1779" s="1">
        <v>220</v>
      </c>
      <c r="E1779" s="2">
        <v>412.85714285714198</v>
      </c>
      <c r="F1779" s="1">
        <v>14</v>
      </c>
      <c r="G1779" s="1">
        <v>5135.24</v>
      </c>
      <c r="H1779" s="1" t="s">
        <v>10</v>
      </c>
      <c r="I1779" t="str">
        <f t="shared" si="27"/>
        <v>ROCKING HORSE RED CHRISTMAS [22571]</v>
      </c>
    </row>
    <row r="1780" spans="1:9" x14ac:dyDescent="0.3">
      <c r="A1780" s="1">
        <v>22572</v>
      </c>
      <c r="B1780" t="s">
        <v>4366</v>
      </c>
      <c r="C1780" s="1">
        <v>0.88</v>
      </c>
      <c r="D1780" s="1">
        <v>142</v>
      </c>
      <c r="E1780" s="2">
        <v>245.642857142857</v>
      </c>
      <c r="F1780" s="1">
        <v>14</v>
      </c>
      <c r="G1780" s="1">
        <v>3087.18</v>
      </c>
      <c r="H1780" s="1" t="s">
        <v>10</v>
      </c>
      <c r="I1780" t="str">
        <f t="shared" si="27"/>
        <v>ROCKING HORSE GREEN CHRISTMAS [22572]</v>
      </c>
    </row>
    <row r="1781" spans="1:9" x14ac:dyDescent="0.3">
      <c r="A1781" s="1">
        <v>22573</v>
      </c>
      <c r="B1781" t="s">
        <v>4365</v>
      </c>
      <c r="C1781" s="1">
        <v>0.91</v>
      </c>
      <c r="D1781" s="1">
        <v>288</v>
      </c>
      <c r="E1781" s="2">
        <v>327.13333333333298</v>
      </c>
      <c r="F1781" s="1">
        <v>15</v>
      </c>
      <c r="G1781" s="1">
        <v>4403.83</v>
      </c>
      <c r="H1781" s="1" t="s">
        <v>10</v>
      </c>
      <c r="I1781" t="str">
        <f t="shared" si="27"/>
        <v>STAR WOODEN CHRISTMAS DECORATION [22573]</v>
      </c>
    </row>
    <row r="1782" spans="1:9" x14ac:dyDescent="0.3">
      <c r="A1782" s="1">
        <v>22574</v>
      </c>
      <c r="B1782" t="s">
        <v>4364</v>
      </c>
      <c r="C1782" s="1">
        <v>0.94</v>
      </c>
      <c r="D1782" s="1">
        <v>192</v>
      </c>
      <c r="E1782" s="2">
        <v>298.47058823529397</v>
      </c>
      <c r="F1782" s="1">
        <v>17</v>
      </c>
      <c r="G1782" s="1">
        <v>4629.17</v>
      </c>
      <c r="H1782" s="1" t="s">
        <v>10</v>
      </c>
      <c r="I1782" t="str">
        <f t="shared" si="27"/>
        <v>HEART WOODEN CHRISTMAS DECORATION [22574]</v>
      </c>
    </row>
    <row r="1783" spans="1:9" x14ac:dyDescent="0.3">
      <c r="A1783" s="1">
        <v>22575</v>
      </c>
      <c r="B1783" t="s">
        <v>4363</v>
      </c>
      <c r="C1783" s="1">
        <v>1.95</v>
      </c>
      <c r="D1783" s="1">
        <v>112</v>
      </c>
      <c r="E1783" s="2">
        <v>239.461538461538</v>
      </c>
      <c r="F1783" s="1">
        <v>13</v>
      </c>
      <c r="G1783" s="1">
        <v>6699.71</v>
      </c>
      <c r="H1783" s="1" t="s">
        <v>10</v>
      </c>
      <c r="I1783" t="str">
        <f t="shared" si="27"/>
        <v>METAL MERRY CHRISTMAS WREATH [22575]</v>
      </c>
    </row>
    <row r="1784" spans="1:9" x14ac:dyDescent="0.3">
      <c r="A1784" s="1">
        <v>22576</v>
      </c>
      <c r="B1784" t="s">
        <v>4362</v>
      </c>
      <c r="C1784" s="1">
        <v>0.88</v>
      </c>
      <c r="D1784" s="1">
        <v>158</v>
      </c>
      <c r="E1784" s="1">
        <v>208.8</v>
      </c>
      <c r="F1784" s="1">
        <v>15</v>
      </c>
      <c r="G1784" s="1">
        <v>2835.08</v>
      </c>
      <c r="H1784" s="1" t="s">
        <v>10</v>
      </c>
      <c r="I1784" t="str">
        <f t="shared" si="27"/>
        <v>SWALLOW WOODEN CHRISTMAS DECORATION [22576]</v>
      </c>
    </row>
    <row r="1785" spans="1:9" x14ac:dyDescent="0.3">
      <c r="A1785" s="1">
        <v>22577</v>
      </c>
      <c r="B1785" t="s">
        <v>4361</v>
      </c>
      <c r="C1785" s="1">
        <v>0.85</v>
      </c>
      <c r="D1785" s="1">
        <v>179</v>
      </c>
      <c r="E1785" s="2">
        <v>738.05263157894694</v>
      </c>
      <c r="F1785" s="1">
        <v>18</v>
      </c>
      <c r="G1785" s="1">
        <v>7154.53</v>
      </c>
      <c r="H1785" s="1" t="s">
        <v>10</v>
      </c>
      <c r="I1785" t="str">
        <f t="shared" si="27"/>
        <v>WOODEN HEART CHRISTMAS SCANDINAVIAN [22577]</v>
      </c>
    </row>
    <row r="1786" spans="1:9" x14ac:dyDescent="0.3">
      <c r="A1786" s="1">
        <v>22578</v>
      </c>
      <c r="B1786" t="s">
        <v>4360</v>
      </c>
      <c r="C1786" s="1">
        <v>0.85</v>
      </c>
      <c r="D1786" s="1">
        <v>305</v>
      </c>
      <c r="E1786" s="1">
        <v>886.8</v>
      </c>
      <c r="F1786" s="1">
        <v>13</v>
      </c>
      <c r="G1786" s="1">
        <v>6419.24</v>
      </c>
      <c r="H1786" s="1" t="s">
        <v>10</v>
      </c>
      <c r="I1786" t="str">
        <f t="shared" si="27"/>
        <v>WOODEN STAR CHRISTMAS SCANDINAVIAN [22578]</v>
      </c>
    </row>
    <row r="1787" spans="1:9" x14ac:dyDescent="0.3">
      <c r="A1787" s="1">
        <v>22579</v>
      </c>
      <c r="B1787" t="s">
        <v>4359</v>
      </c>
      <c r="C1787" s="1">
        <v>0.85</v>
      </c>
      <c r="D1787" s="1">
        <v>112</v>
      </c>
      <c r="E1787" s="1">
        <v>447</v>
      </c>
      <c r="F1787" s="1">
        <v>13</v>
      </c>
      <c r="G1787" s="1">
        <v>3797.28</v>
      </c>
      <c r="H1787" s="1" t="s">
        <v>10</v>
      </c>
      <c r="I1787" t="str">
        <f t="shared" si="27"/>
        <v>WOODEN TREE CHRISTMAS SCANDINAVIAN [22579]</v>
      </c>
    </row>
    <row r="1788" spans="1:9" x14ac:dyDescent="0.3">
      <c r="A1788" s="1">
        <v>22580</v>
      </c>
      <c r="B1788" t="s">
        <v>4358</v>
      </c>
      <c r="C1788" s="1">
        <v>5.95</v>
      </c>
      <c r="D1788" s="1">
        <v>75</v>
      </c>
      <c r="E1788" s="1">
        <v>154.80000000000001</v>
      </c>
      <c r="F1788" s="1">
        <v>15</v>
      </c>
      <c r="G1788" s="1">
        <v>13141.08</v>
      </c>
      <c r="H1788" s="1" t="s">
        <v>10</v>
      </c>
      <c r="I1788" t="str">
        <f t="shared" si="27"/>
        <v>ADVENT CALENDAR GINGHAM SACK [22580]</v>
      </c>
    </row>
    <row r="1789" spans="1:9" x14ac:dyDescent="0.3">
      <c r="A1789" s="1">
        <v>22581</v>
      </c>
      <c r="B1789" t="s">
        <v>4357</v>
      </c>
      <c r="C1789" s="1">
        <v>0.85</v>
      </c>
      <c r="D1789" s="1">
        <v>278</v>
      </c>
      <c r="E1789" s="2">
        <v>274.230769230769</v>
      </c>
      <c r="F1789" s="1">
        <v>13</v>
      </c>
      <c r="G1789" s="1">
        <v>2852.63</v>
      </c>
      <c r="H1789" s="1" t="s">
        <v>10</v>
      </c>
      <c r="I1789" t="str">
        <f t="shared" si="27"/>
        <v>WOOD STOCKING CHRISTMAS SCANDISPOT [22581]</v>
      </c>
    </row>
    <row r="1790" spans="1:9" x14ac:dyDescent="0.3">
      <c r="A1790" s="1">
        <v>22582</v>
      </c>
      <c r="B1790" t="s">
        <v>4356</v>
      </c>
      <c r="C1790" s="1">
        <v>2.58</v>
      </c>
      <c r="D1790" s="1">
        <v>91</v>
      </c>
      <c r="E1790" s="2">
        <v>114.636363636363</v>
      </c>
      <c r="F1790" s="1">
        <v>22</v>
      </c>
      <c r="G1790" s="2">
        <v>6324.7699999999904</v>
      </c>
      <c r="H1790" s="1" t="s">
        <v>10</v>
      </c>
      <c r="I1790" t="str">
        <f t="shared" si="27"/>
        <v>PACK OF 6 SWEETIE GIFT BOXES [22582]</v>
      </c>
    </row>
    <row r="1791" spans="1:9" x14ac:dyDescent="0.3">
      <c r="A1791" s="1">
        <v>22583</v>
      </c>
      <c r="B1791" t="s">
        <v>4355</v>
      </c>
      <c r="C1791" s="2">
        <v>2.6549999999999998</v>
      </c>
      <c r="D1791" s="1">
        <v>68</v>
      </c>
      <c r="E1791" s="2">
        <v>85.136363636363598</v>
      </c>
      <c r="F1791" s="1">
        <v>22</v>
      </c>
      <c r="G1791" s="1">
        <v>4955.75</v>
      </c>
      <c r="H1791" s="1" t="s">
        <v>10</v>
      </c>
      <c r="I1791" t="str">
        <f t="shared" si="27"/>
        <v>PACK OF 6 HANDBAG GIFT BOXES [22583]</v>
      </c>
    </row>
    <row r="1792" spans="1:9" x14ac:dyDescent="0.3">
      <c r="A1792" s="1">
        <v>22584</v>
      </c>
      <c r="B1792" t="s">
        <v>4354</v>
      </c>
      <c r="C1792" s="1">
        <v>2.58</v>
      </c>
      <c r="D1792" s="1">
        <v>239</v>
      </c>
      <c r="E1792" s="2">
        <v>227.04347826086899</v>
      </c>
      <c r="F1792" s="1">
        <v>22</v>
      </c>
      <c r="G1792" s="1">
        <v>13287.78</v>
      </c>
      <c r="H1792" s="1" t="s">
        <v>10</v>
      </c>
      <c r="I1792" t="str">
        <f t="shared" si="27"/>
        <v>PACK OF 6 PANNETONE GIFT BOXES [22584]</v>
      </c>
    </row>
    <row r="1793" spans="1:9" x14ac:dyDescent="0.3">
      <c r="A1793" s="1">
        <v>22585</v>
      </c>
      <c r="B1793" t="s">
        <v>4353</v>
      </c>
      <c r="C1793" s="1">
        <v>1.22</v>
      </c>
      <c r="D1793" s="1">
        <v>700.5</v>
      </c>
      <c r="E1793" s="2">
        <v>798.04545454545405</v>
      </c>
      <c r="F1793" s="1">
        <v>22</v>
      </c>
      <c r="G1793" s="1">
        <v>21977.3</v>
      </c>
      <c r="H1793" s="1" t="s">
        <v>10</v>
      </c>
      <c r="I1793" t="str">
        <f t="shared" si="27"/>
        <v>PACK OF 6 BIRDY GIFT TAGS [22585]</v>
      </c>
    </row>
    <row r="1794" spans="1:9" x14ac:dyDescent="0.3">
      <c r="A1794" s="1">
        <v>22586</v>
      </c>
      <c r="B1794" t="s">
        <v>4352</v>
      </c>
      <c r="C1794" s="1">
        <v>0.87</v>
      </c>
      <c r="D1794" s="1">
        <v>69.5</v>
      </c>
      <c r="E1794" s="2">
        <v>94.863636363636303</v>
      </c>
      <c r="F1794" s="1">
        <v>22</v>
      </c>
      <c r="G1794" s="2">
        <v>1815.1399999999901</v>
      </c>
      <c r="H1794" s="1" t="s">
        <v>10</v>
      </c>
      <c r="I1794" t="str">
        <f t="shared" si="27"/>
        <v>FELTCRAFT HAIRBAND PINK AND BLUE [22586]</v>
      </c>
    </row>
    <row r="1795" spans="1:9" x14ac:dyDescent="0.3">
      <c r="A1795" s="1">
        <v>22587</v>
      </c>
      <c r="B1795" t="s">
        <v>4351</v>
      </c>
      <c r="C1795" s="1">
        <v>0.87</v>
      </c>
      <c r="D1795" s="1">
        <v>61.5</v>
      </c>
      <c r="E1795" s="2">
        <v>81.230769230769198</v>
      </c>
      <c r="F1795" s="1">
        <v>22</v>
      </c>
      <c r="G1795" s="1">
        <v>1841.19</v>
      </c>
      <c r="H1795" s="1" t="s">
        <v>10</v>
      </c>
      <c r="I1795" t="str">
        <f t="shared" ref="I1795:I1858" si="28">B1795&amp;" ["&amp;A1795&amp;"]"</f>
        <v>FELTCRAFT HAIRBAND RED AND BLUE [22587]</v>
      </c>
    </row>
    <row r="1796" spans="1:9" x14ac:dyDescent="0.3">
      <c r="A1796" s="1">
        <v>22588</v>
      </c>
      <c r="B1796" t="s">
        <v>4350</v>
      </c>
      <c r="C1796" s="1">
        <v>2.9249999999999998</v>
      </c>
      <c r="D1796" s="1">
        <v>99</v>
      </c>
      <c r="E1796" s="1">
        <v>178.0625</v>
      </c>
      <c r="F1796" s="1">
        <v>15</v>
      </c>
      <c r="G1796" s="1">
        <v>7776.84</v>
      </c>
      <c r="H1796" s="1" t="s">
        <v>10</v>
      </c>
      <c r="I1796" t="str">
        <f t="shared" si="28"/>
        <v>CARD HOLDER GINGHAM HEART [22588]</v>
      </c>
    </row>
    <row r="1797" spans="1:9" x14ac:dyDescent="0.3">
      <c r="A1797" s="1">
        <v>22589</v>
      </c>
      <c r="B1797" t="s">
        <v>4349</v>
      </c>
      <c r="C1797" s="1">
        <v>2.58</v>
      </c>
      <c r="D1797" s="1">
        <v>86</v>
      </c>
      <c r="E1797" s="2">
        <v>101.30769230769199</v>
      </c>
      <c r="F1797" s="1">
        <v>13</v>
      </c>
      <c r="G1797" s="1">
        <v>3626.78</v>
      </c>
      <c r="H1797" s="1" t="s">
        <v>10</v>
      </c>
      <c r="I1797" t="str">
        <f t="shared" si="28"/>
        <v>CARDHOLDER GINGHAM STAR [22589]</v>
      </c>
    </row>
    <row r="1798" spans="1:9" x14ac:dyDescent="0.3">
      <c r="A1798" s="1">
        <v>22591</v>
      </c>
      <c r="B1798" t="s">
        <v>4348</v>
      </c>
      <c r="C1798" s="1">
        <v>3.25</v>
      </c>
      <c r="D1798" s="1">
        <v>83</v>
      </c>
      <c r="E1798" s="2">
        <v>103.615384615384</v>
      </c>
      <c r="F1798" s="1">
        <v>13</v>
      </c>
      <c r="G1798" s="1">
        <v>3854.15</v>
      </c>
      <c r="H1798" s="1" t="s">
        <v>10</v>
      </c>
      <c r="I1798" t="str">
        <f t="shared" si="28"/>
        <v>CARDHOLDER GINGHAM CHRISTMAS TREE [22591]</v>
      </c>
    </row>
    <row r="1799" spans="1:9" x14ac:dyDescent="0.3">
      <c r="A1799" s="1">
        <v>22592</v>
      </c>
      <c r="B1799" t="s">
        <v>4347</v>
      </c>
      <c r="C1799" s="1">
        <v>3.78</v>
      </c>
      <c r="D1799" s="1">
        <v>92</v>
      </c>
      <c r="E1799" s="2">
        <v>152.30769230769201</v>
      </c>
      <c r="F1799" s="1">
        <v>13</v>
      </c>
      <c r="G1799" s="1">
        <v>7956.84</v>
      </c>
      <c r="H1799" s="1" t="s">
        <v>10</v>
      </c>
      <c r="I1799" t="str">
        <f t="shared" si="28"/>
        <v>CARDHOLDER HOLLY WREATH METAL [22592]</v>
      </c>
    </row>
    <row r="1800" spans="1:9" x14ac:dyDescent="0.3">
      <c r="A1800" s="1">
        <v>22593</v>
      </c>
      <c r="B1800" t="s">
        <v>4346</v>
      </c>
      <c r="C1800" s="1">
        <v>0.88500000000000001</v>
      </c>
      <c r="D1800" s="1">
        <v>316.5</v>
      </c>
      <c r="E1800" s="1">
        <v>338.75</v>
      </c>
      <c r="F1800" s="1">
        <v>16</v>
      </c>
      <c r="G1800" s="1">
        <v>4823.8999999999996</v>
      </c>
      <c r="H1800" s="1" t="s">
        <v>10</v>
      </c>
      <c r="I1800" t="str">
        <f t="shared" si="28"/>
        <v>CHRISTMAS GINGHAM STAR [22593]</v>
      </c>
    </row>
    <row r="1801" spans="1:9" x14ac:dyDescent="0.3">
      <c r="A1801" s="1">
        <v>22594</v>
      </c>
      <c r="B1801" t="s">
        <v>4345</v>
      </c>
      <c r="C1801" s="1">
        <v>0.91</v>
      </c>
      <c r="D1801" s="1">
        <v>210.5</v>
      </c>
      <c r="E1801" s="1">
        <v>299.4375</v>
      </c>
      <c r="F1801" s="1">
        <v>16</v>
      </c>
      <c r="G1801" s="1">
        <v>4377.33</v>
      </c>
      <c r="H1801" s="1" t="s">
        <v>10</v>
      </c>
      <c r="I1801" t="str">
        <f t="shared" si="28"/>
        <v>CHRISTMAS GINGHAM TREE [22594]</v>
      </c>
    </row>
    <row r="1802" spans="1:9" x14ac:dyDescent="0.3">
      <c r="A1802" s="1">
        <v>22595</v>
      </c>
      <c r="B1802" t="s">
        <v>4344</v>
      </c>
      <c r="C1802" s="1">
        <v>0.88</v>
      </c>
      <c r="D1802" s="1">
        <v>394</v>
      </c>
      <c r="E1802" s="2">
        <v>659.73684210526301</v>
      </c>
      <c r="F1802" s="1">
        <v>18</v>
      </c>
      <c r="G1802" s="1">
        <v>10544.32</v>
      </c>
      <c r="H1802" s="1" t="s">
        <v>10</v>
      </c>
      <c r="I1802" t="str">
        <f t="shared" si="28"/>
        <v>CHRISTMAS GINGHAM HEART [22595]</v>
      </c>
    </row>
    <row r="1803" spans="1:9" x14ac:dyDescent="0.3">
      <c r="A1803" s="1">
        <v>22596</v>
      </c>
      <c r="B1803" t="s">
        <v>4343</v>
      </c>
      <c r="C1803" s="1">
        <v>1.03</v>
      </c>
      <c r="D1803" s="1">
        <v>605.5</v>
      </c>
      <c r="E1803" s="2">
        <v>527.58333333333303</v>
      </c>
      <c r="F1803" s="1">
        <v>12</v>
      </c>
      <c r="G1803" s="1">
        <v>6471.2</v>
      </c>
      <c r="H1803" s="1" t="s">
        <v>10</v>
      </c>
      <c r="I1803" t="str">
        <f t="shared" si="28"/>
        <v>CHRISTMAS STAR WISH LIST CHALKBOARD [22596]</v>
      </c>
    </row>
    <row r="1804" spans="1:9" x14ac:dyDescent="0.3">
      <c r="A1804" s="1">
        <v>22597</v>
      </c>
      <c r="B1804" t="s">
        <v>4342</v>
      </c>
      <c r="C1804" s="1">
        <v>0.85</v>
      </c>
      <c r="D1804" s="1">
        <v>62</v>
      </c>
      <c r="E1804" s="2">
        <v>242.78947368421001</v>
      </c>
      <c r="F1804" s="1">
        <v>18</v>
      </c>
      <c r="G1804" s="1">
        <v>2766.08</v>
      </c>
      <c r="H1804" s="1" t="s">
        <v>10</v>
      </c>
      <c r="I1804" t="str">
        <f t="shared" si="28"/>
        <v>CHRISTMAS MUSICAL ZINC HEART [22597]</v>
      </c>
    </row>
    <row r="1805" spans="1:9" x14ac:dyDescent="0.3">
      <c r="A1805" s="1">
        <v>22598</v>
      </c>
      <c r="B1805" t="s">
        <v>4341</v>
      </c>
      <c r="C1805" s="1">
        <v>0.81499999999999995</v>
      </c>
      <c r="D1805" s="1">
        <v>113</v>
      </c>
      <c r="E1805" s="2">
        <v>149.166666666666</v>
      </c>
      <c r="F1805" s="1">
        <v>12</v>
      </c>
      <c r="G1805" s="1">
        <v>1131.8499999999999</v>
      </c>
      <c r="H1805" s="1" t="s">
        <v>10</v>
      </c>
      <c r="I1805" t="str">
        <f t="shared" si="28"/>
        <v>CHRISTMAS MUSICAL ZINC TREE [22598]</v>
      </c>
    </row>
    <row r="1806" spans="1:9" x14ac:dyDescent="0.3">
      <c r="A1806" s="1">
        <v>22599</v>
      </c>
      <c r="B1806" t="s">
        <v>4340</v>
      </c>
      <c r="C1806" s="2">
        <v>0.82</v>
      </c>
      <c r="D1806" s="1">
        <v>186</v>
      </c>
      <c r="E1806" s="2">
        <v>259.916666666666</v>
      </c>
      <c r="F1806" s="1">
        <v>12</v>
      </c>
      <c r="G1806" s="1">
        <v>1976.88</v>
      </c>
      <c r="H1806" s="1" t="s">
        <v>10</v>
      </c>
      <c r="I1806" t="str">
        <f t="shared" si="28"/>
        <v>CHRISTMAS MUSICAL ZINC STAR [22599]</v>
      </c>
    </row>
    <row r="1807" spans="1:9" x14ac:dyDescent="0.3">
      <c r="A1807" s="1">
        <v>22600</v>
      </c>
      <c r="B1807" t="s">
        <v>4339</v>
      </c>
      <c r="C1807" s="1">
        <v>0.93</v>
      </c>
      <c r="D1807" s="1">
        <v>277</v>
      </c>
      <c r="E1807" s="1">
        <v>324</v>
      </c>
      <c r="F1807" s="1">
        <v>15</v>
      </c>
      <c r="G1807" s="1">
        <v>4209.8999999999996</v>
      </c>
      <c r="H1807" s="1" t="s">
        <v>10</v>
      </c>
      <c r="I1807" t="str">
        <f t="shared" si="28"/>
        <v>CHRISTMAS RETROSPOT STAR WOOD [22600]</v>
      </c>
    </row>
    <row r="1808" spans="1:9" x14ac:dyDescent="0.3">
      <c r="A1808" s="1">
        <v>22601</v>
      </c>
      <c r="B1808" t="s">
        <v>4338</v>
      </c>
      <c r="C1808" s="1">
        <v>0.91500000000000004</v>
      </c>
      <c r="D1808" s="1">
        <v>204</v>
      </c>
      <c r="E1808" s="1">
        <v>328.125</v>
      </c>
      <c r="F1808" s="1">
        <v>16</v>
      </c>
      <c r="G1808" s="1">
        <v>4547.1899999999996</v>
      </c>
      <c r="H1808" s="1" t="s">
        <v>10</v>
      </c>
      <c r="I1808" t="str">
        <f t="shared" si="28"/>
        <v>CHRISTMAS RETROSPOT ANGEL WOOD [22601]</v>
      </c>
    </row>
    <row r="1809" spans="1:9" x14ac:dyDescent="0.3">
      <c r="A1809" s="1">
        <v>22602</v>
      </c>
      <c r="B1809" t="s">
        <v>4337</v>
      </c>
      <c r="C1809" s="1">
        <v>0.89</v>
      </c>
      <c r="D1809" s="1">
        <v>143</v>
      </c>
      <c r="E1809" s="2">
        <v>335.94736842105198</v>
      </c>
      <c r="F1809" s="1">
        <v>18</v>
      </c>
      <c r="G1809" s="1">
        <v>5415.59</v>
      </c>
      <c r="H1809" s="1" t="s">
        <v>10</v>
      </c>
      <c r="I1809" t="str">
        <f t="shared" si="28"/>
        <v>CHRISTMAS RETROSPOT HEART WOOD [22602]</v>
      </c>
    </row>
    <row r="1810" spans="1:9" x14ac:dyDescent="0.3">
      <c r="A1810" s="1">
        <v>22603</v>
      </c>
      <c r="B1810" t="s">
        <v>4336</v>
      </c>
      <c r="C1810" s="1">
        <v>0.875</v>
      </c>
      <c r="D1810" s="1">
        <v>200.5</v>
      </c>
      <c r="E1810" s="2">
        <v>295.92857142857099</v>
      </c>
      <c r="F1810" s="1">
        <v>14</v>
      </c>
      <c r="G1810" s="1">
        <v>3552.09</v>
      </c>
      <c r="H1810" s="1" t="s">
        <v>10</v>
      </c>
      <c r="I1810" t="str">
        <f t="shared" si="28"/>
        <v>CHRISTMAS RETROSPOT TREE WOOD [22603]</v>
      </c>
    </row>
    <row r="1811" spans="1:9" x14ac:dyDescent="0.3">
      <c r="A1811" s="1">
        <v>22604</v>
      </c>
      <c r="B1811" t="s">
        <v>4335</v>
      </c>
      <c r="C1811" s="1">
        <v>2.5499999999999998</v>
      </c>
      <c r="D1811" s="1">
        <v>71</v>
      </c>
      <c r="E1811" s="1">
        <v>100.85</v>
      </c>
      <c r="F1811" s="1">
        <v>18</v>
      </c>
      <c r="G1811" s="1">
        <v>4957.62</v>
      </c>
      <c r="H1811" s="1" t="s">
        <v>10</v>
      </c>
      <c r="I1811" t="str">
        <f t="shared" si="28"/>
        <v>SET OF 4 NAPKIN CHARM CUTLERY [22604]</v>
      </c>
    </row>
    <row r="1812" spans="1:9" x14ac:dyDescent="0.3">
      <c r="A1812" s="1">
        <v>22605</v>
      </c>
      <c r="B1812" t="s">
        <v>4334</v>
      </c>
      <c r="C1812" s="1">
        <v>14.25</v>
      </c>
      <c r="D1812" s="1">
        <v>58</v>
      </c>
      <c r="E1812" s="1">
        <v>87</v>
      </c>
      <c r="F1812" s="1">
        <v>21</v>
      </c>
      <c r="G1812" s="1">
        <v>23426.82</v>
      </c>
      <c r="H1812" s="1" t="s">
        <v>9</v>
      </c>
      <c r="I1812" t="str">
        <f t="shared" si="28"/>
        <v>WOODEN CROQUET GARDEN SET [22605]</v>
      </c>
    </row>
    <row r="1813" spans="1:9" x14ac:dyDescent="0.3">
      <c r="A1813" s="1">
        <v>22606</v>
      </c>
      <c r="B1813" t="s">
        <v>4333</v>
      </c>
      <c r="C1813" s="1">
        <v>14.77</v>
      </c>
      <c r="D1813" s="1">
        <v>34</v>
      </c>
      <c r="E1813" s="2">
        <v>50.904761904761898</v>
      </c>
      <c r="F1813" s="1">
        <v>21</v>
      </c>
      <c r="G1813" s="1">
        <v>14881.94</v>
      </c>
      <c r="H1813" s="1" t="s">
        <v>9</v>
      </c>
      <c r="I1813" t="str">
        <f t="shared" si="28"/>
        <v>WOODEN SKITTLES GARDEN SET [22606]</v>
      </c>
    </row>
    <row r="1814" spans="1:9" x14ac:dyDescent="0.3">
      <c r="A1814" s="1">
        <v>22607</v>
      </c>
      <c r="B1814" t="s">
        <v>4332</v>
      </c>
      <c r="C1814" s="1">
        <v>9.57</v>
      </c>
      <c r="D1814" s="1">
        <v>84</v>
      </c>
      <c r="E1814" s="2">
        <v>133.31578947368399</v>
      </c>
      <c r="F1814" s="1">
        <v>19</v>
      </c>
      <c r="G1814" s="1">
        <v>22906.54</v>
      </c>
      <c r="H1814" s="1" t="s">
        <v>10</v>
      </c>
      <c r="I1814" t="str">
        <f t="shared" si="28"/>
        <v>WOODEN ROUNDERS GARDEN SET [22607]</v>
      </c>
    </row>
    <row r="1815" spans="1:9" x14ac:dyDescent="0.3">
      <c r="A1815" s="1">
        <v>22608</v>
      </c>
      <c r="B1815" t="s">
        <v>4331</v>
      </c>
      <c r="C1815" s="1">
        <v>0.23499999999999999</v>
      </c>
      <c r="D1815" s="1">
        <v>142.5</v>
      </c>
      <c r="E1815" s="1">
        <v>286.60000000000002</v>
      </c>
      <c r="F1815" s="1">
        <v>20</v>
      </c>
      <c r="G1815" s="1">
        <v>1568.83</v>
      </c>
      <c r="H1815" s="1" t="s">
        <v>10</v>
      </c>
      <c r="I1815" t="str">
        <f t="shared" si="28"/>
        <v>PENS ASSORTED FUNKY JEWELED [22608]</v>
      </c>
    </row>
    <row r="1816" spans="1:9" x14ac:dyDescent="0.3">
      <c r="A1816" s="1">
        <v>22609</v>
      </c>
      <c r="B1816" t="s">
        <v>4330</v>
      </c>
      <c r="C1816" s="1">
        <v>0.48</v>
      </c>
      <c r="D1816" s="1">
        <v>218</v>
      </c>
      <c r="E1816" s="2">
        <v>337.28571428571399</v>
      </c>
      <c r="F1816" s="1">
        <v>21</v>
      </c>
      <c r="G1816" s="1">
        <v>2407.9</v>
      </c>
      <c r="H1816" s="1" t="s">
        <v>10</v>
      </c>
      <c r="I1816" t="str">
        <f t="shared" si="28"/>
        <v>PENS ASSORTED SPACEBALL [22609]</v>
      </c>
    </row>
    <row r="1817" spans="1:9" x14ac:dyDescent="0.3">
      <c r="A1817" s="1">
        <v>22610</v>
      </c>
      <c r="B1817" t="s">
        <v>4329</v>
      </c>
      <c r="C1817" s="1">
        <v>0.85</v>
      </c>
      <c r="D1817" s="1">
        <v>254</v>
      </c>
      <c r="E1817" s="2">
        <v>436.222222222222</v>
      </c>
      <c r="F1817" s="1">
        <v>18</v>
      </c>
      <c r="G1817" s="1">
        <v>4184.46</v>
      </c>
      <c r="H1817" s="1" t="s">
        <v>10</v>
      </c>
      <c r="I1817" t="str">
        <f t="shared" si="28"/>
        <v>PENS ASSORTED FUNNY FACE [22610]</v>
      </c>
    </row>
    <row r="1818" spans="1:9" x14ac:dyDescent="0.3">
      <c r="A1818" s="1">
        <v>22611</v>
      </c>
      <c r="B1818" t="s">
        <v>4328</v>
      </c>
      <c r="C1818" s="2">
        <v>4.8249999999999904</v>
      </c>
      <c r="D1818" s="1">
        <v>48</v>
      </c>
      <c r="E1818" s="2">
        <v>50.3888888888888</v>
      </c>
      <c r="F1818" s="1">
        <v>18</v>
      </c>
      <c r="G1818" s="1">
        <v>4338.63</v>
      </c>
      <c r="H1818" s="1" t="s">
        <v>9</v>
      </c>
      <c r="I1818" t="str">
        <f t="shared" si="28"/>
        <v>VINTAGE UNION JACK SHOPPING BAG [22611]</v>
      </c>
    </row>
    <row r="1819" spans="1:9" x14ac:dyDescent="0.3">
      <c r="A1819" s="1">
        <v>22612</v>
      </c>
      <c r="B1819" t="s">
        <v>4327</v>
      </c>
      <c r="C1819" s="1">
        <v>3.85</v>
      </c>
      <c r="D1819" s="1">
        <v>80</v>
      </c>
      <c r="E1819" s="1">
        <v>143</v>
      </c>
      <c r="F1819" s="1">
        <v>7</v>
      </c>
      <c r="G1819" s="1">
        <v>3984.99</v>
      </c>
      <c r="H1819" s="1" t="s">
        <v>10</v>
      </c>
      <c r="I1819" t="str">
        <f t="shared" si="28"/>
        <v>TEA COSY VINTAGE UNION JACK [22612]</v>
      </c>
    </row>
    <row r="1820" spans="1:9" x14ac:dyDescent="0.3">
      <c r="A1820" s="1">
        <v>22613</v>
      </c>
      <c r="B1820" t="s">
        <v>4326</v>
      </c>
      <c r="C1820" s="1">
        <v>0.86</v>
      </c>
      <c r="D1820" s="1">
        <v>119</v>
      </c>
      <c r="E1820" s="1">
        <v>152.55000000000001</v>
      </c>
      <c r="F1820" s="1">
        <v>20</v>
      </c>
      <c r="G1820" s="1">
        <v>2419.7600000000002</v>
      </c>
      <c r="H1820" s="1" t="s">
        <v>10</v>
      </c>
      <c r="I1820" t="str">
        <f t="shared" si="28"/>
        <v>PACK OF 20 SPACEBOY NAPKINS [22613]</v>
      </c>
    </row>
    <row r="1821" spans="1:9" x14ac:dyDescent="0.3">
      <c r="A1821" s="1">
        <v>22614</v>
      </c>
      <c r="B1821" t="s">
        <v>4325</v>
      </c>
      <c r="C1821" s="1">
        <v>0.29499999999999998</v>
      </c>
      <c r="D1821" s="1">
        <v>258</v>
      </c>
      <c r="E1821" s="1">
        <v>286.3</v>
      </c>
      <c r="F1821" s="1">
        <v>20</v>
      </c>
      <c r="G1821" s="1">
        <v>1954.3</v>
      </c>
      <c r="H1821" s="1" t="s">
        <v>10</v>
      </c>
      <c r="I1821" t="str">
        <f t="shared" si="28"/>
        <v>PACK OF 12 SPACEBOY TISSUES [22614]</v>
      </c>
    </row>
    <row r="1822" spans="1:9" x14ac:dyDescent="0.3">
      <c r="A1822" s="1">
        <v>22615</v>
      </c>
      <c r="B1822" t="s">
        <v>4324</v>
      </c>
      <c r="C1822" s="1">
        <v>0.3</v>
      </c>
      <c r="D1822" s="1">
        <v>148.5</v>
      </c>
      <c r="E1822" s="1">
        <v>185.9</v>
      </c>
      <c r="F1822" s="1">
        <v>20</v>
      </c>
      <c r="G1822" s="1">
        <v>1145.8800000000001</v>
      </c>
      <c r="H1822" s="1" t="s">
        <v>10</v>
      </c>
      <c r="I1822" t="str">
        <f t="shared" si="28"/>
        <v>PACK OF 12 CIRCUS PARADE TISSUES [22615]</v>
      </c>
    </row>
    <row r="1823" spans="1:9" x14ac:dyDescent="0.3">
      <c r="A1823" s="1">
        <v>22616</v>
      </c>
      <c r="B1823" t="s">
        <v>4323</v>
      </c>
      <c r="C1823" s="1">
        <v>0.28999999999999998</v>
      </c>
      <c r="D1823" s="1">
        <v>1576.5</v>
      </c>
      <c r="E1823" s="1">
        <v>1957.35</v>
      </c>
      <c r="F1823" s="1">
        <v>20</v>
      </c>
      <c r="G1823" s="1">
        <v>12460.16</v>
      </c>
      <c r="H1823" s="1" t="s">
        <v>10</v>
      </c>
      <c r="I1823" t="str">
        <f t="shared" si="28"/>
        <v>PACK OF 12 LONDON TISSUES [22616]</v>
      </c>
    </row>
    <row r="1824" spans="1:9" x14ac:dyDescent="0.3">
      <c r="A1824" s="1">
        <v>22617</v>
      </c>
      <c r="B1824" t="s">
        <v>4322</v>
      </c>
      <c r="C1824" s="2">
        <v>4.9349999999999996</v>
      </c>
      <c r="D1824" s="1">
        <v>156.5</v>
      </c>
      <c r="E1824" s="2">
        <v>193.22727272727201</v>
      </c>
      <c r="F1824" s="1">
        <v>22</v>
      </c>
      <c r="G1824" s="1">
        <v>20546.990000000002</v>
      </c>
      <c r="H1824" s="1" t="s">
        <v>10</v>
      </c>
      <c r="I1824" t="str">
        <f t="shared" si="28"/>
        <v>BAKING SET SPACEBOY DESIGN [22617]</v>
      </c>
    </row>
    <row r="1825" spans="1:9" x14ac:dyDescent="0.3">
      <c r="A1825" s="1">
        <v>22618</v>
      </c>
      <c r="B1825" t="s">
        <v>4321</v>
      </c>
      <c r="C1825" s="1">
        <v>9.9499999999999993</v>
      </c>
      <c r="D1825" s="1">
        <v>39</v>
      </c>
      <c r="E1825" s="2">
        <v>51.285714285714199</v>
      </c>
      <c r="F1825" s="1">
        <v>14</v>
      </c>
      <c r="G1825" s="1">
        <v>6984.35</v>
      </c>
      <c r="H1825" s="1" t="s">
        <v>9</v>
      </c>
      <c r="I1825" t="str">
        <f t="shared" si="28"/>
        <v>COOKING SET RETROSPOT [22618]</v>
      </c>
    </row>
    <row r="1826" spans="1:9" x14ac:dyDescent="0.3">
      <c r="A1826" s="1">
        <v>22619</v>
      </c>
      <c r="B1826" t="s">
        <v>4320</v>
      </c>
      <c r="C1826" s="1">
        <v>3.75</v>
      </c>
      <c r="D1826" s="1">
        <v>168.5</v>
      </c>
      <c r="E1826" s="2">
        <v>182.18181818181799</v>
      </c>
      <c r="F1826" s="1">
        <v>20</v>
      </c>
      <c r="G1826" s="1">
        <v>15620.09</v>
      </c>
      <c r="H1826" s="1" t="s">
        <v>10</v>
      </c>
      <c r="I1826" t="str">
        <f t="shared" si="28"/>
        <v>SET Of 6 SOLDIER SKITTLES [22619]</v>
      </c>
    </row>
    <row r="1827" spans="1:9" x14ac:dyDescent="0.3">
      <c r="A1827" s="1">
        <v>22620</v>
      </c>
      <c r="B1827" t="s">
        <v>4319</v>
      </c>
      <c r="C1827" s="1">
        <v>1.35</v>
      </c>
      <c r="D1827" s="1">
        <v>351.5</v>
      </c>
      <c r="E1827" s="1">
        <v>409.05</v>
      </c>
      <c r="F1827" s="1">
        <v>20</v>
      </c>
      <c r="G1827" s="1">
        <v>11073.45</v>
      </c>
      <c r="H1827" s="1" t="s">
        <v>10</v>
      </c>
      <c r="I1827" t="str">
        <f t="shared" si="28"/>
        <v>4 TRADITIONAL SPINNING TOPS [22620]</v>
      </c>
    </row>
    <row r="1828" spans="1:9" x14ac:dyDescent="0.3">
      <c r="A1828" s="1">
        <v>22621</v>
      </c>
      <c r="B1828" t="s">
        <v>4318</v>
      </c>
      <c r="C1828" s="2">
        <v>1.5549999999999999</v>
      </c>
      <c r="D1828" s="1">
        <v>385.5</v>
      </c>
      <c r="E1828" s="1">
        <v>436.3</v>
      </c>
      <c r="F1828" s="1">
        <v>20</v>
      </c>
      <c r="G1828" s="1">
        <v>13784.32</v>
      </c>
      <c r="H1828" s="1" t="s">
        <v>10</v>
      </c>
      <c r="I1828" t="str">
        <f t="shared" si="28"/>
        <v>TRADITIONAL KNITTING NANCY [22621]</v>
      </c>
    </row>
    <row r="1829" spans="1:9" x14ac:dyDescent="0.3">
      <c r="A1829" s="1">
        <v>22622</v>
      </c>
      <c r="B1829" t="s">
        <v>4317</v>
      </c>
      <c r="C1829" s="1">
        <v>10.234999999999999</v>
      </c>
      <c r="D1829" s="1">
        <v>107</v>
      </c>
      <c r="E1829" s="1">
        <v>147.25</v>
      </c>
      <c r="F1829" s="1">
        <v>20</v>
      </c>
      <c r="G1829" s="1">
        <v>29450.11</v>
      </c>
      <c r="H1829" s="1" t="s">
        <v>10</v>
      </c>
      <c r="I1829" t="str">
        <f t="shared" si="28"/>
        <v>BOX OF VINTAGE ALPHABET BLOCKS [22622]</v>
      </c>
    </row>
    <row r="1830" spans="1:9" x14ac:dyDescent="0.3">
      <c r="A1830" s="1">
        <v>22623</v>
      </c>
      <c r="B1830" t="s">
        <v>4316</v>
      </c>
      <c r="C1830" s="1">
        <v>5.33</v>
      </c>
      <c r="D1830" s="1">
        <v>92.5</v>
      </c>
      <c r="E1830" s="1">
        <v>115.6</v>
      </c>
      <c r="F1830" s="1">
        <v>20</v>
      </c>
      <c r="G1830" s="1">
        <v>12432.28</v>
      </c>
      <c r="H1830" s="1" t="s">
        <v>10</v>
      </c>
      <c r="I1830" t="str">
        <f t="shared" si="28"/>
        <v>BOX OF VINTAGE JIGSAW BLOCKS [22623]</v>
      </c>
    </row>
    <row r="1831" spans="1:9" x14ac:dyDescent="0.3">
      <c r="A1831" s="1">
        <v>22624</v>
      </c>
      <c r="B1831" t="s">
        <v>4315</v>
      </c>
      <c r="C1831" s="1">
        <v>8.7100000000000009</v>
      </c>
      <c r="D1831" s="1">
        <v>148.5</v>
      </c>
      <c r="E1831" s="1">
        <v>157.6</v>
      </c>
      <c r="F1831" s="1">
        <v>20</v>
      </c>
      <c r="G1831" s="1">
        <v>27282.73</v>
      </c>
      <c r="H1831" s="1" t="s">
        <v>10</v>
      </c>
      <c r="I1831" t="str">
        <f t="shared" si="28"/>
        <v>IVORY KITCHEN SCALES [22624]</v>
      </c>
    </row>
    <row r="1832" spans="1:9" x14ac:dyDescent="0.3">
      <c r="A1832" s="1">
        <v>22625</v>
      </c>
      <c r="B1832" t="s">
        <v>4314</v>
      </c>
      <c r="C1832" s="2">
        <v>8.6549999999999994</v>
      </c>
      <c r="D1832" s="1">
        <v>137.5</v>
      </c>
      <c r="E1832" s="1">
        <v>131.35</v>
      </c>
      <c r="F1832" s="1">
        <v>20</v>
      </c>
      <c r="G1832" s="1">
        <v>22911.55</v>
      </c>
      <c r="H1832" s="1" t="s">
        <v>10</v>
      </c>
      <c r="I1832" t="str">
        <f t="shared" si="28"/>
        <v>RED KITCHEN SCALES [22625]</v>
      </c>
    </row>
    <row r="1833" spans="1:9" x14ac:dyDescent="0.3">
      <c r="A1833" s="1">
        <v>22626</v>
      </c>
      <c r="B1833" t="s">
        <v>4313</v>
      </c>
      <c r="C1833" s="1">
        <v>8.5</v>
      </c>
      <c r="D1833" s="1">
        <v>36</v>
      </c>
      <c r="E1833" s="2">
        <v>39.857142857142797</v>
      </c>
      <c r="F1833" s="1">
        <v>21</v>
      </c>
      <c r="G1833" s="2">
        <v>7167.48</v>
      </c>
      <c r="H1833" s="1" t="s">
        <v>9</v>
      </c>
      <c r="I1833" t="str">
        <f t="shared" si="28"/>
        <v>BLACK KITCHEN SCALES [22626]</v>
      </c>
    </row>
    <row r="1834" spans="1:9" x14ac:dyDescent="0.3">
      <c r="A1834" s="1">
        <v>22627</v>
      </c>
      <c r="B1834" t="s">
        <v>4312</v>
      </c>
      <c r="C1834" s="1">
        <v>8.74</v>
      </c>
      <c r="D1834" s="1">
        <v>87</v>
      </c>
      <c r="E1834" s="2">
        <v>84.157894736842096</v>
      </c>
      <c r="F1834" s="1">
        <v>19</v>
      </c>
      <c r="G1834" s="1">
        <v>14016.04</v>
      </c>
      <c r="H1834" s="1" t="s">
        <v>10</v>
      </c>
      <c r="I1834" t="str">
        <f t="shared" si="28"/>
        <v>MINT KITCHEN SCALES [22627]</v>
      </c>
    </row>
    <row r="1835" spans="1:9" x14ac:dyDescent="0.3">
      <c r="A1835" s="1">
        <v>22628</v>
      </c>
      <c r="B1835" t="s">
        <v>4311</v>
      </c>
      <c r="C1835" s="1">
        <v>5.07</v>
      </c>
      <c r="D1835" s="1">
        <v>72</v>
      </c>
      <c r="E1835" s="2">
        <v>96.8888888888888</v>
      </c>
      <c r="F1835" s="1">
        <v>18</v>
      </c>
      <c r="G1835" s="1">
        <v>8367.7999999999993</v>
      </c>
      <c r="H1835" s="1" t="s">
        <v>10</v>
      </c>
      <c r="I1835" t="str">
        <f t="shared" si="28"/>
        <v>PICNIC BOXES SET OF 3 RETROSPOT [22628]</v>
      </c>
    </row>
    <row r="1836" spans="1:9" x14ac:dyDescent="0.3">
      <c r="A1836" s="1">
        <v>22629</v>
      </c>
      <c r="B1836" t="s">
        <v>4310</v>
      </c>
      <c r="C1836" s="1">
        <v>1.84</v>
      </c>
      <c r="D1836" s="1">
        <v>1076.5</v>
      </c>
      <c r="E1836" s="2">
        <v>1155.94444444444</v>
      </c>
      <c r="F1836" s="1">
        <v>18</v>
      </c>
      <c r="G1836" s="1">
        <v>37955.5</v>
      </c>
      <c r="H1836" s="1" t="s">
        <v>10</v>
      </c>
      <c r="I1836" t="str">
        <f t="shared" si="28"/>
        <v>SPACEBOY LUNCH BOX [22629]</v>
      </c>
    </row>
    <row r="1837" spans="1:9" x14ac:dyDescent="0.3">
      <c r="A1837" s="1">
        <v>22630</v>
      </c>
      <c r="B1837" t="s">
        <v>4309</v>
      </c>
      <c r="C1837" s="2">
        <v>1.845</v>
      </c>
      <c r="D1837" s="1">
        <v>982.5</v>
      </c>
      <c r="E1837" s="2">
        <v>1003.22222222222</v>
      </c>
      <c r="F1837" s="1">
        <v>18</v>
      </c>
      <c r="G1837" s="1">
        <v>33380.83</v>
      </c>
      <c r="H1837" s="1" t="s">
        <v>10</v>
      </c>
      <c r="I1837" t="str">
        <f t="shared" si="28"/>
        <v>DOLLY GIRL LUNCH BOX [22630]</v>
      </c>
    </row>
    <row r="1838" spans="1:9" x14ac:dyDescent="0.3">
      <c r="A1838" s="1">
        <v>22631</v>
      </c>
      <c r="B1838" t="s">
        <v>4308</v>
      </c>
      <c r="C1838" s="1">
        <v>1.96</v>
      </c>
      <c r="D1838" s="1">
        <v>316</v>
      </c>
      <c r="E1838" s="2">
        <v>330.105263157894</v>
      </c>
      <c r="F1838" s="1">
        <v>19</v>
      </c>
      <c r="G1838" s="1">
        <v>12241.85</v>
      </c>
      <c r="H1838" s="1" t="s">
        <v>10</v>
      </c>
      <c r="I1838" t="str">
        <f t="shared" si="28"/>
        <v>CIRCUS PARADE LUNCHBOX [22631]</v>
      </c>
    </row>
    <row r="1839" spans="1:9" x14ac:dyDescent="0.3">
      <c r="A1839" s="1">
        <v>22632</v>
      </c>
      <c r="B1839" t="s">
        <v>4307</v>
      </c>
      <c r="C1839" s="1">
        <v>2.0299999999999998</v>
      </c>
      <c r="D1839" s="1">
        <v>564.5</v>
      </c>
      <c r="E1839" s="1">
        <v>735</v>
      </c>
      <c r="F1839" s="1">
        <v>11</v>
      </c>
      <c r="G1839" s="2">
        <v>20540.3299999999</v>
      </c>
      <c r="H1839" s="1" t="s">
        <v>10</v>
      </c>
      <c r="I1839" t="str">
        <f t="shared" si="28"/>
        <v>HAND WARMER RED POLKA DOT [22632]</v>
      </c>
    </row>
    <row r="1840" spans="1:9" x14ac:dyDescent="0.3">
      <c r="A1840" s="1">
        <v>22633</v>
      </c>
      <c r="B1840" t="s">
        <v>4306</v>
      </c>
      <c r="C1840" s="1">
        <v>2.085</v>
      </c>
      <c r="D1840" s="1">
        <v>564.5</v>
      </c>
      <c r="E1840" s="1">
        <v>711.75</v>
      </c>
      <c r="F1840" s="1">
        <v>12</v>
      </c>
      <c r="G1840" s="2">
        <v>17576.669999999998</v>
      </c>
      <c r="H1840" s="1" t="s">
        <v>10</v>
      </c>
      <c r="I1840" t="str">
        <f t="shared" si="28"/>
        <v>HAND WARMER UNION JACK [22633]</v>
      </c>
    </row>
    <row r="1841" spans="1:9" x14ac:dyDescent="0.3">
      <c r="A1841" s="1">
        <v>22634</v>
      </c>
      <c r="B1841" t="s">
        <v>4305</v>
      </c>
      <c r="C1841" s="1">
        <v>9.41</v>
      </c>
      <c r="D1841" s="1">
        <v>74.5</v>
      </c>
      <c r="E1841" s="1">
        <v>84.4</v>
      </c>
      <c r="F1841" s="1">
        <v>20</v>
      </c>
      <c r="G1841" s="2">
        <v>15946.55</v>
      </c>
      <c r="H1841" s="1" t="s">
        <v>10</v>
      </c>
      <c r="I1841" t="str">
        <f t="shared" si="28"/>
        <v>CHILDS BREAKFAST SET SPACEBOY [22634]</v>
      </c>
    </row>
    <row r="1842" spans="1:9" x14ac:dyDescent="0.3">
      <c r="A1842" s="1">
        <v>22635</v>
      </c>
      <c r="B1842" t="s">
        <v>4304</v>
      </c>
      <c r="C1842" s="1">
        <v>9.5350000000000001</v>
      </c>
      <c r="D1842" s="1">
        <v>67</v>
      </c>
      <c r="E1842" s="1">
        <v>83</v>
      </c>
      <c r="F1842" s="1">
        <v>20</v>
      </c>
      <c r="G1842" s="1">
        <v>15795.01</v>
      </c>
      <c r="H1842" s="1" t="s">
        <v>10</v>
      </c>
      <c r="I1842" t="str">
        <f t="shared" si="28"/>
        <v>CHILDS BREAKFAST SET DOLLY GIRL [22635]</v>
      </c>
    </row>
    <row r="1843" spans="1:9" x14ac:dyDescent="0.3">
      <c r="A1843" s="1">
        <v>22636</v>
      </c>
      <c r="B1843" t="s">
        <v>4303</v>
      </c>
      <c r="C1843" s="1">
        <v>8.3849999999999998</v>
      </c>
      <c r="D1843" s="1">
        <v>57</v>
      </c>
      <c r="E1843" s="1">
        <v>80.900000000000006</v>
      </c>
      <c r="F1843" s="1">
        <v>20</v>
      </c>
      <c r="G1843" s="1">
        <v>13437.03</v>
      </c>
      <c r="H1843" s="1" t="s">
        <v>9</v>
      </c>
      <c r="I1843" t="str">
        <f t="shared" si="28"/>
        <v>CHILDS BREAKFAST SET CIRCUS PARADE [22636]</v>
      </c>
    </row>
    <row r="1844" spans="1:9" x14ac:dyDescent="0.3">
      <c r="A1844" s="1">
        <v>22637</v>
      </c>
      <c r="B1844" t="s">
        <v>4302</v>
      </c>
      <c r="C1844" s="1">
        <v>2.57</v>
      </c>
      <c r="D1844" s="1">
        <v>172</v>
      </c>
      <c r="E1844" s="2">
        <v>235.68421052631501</v>
      </c>
      <c r="F1844" s="1">
        <v>19</v>
      </c>
      <c r="G1844" s="1">
        <v>11492.82</v>
      </c>
      <c r="H1844" s="1" t="s">
        <v>10</v>
      </c>
      <c r="I1844" t="str">
        <f t="shared" si="28"/>
        <v>PIGGY BANK RETROSPOT [22637]</v>
      </c>
    </row>
    <row r="1845" spans="1:9" x14ac:dyDescent="0.3">
      <c r="A1845" s="1">
        <v>22638</v>
      </c>
      <c r="B1845" t="s">
        <v>4301</v>
      </c>
      <c r="C1845" s="1">
        <v>2.5499999999999998</v>
      </c>
      <c r="D1845" s="1">
        <v>12</v>
      </c>
      <c r="E1845" s="1">
        <v>25.3125</v>
      </c>
      <c r="F1845" s="1">
        <v>16</v>
      </c>
      <c r="G1845" s="1">
        <v>735.23</v>
      </c>
      <c r="H1845" s="1" t="s">
        <v>9</v>
      </c>
      <c r="I1845" t="str">
        <f t="shared" si="28"/>
        <v>SET OF 4 NAPKIN CHARMS CROWNS [22638]</v>
      </c>
    </row>
    <row r="1846" spans="1:9" x14ac:dyDescent="0.3">
      <c r="A1846" s="1">
        <v>22639</v>
      </c>
      <c r="B1846" t="s">
        <v>4300</v>
      </c>
      <c r="C1846" s="1">
        <v>2.5299999999999998</v>
      </c>
      <c r="D1846" s="1">
        <v>82</v>
      </c>
      <c r="E1846" s="2">
        <v>91.7222222222222</v>
      </c>
      <c r="F1846" s="1">
        <v>18</v>
      </c>
      <c r="G1846" s="1">
        <v>4021.12</v>
      </c>
      <c r="H1846" s="1" t="s">
        <v>10</v>
      </c>
      <c r="I1846" t="str">
        <f t="shared" si="28"/>
        <v>SET OF 4 NAPKIN CHARMS HEARTS [22639]</v>
      </c>
    </row>
    <row r="1847" spans="1:9" x14ac:dyDescent="0.3">
      <c r="A1847" s="1">
        <v>22640</v>
      </c>
      <c r="B1847" t="s">
        <v>4299</v>
      </c>
      <c r="C1847" s="1">
        <v>2.5499999999999998</v>
      </c>
      <c r="D1847" s="1">
        <v>17</v>
      </c>
      <c r="E1847" s="2">
        <v>18.789473684210499</v>
      </c>
      <c r="F1847" s="1">
        <v>19</v>
      </c>
      <c r="G1847" s="1">
        <v>765.39</v>
      </c>
      <c r="H1847" s="1" t="s">
        <v>9</v>
      </c>
      <c r="I1847" t="str">
        <f t="shared" si="28"/>
        <v>SET OF 4 NAPKIN CHARMS 3 KEYS [22640]</v>
      </c>
    </row>
    <row r="1848" spans="1:9" x14ac:dyDescent="0.3">
      <c r="A1848" s="1">
        <v>22641</v>
      </c>
      <c r="B1848" t="s">
        <v>4298</v>
      </c>
      <c r="C1848" s="1">
        <v>2.5499999999999998</v>
      </c>
      <c r="D1848" s="1">
        <v>10</v>
      </c>
      <c r="E1848" s="2">
        <v>15.789473684210501</v>
      </c>
      <c r="F1848" s="1">
        <v>17</v>
      </c>
      <c r="G1848" s="1">
        <v>704.9</v>
      </c>
      <c r="H1848" s="1" t="s">
        <v>9</v>
      </c>
      <c r="I1848" t="str">
        <f t="shared" si="28"/>
        <v>SET OF 4 NAPKIN CHARMS INSTRUMENT [22641]</v>
      </c>
    </row>
    <row r="1849" spans="1:9" x14ac:dyDescent="0.3">
      <c r="A1849" s="1">
        <v>22642</v>
      </c>
      <c r="B1849" t="s">
        <v>4297</v>
      </c>
      <c r="C1849" s="1">
        <v>2.5499999999999998</v>
      </c>
      <c r="D1849" s="1">
        <v>37</v>
      </c>
      <c r="E1849" s="2">
        <v>65.933333333333294</v>
      </c>
      <c r="F1849" s="1">
        <v>15</v>
      </c>
      <c r="G1849" s="1">
        <v>2348.4699999999998</v>
      </c>
      <c r="H1849" s="1" t="s">
        <v>9</v>
      </c>
      <c r="I1849" t="str">
        <f t="shared" si="28"/>
        <v>SET OF 4 NAPKIN CHARMS STARS [22642]</v>
      </c>
    </row>
    <row r="1850" spans="1:9" x14ac:dyDescent="0.3">
      <c r="A1850" s="1">
        <v>22643</v>
      </c>
      <c r="B1850" t="s">
        <v>4296</v>
      </c>
      <c r="C1850" s="1">
        <v>2.5499999999999998</v>
      </c>
      <c r="D1850" s="1">
        <v>32</v>
      </c>
      <c r="E1850" s="2">
        <v>27.294117647058801</v>
      </c>
      <c r="F1850" s="1">
        <v>17</v>
      </c>
      <c r="G1850" s="1">
        <v>1006.24</v>
      </c>
      <c r="H1850" s="1" t="s">
        <v>9</v>
      </c>
      <c r="I1850" t="str">
        <f t="shared" si="28"/>
        <v>SET OF 4 NAPKIN CHARMS LEAVES [22643]</v>
      </c>
    </row>
    <row r="1851" spans="1:9" x14ac:dyDescent="0.3">
      <c r="A1851" s="1">
        <v>22644</v>
      </c>
      <c r="B1851" t="s">
        <v>4295</v>
      </c>
      <c r="C1851" s="1">
        <v>1.6</v>
      </c>
      <c r="D1851" s="1">
        <v>191</v>
      </c>
      <c r="E1851" s="2">
        <v>224.947368421052</v>
      </c>
      <c r="F1851" s="1">
        <v>19</v>
      </c>
      <c r="G1851" s="1">
        <v>6815.95</v>
      </c>
      <c r="H1851" s="1" t="s">
        <v>10</v>
      </c>
      <c r="I1851" t="str">
        <f t="shared" si="28"/>
        <v>CERAMIC CHERRY CAKE MONEY BANK [22644]</v>
      </c>
    </row>
    <row r="1852" spans="1:9" x14ac:dyDescent="0.3">
      <c r="A1852" s="1">
        <v>22645</v>
      </c>
      <c r="B1852" t="s">
        <v>4294</v>
      </c>
      <c r="C1852" s="1">
        <v>1.79</v>
      </c>
      <c r="D1852" s="1">
        <v>192</v>
      </c>
      <c r="E1852" s="2">
        <v>252.72727272727201</v>
      </c>
      <c r="F1852" s="1">
        <v>20</v>
      </c>
      <c r="G1852" s="2">
        <v>9925.1299999999992</v>
      </c>
      <c r="H1852" s="1" t="s">
        <v>10</v>
      </c>
      <c r="I1852" t="str">
        <f t="shared" si="28"/>
        <v>CERAMIC HEART CAKE MONEY BANK [22645]</v>
      </c>
    </row>
    <row r="1853" spans="1:9" x14ac:dyDescent="0.3">
      <c r="A1853" s="1">
        <v>22646</v>
      </c>
      <c r="B1853" t="s">
        <v>4293</v>
      </c>
      <c r="C1853" s="1">
        <v>1.48</v>
      </c>
      <c r="D1853" s="1">
        <v>407</v>
      </c>
      <c r="E1853" s="1">
        <v>445.65</v>
      </c>
      <c r="F1853" s="1">
        <v>20</v>
      </c>
      <c r="G1853" s="1">
        <v>12654.71</v>
      </c>
      <c r="H1853" s="1" t="s">
        <v>10</v>
      </c>
      <c r="I1853" t="str">
        <f t="shared" si="28"/>
        <v>CERAMIC STRAWBERRY CAKE MONEY BANK [22646]</v>
      </c>
    </row>
    <row r="1854" spans="1:9" x14ac:dyDescent="0.3">
      <c r="A1854" s="1">
        <v>22647</v>
      </c>
      <c r="B1854" t="s">
        <v>4292</v>
      </c>
      <c r="C1854" s="1">
        <v>1.45</v>
      </c>
      <c r="D1854" s="1">
        <v>26</v>
      </c>
      <c r="E1854" s="1">
        <v>62.176470588235297</v>
      </c>
      <c r="F1854" s="1">
        <v>17</v>
      </c>
      <c r="G1854" s="1">
        <v>916.34</v>
      </c>
      <c r="H1854" s="1" t="s">
        <v>9</v>
      </c>
      <c r="I1854" t="str">
        <f t="shared" si="28"/>
        <v>CERAMIC LOVE HEART MONEY BANK [22647]</v>
      </c>
    </row>
    <row r="1855" spans="1:9" x14ac:dyDescent="0.3">
      <c r="A1855" s="1">
        <v>22649</v>
      </c>
      <c r="B1855" t="s">
        <v>4291</v>
      </c>
      <c r="C1855" s="1">
        <v>5.0599999999999996</v>
      </c>
      <c r="D1855" s="1">
        <v>76</v>
      </c>
      <c r="E1855" s="2">
        <v>104.636363636363</v>
      </c>
      <c r="F1855" s="1">
        <v>20</v>
      </c>
      <c r="G1855" s="1">
        <v>11541.78</v>
      </c>
      <c r="H1855" s="1" t="s">
        <v>10</v>
      </c>
      <c r="I1855" t="str">
        <f t="shared" si="28"/>
        <v>STRAWBERRY CAKE TEAPOT [22649]</v>
      </c>
    </row>
    <row r="1856" spans="1:9" x14ac:dyDescent="0.3">
      <c r="A1856" s="1">
        <v>22650</v>
      </c>
      <c r="B1856" t="s">
        <v>4290</v>
      </c>
      <c r="C1856" s="1">
        <v>1.52</v>
      </c>
      <c r="D1856" s="1">
        <v>78.5</v>
      </c>
      <c r="E1856" s="1">
        <v>89.3</v>
      </c>
      <c r="F1856" s="1">
        <v>20</v>
      </c>
      <c r="G1856" s="1">
        <v>2717.88</v>
      </c>
      <c r="H1856" s="1" t="s">
        <v>10</v>
      </c>
      <c r="I1856" t="str">
        <f t="shared" si="28"/>
        <v>CERAMIC PIRATE CHEST MONEY BANK [22650]</v>
      </c>
    </row>
    <row r="1857" spans="1:9" x14ac:dyDescent="0.3">
      <c r="A1857" s="1">
        <v>22651</v>
      </c>
      <c r="B1857" t="s">
        <v>4289</v>
      </c>
      <c r="C1857" s="1">
        <v>0.87</v>
      </c>
      <c r="D1857" s="1">
        <v>121</v>
      </c>
      <c r="E1857" s="2">
        <v>176.388888888888</v>
      </c>
      <c r="F1857" s="1">
        <v>18</v>
      </c>
      <c r="G1857" s="1">
        <v>2720.86</v>
      </c>
      <c r="H1857" s="1" t="s">
        <v>10</v>
      </c>
      <c r="I1857" t="str">
        <f t="shared" si="28"/>
        <v>GENTLEMAN SHIRT REPAIR KIT [22651]</v>
      </c>
    </row>
    <row r="1858" spans="1:9" x14ac:dyDescent="0.3">
      <c r="A1858" s="1">
        <v>22652</v>
      </c>
      <c r="B1858" t="s">
        <v>4288</v>
      </c>
      <c r="C1858" s="1">
        <v>1.69</v>
      </c>
      <c r="D1858" s="1">
        <v>445</v>
      </c>
      <c r="E1858" s="2">
        <v>582.94117647058795</v>
      </c>
      <c r="F1858" s="1">
        <v>17</v>
      </c>
      <c r="G1858" s="1">
        <v>16794.05</v>
      </c>
      <c r="H1858" s="1" t="s">
        <v>10</v>
      </c>
      <c r="I1858" t="str">
        <f t="shared" si="28"/>
        <v>TRAVEL SEWING KIT [22652]</v>
      </c>
    </row>
    <row r="1859" spans="1:9" x14ac:dyDescent="0.3">
      <c r="A1859" s="1">
        <v>22653</v>
      </c>
      <c r="B1859" t="s">
        <v>4287</v>
      </c>
      <c r="C1859" s="1">
        <v>1.96</v>
      </c>
      <c r="D1859" s="1">
        <v>150</v>
      </c>
      <c r="E1859" s="2">
        <v>168.388888888888</v>
      </c>
      <c r="F1859" s="1">
        <v>18</v>
      </c>
      <c r="G1859" s="1">
        <v>5618.21</v>
      </c>
      <c r="H1859" s="1" t="s">
        <v>10</v>
      </c>
      <c r="I1859" t="str">
        <f t="shared" ref="I1859:I1922" si="29">B1859&amp;" ["&amp;A1859&amp;"]"</f>
        <v>BUTTON BOX [22653]</v>
      </c>
    </row>
    <row r="1860" spans="1:9" x14ac:dyDescent="0.3">
      <c r="A1860" s="1">
        <v>22654</v>
      </c>
      <c r="B1860" t="s">
        <v>4286</v>
      </c>
      <c r="C1860" s="1">
        <v>6.7149999999999999</v>
      </c>
      <c r="D1860" s="1">
        <v>92</v>
      </c>
      <c r="E1860" s="2">
        <v>140.777777777777</v>
      </c>
      <c r="F1860" s="1">
        <v>18</v>
      </c>
      <c r="G1860" s="1">
        <v>16971.27</v>
      </c>
      <c r="H1860" s="1" t="s">
        <v>10</v>
      </c>
      <c r="I1860" t="str">
        <f t="shared" si="29"/>
        <v>DELUXE SEWING KIT [22654]</v>
      </c>
    </row>
    <row r="1861" spans="1:9" x14ac:dyDescent="0.3">
      <c r="A1861" s="1">
        <v>22655</v>
      </c>
      <c r="B1861" t="s">
        <v>4285</v>
      </c>
      <c r="C1861" s="1">
        <v>145.23500000000001</v>
      </c>
      <c r="D1861" s="1">
        <v>3.5</v>
      </c>
      <c r="E1861" s="1">
        <v>4.75</v>
      </c>
      <c r="F1861" s="1">
        <v>16</v>
      </c>
      <c r="G1861" s="1">
        <v>12845</v>
      </c>
      <c r="H1861" s="1" t="s">
        <v>8</v>
      </c>
      <c r="I1861" t="str">
        <f t="shared" si="29"/>
        <v>VINTAGE RED KITCHEN CABINET [22655]</v>
      </c>
    </row>
    <row r="1862" spans="1:9" x14ac:dyDescent="0.3">
      <c r="A1862" s="1">
        <v>22656</v>
      </c>
      <c r="B1862" t="s">
        <v>4284</v>
      </c>
      <c r="C1862" s="1">
        <v>173.57</v>
      </c>
      <c r="D1862" s="1">
        <v>2</v>
      </c>
      <c r="E1862" s="2">
        <v>3.4615384615384599</v>
      </c>
      <c r="F1862" s="1">
        <v>13</v>
      </c>
      <c r="G1862" s="1">
        <v>9290</v>
      </c>
      <c r="H1862" s="1" t="s">
        <v>8</v>
      </c>
      <c r="I1862" t="str">
        <f t="shared" si="29"/>
        <v>VINTAGE BLUE KITCHEN CABINET [22656]</v>
      </c>
    </row>
    <row r="1863" spans="1:9" x14ac:dyDescent="0.3">
      <c r="A1863" s="1">
        <v>22657</v>
      </c>
      <c r="B1863" t="s">
        <v>4283</v>
      </c>
      <c r="C1863" s="1">
        <v>0.85</v>
      </c>
      <c r="D1863" s="1">
        <v>17</v>
      </c>
      <c r="E1863" s="2">
        <v>19.6666666666666</v>
      </c>
      <c r="F1863" s="1">
        <v>3</v>
      </c>
      <c r="G1863" s="1">
        <v>50.15</v>
      </c>
      <c r="H1863" s="1" t="s">
        <v>9</v>
      </c>
      <c r="I1863" t="str">
        <f t="shared" si="29"/>
        <v>HEN &amp; 2 CHICKS IN BASKET [22657]</v>
      </c>
    </row>
    <row r="1864" spans="1:9" x14ac:dyDescent="0.3">
      <c r="A1864" s="1">
        <v>22659</v>
      </c>
      <c r="B1864" t="s">
        <v>4282</v>
      </c>
      <c r="C1864" s="1">
        <v>1.82</v>
      </c>
      <c r="D1864" s="1">
        <v>810</v>
      </c>
      <c r="E1864" s="2">
        <v>839.05263157894694</v>
      </c>
      <c r="F1864" s="1">
        <v>19</v>
      </c>
      <c r="G1864" s="1">
        <v>29563.81</v>
      </c>
      <c r="H1864" s="1" t="s">
        <v>10</v>
      </c>
      <c r="I1864" t="str">
        <f t="shared" si="29"/>
        <v>LUNCHBOX I LOVE LONDON [22659]</v>
      </c>
    </row>
    <row r="1865" spans="1:9" x14ac:dyDescent="0.3">
      <c r="A1865" s="1">
        <v>22660</v>
      </c>
      <c r="B1865" t="s">
        <v>4281</v>
      </c>
      <c r="C1865" s="1">
        <v>8.4</v>
      </c>
      <c r="D1865" s="1">
        <v>20</v>
      </c>
      <c r="E1865" s="2">
        <v>46.368421052631497</v>
      </c>
      <c r="F1865" s="1">
        <v>19</v>
      </c>
      <c r="G1865" s="1">
        <v>5839.41</v>
      </c>
      <c r="H1865" s="1" t="s">
        <v>9</v>
      </c>
      <c r="I1865" t="str">
        <f t="shared" si="29"/>
        <v>DOORMAT I LOVE LONDON [22660]</v>
      </c>
    </row>
    <row r="1866" spans="1:9" x14ac:dyDescent="0.3">
      <c r="A1866" s="1">
        <v>22661</v>
      </c>
      <c r="B1866" t="s">
        <v>4280</v>
      </c>
      <c r="C1866" s="1">
        <v>0.8</v>
      </c>
      <c r="D1866" s="1">
        <v>433.5</v>
      </c>
      <c r="E1866" s="1">
        <v>455.5</v>
      </c>
      <c r="F1866" s="1">
        <v>18</v>
      </c>
      <c r="G1866" s="1">
        <v>6620.45</v>
      </c>
      <c r="H1866" s="1" t="s">
        <v>10</v>
      </c>
      <c r="I1866" t="str">
        <f t="shared" si="29"/>
        <v>CHARLOTTE BAG DOLLY GIRL DESIGN [22661]</v>
      </c>
    </row>
    <row r="1867" spans="1:9" x14ac:dyDescent="0.3">
      <c r="A1867" s="1">
        <v>22662</v>
      </c>
      <c r="B1867" t="s">
        <v>4279</v>
      </c>
      <c r="C1867" s="1">
        <v>1.63</v>
      </c>
      <c r="D1867" s="1">
        <v>573</v>
      </c>
      <c r="E1867" s="2">
        <v>552.83333333333303</v>
      </c>
      <c r="F1867" s="1">
        <v>18</v>
      </c>
      <c r="G1867" s="1">
        <v>16213.61</v>
      </c>
      <c r="H1867" s="1" t="s">
        <v>10</v>
      </c>
      <c r="I1867" t="str">
        <f t="shared" si="29"/>
        <v>LUNCH BAG DOLLY GIRL DESIGN [22662]</v>
      </c>
    </row>
    <row r="1868" spans="1:9" x14ac:dyDescent="0.3">
      <c r="A1868" s="1">
        <v>22663</v>
      </c>
      <c r="B1868" t="s">
        <v>4278</v>
      </c>
      <c r="C1868" s="1">
        <v>2.04</v>
      </c>
      <c r="D1868" s="1">
        <v>286</v>
      </c>
      <c r="E1868" s="2">
        <v>320.222222222222</v>
      </c>
      <c r="F1868" s="1">
        <v>18</v>
      </c>
      <c r="G1868" s="2">
        <v>11465.289999999901</v>
      </c>
      <c r="H1868" s="1" t="s">
        <v>10</v>
      </c>
      <c r="I1868" t="str">
        <f t="shared" si="29"/>
        <v>JUMBO BAG DOLLY GIRL DESIGN [22663]</v>
      </c>
    </row>
    <row r="1869" spans="1:9" x14ac:dyDescent="0.3">
      <c r="A1869" s="1">
        <v>22664</v>
      </c>
      <c r="B1869" t="s">
        <v>4277</v>
      </c>
      <c r="C1869" s="1">
        <v>2.2400000000000002</v>
      </c>
      <c r="D1869" s="1">
        <v>57</v>
      </c>
      <c r="E1869" s="2">
        <v>79.3888888888888</v>
      </c>
      <c r="F1869" s="1">
        <v>18</v>
      </c>
      <c r="G1869" s="1">
        <v>2954.19</v>
      </c>
      <c r="H1869" s="1" t="s">
        <v>9</v>
      </c>
      <c r="I1869" t="str">
        <f t="shared" si="29"/>
        <v>TOY TIDY DOLLY GIRL DESIGN [22664]</v>
      </c>
    </row>
    <row r="1870" spans="1:9" x14ac:dyDescent="0.3">
      <c r="A1870" s="1">
        <v>22665</v>
      </c>
      <c r="B1870" t="s">
        <v>4276</v>
      </c>
      <c r="C1870" s="1">
        <v>3.29</v>
      </c>
      <c r="D1870" s="1">
        <v>156</v>
      </c>
      <c r="E1870" s="2">
        <v>173.82352941176401</v>
      </c>
      <c r="F1870" s="1">
        <v>17</v>
      </c>
      <c r="G1870" s="1">
        <v>9589.84</v>
      </c>
      <c r="H1870" s="1" t="s">
        <v>10</v>
      </c>
      <c r="I1870" t="str">
        <f t="shared" si="29"/>
        <v>RECIPE BOX BLUE SKETCHBOOK DESIGN [22665]</v>
      </c>
    </row>
    <row r="1871" spans="1:9" x14ac:dyDescent="0.3">
      <c r="A1871" s="1">
        <v>22666</v>
      </c>
      <c r="B1871" t="s">
        <v>4275</v>
      </c>
      <c r="C1871" s="2">
        <v>3.11</v>
      </c>
      <c r="D1871" s="1">
        <v>538</v>
      </c>
      <c r="E1871" s="2">
        <v>594.77777777777703</v>
      </c>
      <c r="F1871" s="1">
        <v>18</v>
      </c>
      <c r="G1871" s="1">
        <v>33682.620000000003</v>
      </c>
      <c r="H1871" s="1" t="s">
        <v>10</v>
      </c>
      <c r="I1871" t="str">
        <f t="shared" si="29"/>
        <v>RECIPE BOX PANTRY YELLOW DESIGN [22666]</v>
      </c>
    </row>
    <row r="1872" spans="1:9" x14ac:dyDescent="0.3">
      <c r="A1872" s="1">
        <v>22667</v>
      </c>
      <c r="B1872" t="s">
        <v>4274</v>
      </c>
      <c r="C1872" s="1">
        <v>2.8</v>
      </c>
      <c r="D1872" s="1">
        <v>249</v>
      </c>
      <c r="E1872" s="1">
        <v>255</v>
      </c>
      <c r="F1872" s="1">
        <v>17</v>
      </c>
      <c r="G1872" s="1">
        <v>13586.35</v>
      </c>
      <c r="H1872" s="1" t="s">
        <v>10</v>
      </c>
      <c r="I1872" t="str">
        <f t="shared" si="29"/>
        <v>RECIPE BOX RETRO SPOT DESIGN [22667]</v>
      </c>
    </row>
    <row r="1873" spans="1:9" x14ac:dyDescent="0.3">
      <c r="A1873" s="1">
        <v>22668</v>
      </c>
      <c r="B1873" t="s">
        <v>4273</v>
      </c>
      <c r="C1873" s="1">
        <v>3.125</v>
      </c>
      <c r="D1873" s="1">
        <v>193.5</v>
      </c>
      <c r="E1873" s="2">
        <v>199.277777777777</v>
      </c>
      <c r="F1873" s="1">
        <v>18</v>
      </c>
      <c r="G1873" s="1">
        <v>10898.05</v>
      </c>
      <c r="H1873" s="1" t="s">
        <v>10</v>
      </c>
      <c r="I1873" t="str">
        <f t="shared" si="29"/>
        <v>PINK BABY BUNTING [22668]</v>
      </c>
    </row>
    <row r="1874" spans="1:9" x14ac:dyDescent="0.3">
      <c r="A1874" s="1">
        <v>22669</v>
      </c>
      <c r="B1874" t="s">
        <v>4272</v>
      </c>
      <c r="C1874" s="1">
        <v>3.1</v>
      </c>
      <c r="D1874" s="1">
        <v>103</v>
      </c>
      <c r="E1874" s="2">
        <v>132.555555555555</v>
      </c>
      <c r="F1874" s="1">
        <v>18</v>
      </c>
      <c r="G1874" s="1">
        <v>7613.94</v>
      </c>
      <c r="H1874" s="1" t="s">
        <v>10</v>
      </c>
      <c r="I1874" t="str">
        <f t="shared" si="29"/>
        <v>RED BABY BUNTING [22669]</v>
      </c>
    </row>
    <row r="1875" spans="1:9" x14ac:dyDescent="0.3">
      <c r="A1875" s="1">
        <v>22670</v>
      </c>
      <c r="B1875" t="s">
        <v>4271</v>
      </c>
      <c r="C1875" s="1">
        <v>1.31</v>
      </c>
      <c r="D1875" s="1">
        <v>147</v>
      </c>
      <c r="E1875" s="2">
        <v>260.70588235294099</v>
      </c>
      <c r="F1875" s="1">
        <v>17</v>
      </c>
      <c r="G1875" s="1">
        <v>5510.57</v>
      </c>
      <c r="H1875" s="1" t="s">
        <v>10</v>
      </c>
      <c r="I1875" t="str">
        <f t="shared" si="29"/>
        <v>FRENCH WC SIGN BLUE METAL [22670]</v>
      </c>
    </row>
    <row r="1876" spans="1:9" x14ac:dyDescent="0.3">
      <c r="A1876" s="1">
        <v>22671</v>
      </c>
      <c r="B1876" t="s">
        <v>4270</v>
      </c>
      <c r="C1876" s="1">
        <v>1.71</v>
      </c>
      <c r="D1876" s="1">
        <v>48</v>
      </c>
      <c r="E1876" s="2">
        <v>99.294117647058798</v>
      </c>
      <c r="F1876" s="1">
        <v>17</v>
      </c>
      <c r="G1876" s="1">
        <v>2811.34</v>
      </c>
      <c r="H1876" s="1" t="s">
        <v>9</v>
      </c>
      <c r="I1876" t="str">
        <f t="shared" si="29"/>
        <v>FRENCH LAUNDRY SIGN BLUE METAL [22671]</v>
      </c>
    </row>
    <row r="1877" spans="1:9" x14ac:dyDescent="0.3">
      <c r="A1877" s="1">
        <v>22672</v>
      </c>
      <c r="B1877" t="s">
        <v>4269</v>
      </c>
      <c r="C1877" s="1">
        <v>1.73</v>
      </c>
      <c r="D1877" s="1">
        <v>119</v>
      </c>
      <c r="E1877" s="2">
        <v>167.64705882352899</v>
      </c>
      <c r="F1877" s="1">
        <v>17</v>
      </c>
      <c r="G1877" s="1">
        <v>4736.1099999999997</v>
      </c>
      <c r="H1877" s="1" t="s">
        <v>10</v>
      </c>
      <c r="I1877" t="str">
        <f t="shared" si="29"/>
        <v>FRENCH BATHROOM SIGN BLUE METAL [22672]</v>
      </c>
    </row>
    <row r="1878" spans="1:9" x14ac:dyDescent="0.3">
      <c r="A1878" s="1">
        <v>22673</v>
      </c>
      <c r="B1878" t="s">
        <v>4268</v>
      </c>
      <c r="C1878" s="1">
        <v>1.28</v>
      </c>
      <c r="D1878" s="1">
        <v>74</v>
      </c>
      <c r="E1878" s="1">
        <v>77.647058823529406</v>
      </c>
      <c r="F1878" s="1">
        <v>17</v>
      </c>
      <c r="G1878" s="1">
        <v>1667.5</v>
      </c>
      <c r="H1878" s="1" t="s">
        <v>10</v>
      </c>
      <c r="I1878" t="str">
        <f t="shared" si="29"/>
        <v>FRENCH GARDEN SIGN BLUE METAL [22673]</v>
      </c>
    </row>
    <row r="1879" spans="1:9" x14ac:dyDescent="0.3">
      <c r="A1879" s="1">
        <v>22674</v>
      </c>
      <c r="B1879" t="s">
        <v>4267</v>
      </c>
      <c r="C1879" s="1">
        <v>1.28</v>
      </c>
      <c r="D1879" s="1">
        <v>115</v>
      </c>
      <c r="E1879" s="2">
        <v>139.82352941176401</v>
      </c>
      <c r="F1879" s="1">
        <v>17</v>
      </c>
      <c r="G1879" s="1">
        <v>2956.33</v>
      </c>
      <c r="H1879" s="1" t="s">
        <v>10</v>
      </c>
      <c r="I1879" t="str">
        <f t="shared" si="29"/>
        <v>FRENCH TOILET SIGN BLUE METAL [22674]</v>
      </c>
    </row>
    <row r="1880" spans="1:9" x14ac:dyDescent="0.3">
      <c r="A1880" s="1">
        <v>22675</v>
      </c>
      <c r="B1880" t="s">
        <v>4266</v>
      </c>
      <c r="C1880" s="1">
        <v>1.27</v>
      </c>
      <c r="D1880" s="1">
        <v>98</v>
      </c>
      <c r="E1880" s="1">
        <v>131</v>
      </c>
      <c r="F1880" s="1">
        <v>17</v>
      </c>
      <c r="G1880" s="1">
        <v>2754.95</v>
      </c>
      <c r="H1880" s="1" t="s">
        <v>10</v>
      </c>
      <c r="I1880" t="str">
        <f t="shared" si="29"/>
        <v>FRENCH KITCHEN SIGN BLUE METAL [22675]</v>
      </c>
    </row>
    <row r="1881" spans="1:9" x14ac:dyDescent="0.3">
      <c r="A1881" s="1">
        <v>22676</v>
      </c>
      <c r="B1881" t="s">
        <v>4265</v>
      </c>
      <c r="C1881" s="1">
        <v>1.31</v>
      </c>
      <c r="D1881" s="1">
        <v>92</v>
      </c>
      <c r="E1881" s="2">
        <v>101.666666666666</v>
      </c>
      <c r="F1881" s="1">
        <v>17</v>
      </c>
      <c r="G1881" s="1">
        <v>2464.98</v>
      </c>
      <c r="H1881" s="1" t="s">
        <v>10</v>
      </c>
      <c r="I1881" t="str">
        <f t="shared" si="29"/>
        <v>FRENCH BLUE METAL DOOR SIGN, 1 [22676]</v>
      </c>
    </row>
    <row r="1882" spans="1:9" x14ac:dyDescent="0.3">
      <c r="A1882" s="1">
        <v>22677</v>
      </c>
      <c r="B1882" t="s">
        <v>4264</v>
      </c>
      <c r="C1882" s="1">
        <v>1.34</v>
      </c>
      <c r="D1882" s="1">
        <v>81</v>
      </c>
      <c r="E1882" s="2">
        <v>87.9444444444444</v>
      </c>
      <c r="F1882" s="1">
        <v>17</v>
      </c>
      <c r="G1882" s="1">
        <v>2143.0300000000002</v>
      </c>
      <c r="H1882" s="1" t="s">
        <v>10</v>
      </c>
      <c r="I1882" t="str">
        <f t="shared" si="29"/>
        <v>FRENCH BLUE METAL DOOR SIGN, 2 [22677]</v>
      </c>
    </row>
    <row r="1883" spans="1:9" x14ac:dyDescent="0.3">
      <c r="A1883" s="1">
        <v>22678</v>
      </c>
      <c r="B1883" t="s">
        <v>4263</v>
      </c>
      <c r="C1883" s="1">
        <v>1.3149999999999999</v>
      </c>
      <c r="D1883" s="1">
        <v>60.5</v>
      </c>
      <c r="E1883" s="2">
        <v>77.7777777777777</v>
      </c>
      <c r="F1883" s="1">
        <v>17</v>
      </c>
      <c r="G1883" s="1">
        <v>1875.53</v>
      </c>
      <c r="H1883" s="1" t="s">
        <v>9</v>
      </c>
      <c r="I1883" t="str">
        <f t="shared" si="29"/>
        <v>FRENCH BLUE METAL DOOR SIGN, 3 [22678]</v>
      </c>
    </row>
    <row r="1884" spans="1:9" x14ac:dyDescent="0.3">
      <c r="A1884" s="1">
        <v>22679</v>
      </c>
      <c r="B1884" t="s">
        <v>4262</v>
      </c>
      <c r="C1884" s="2">
        <v>1.38499999999999</v>
      </c>
      <c r="D1884" s="1">
        <v>64.5</v>
      </c>
      <c r="E1884" s="2">
        <v>70.1666666666666</v>
      </c>
      <c r="F1884" s="1">
        <v>17</v>
      </c>
      <c r="G1884" s="1">
        <v>1695.68</v>
      </c>
      <c r="H1884" s="1" t="s">
        <v>10</v>
      </c>
      <c r="I1884" t="str">
        <f t="shared" si="29"/>
        <v>FRENCH BLUE METAL DOOR SIGN, 4 [22679]</v>
      </c>
    </row>
    <row r="1885" spans="1:9" x14ac:dyDescent="0.3">
      <c r="A1885" s="1">
        <v>22680</v>
      </c>
      <c r="B1885" t="s">
        <v>4261</v>
      </c>
      <c r="C1885" s="1">
        <v>1.31</v>
      </c>
      <c r="D1885" s="1">
        <v>72</v>
      </c>
      <c r="E1885" s="2">
        <v>75.3333333333333</v>
      </c>
      <c r="F1885" s="1">
        <v>17</v>
      </c>
      <c r="G1885" s="1">
        <v>1820.45</v>
      </c>
      <c r="H1885" s="1" t="s">
        <v>10</v>
      </c>
      <c r="I1885" t="str">
        <f t="shared" si="29"/>
        <v>FRENCH BLUE METAL DOOR SIGN, 5 [22680]</v>
      </c>
    </row>
    <row r="1886" spans="1:9" x14ac:dyDescent="0.3">
      <c r="A1886" s="1">
        <v>22681</v>
      </c>
      <c r="B1886" t="s">
        <v>4260</v>
      </c>
      <c r="C1886" s="1">
        <v>1.33</v>
      </c>
      <c r="D1886" s="1">
        <v>57.5</v>
      </c>
      <c r="E1886" s="2">
        <v>64.8333333333333</v>
      </c>
      <c r="F1886" s="1">
        <v>17</v>
      </c>
      <c r="G1886" s="1">
        <v>1559.52</v>
      </c>
      <c r="H1886" s="1" t="s">
        <v>9</v>
      </c>
      <c r="I1886" t="str">
        <f t="shared" si="29"/>
        <v>FRENCH BLUE METAL DOOR SIGN, 6 [22681]</v>
      </c>
    </row>
    <row r="1887" spans="1:9" x14ac:dyDescent="0.3">
      <c r="A1887" s="1">
        <v>22682</v>
      </c>
      <c r="B1887" t="s">
        <v>4259</v>
      </c>
      <c r="C1887" s="1">
        <v>1.3</v>
      </c>
      <c r="D1887" s="1">
        <v>63</v>
      </c>
      <c r="E1887" s="2">
        <v>64.7777777777777</v>
      </c>
      <c r="F1887" s="1">
        <v>17</v>
      </c>
      <c r="G1887" s="1">
        <v>1521.86</v>
      </c>
      <c r="H1887" s="1" t="s">
        <v>10</v>
      </c>
      <c r="I1887" t="str">
        <f t="shared" si="29"/>
        <v>FRENCH BLUE METAL DOOR SIGN, 7 [22682]</v>
      </c>
    </row>
    <row r="1888" spans="1:9" x14ac:dyDescent="0.3">
      <c r="A1888" s="1">
        <v>22683</v>
      </c>
      <c r="B1888" t="s">
        <v>4258</v>
      </c>
      <c r="C1888" s="1">
        <v>1.335</v>
      </c>
      <c r="D1888" s="1">
        <v>46.5</v>
      </c>
      <c r="E1888" s="2">
        <v>62.8333333333333</v>
      </c>
      <c r="F1888" s="1">
        <v>17</v>
      </c>
      <c r="G1888" s="1">
        <v>1501.66</v>
      </c>
      <c r="H1888" s="1" t="s">
        <v>9</v>
      </c>
      <c r="I1888" t="str">
        <f t="shared" si="29"/>
        <v>FRENCH BLUE METAL DOOR SIGN, 8 [22683]</v>
      </c>
    </row>
    <row r="1889" spans="1:9" x14ac:dyDescent="0.3">
      <c r="A1889" s="1">
        <v>22684</v>
      </c>
      <c r="B1889" t="s">
        <v>4257</v>
      </c>
      <c r="C1889" s="1">
        <v>1.335</v>
      </c>
      <c r="D1889" s="1">
        <v>41</v>
      </c>
      <c r="E1889" s="2">
        <v>56.2222222222222</v>
      </c>
      <c r="F1889" s="1">
        <v>17</v>
      </c>
      <c r="G1889" s="1">
        <v>1342.44</v>
      </c>
      <c r="H1889" s="1" t="s">
        <v>9</v>
      </c>
      <c r="I1889" t="str">
        <f t="shared" si="29"/>
        <v>FRENCH BLUE METAL DOOR SIGN, 9 [22684]</v>
      </c>
    </row>
    <row r="1890" spans="1:9" x14ac:dyDescent="0.3">
      <c r="A1890" s="1">
        <v>22685</v>
      </c>
      <c r="B1890" t="s">
        <v>4256</v>
      </c>
      <c r="C1890" s="1">
        <v>1.2949999999999999</v>
      </c>
      <c r="D1890" s="1">
        <v>45</v>
      </c>
      <c r="E1890" s="2">
        <v>60.1111111111111</v>
      </c>
      <c r="F1890" s="1">
        <v>17</v>
      </c>
      <c r="G1890" s="1">
        <v>1395.84</v>
      </c>
      <c r="H1890" s="1" t="s">
        <v>9</v>
      </c>
      <c r="I1890" t="str">
        <f t="shared" si="29"/>
        <v>FRENCH BLUE METAL DOOR SIGN, 0 [22685]</v>
      </c>
    </row>
    <row r="1891" spans="1:9" x14ac:dyDescent="0.3">
      <c r="A1891" s="1">
        <v>22686</v>
      </c>
      <c r="B1891" t="s">
        <v>4255</v>
      </c>
      <c r="C1891" s="1">
        <v>1.36</v>
      </c>
      <c r="D1891" s="1">
        <v>59</v>
      </c>
      <c r="E1891" s="2">
        <v>78.1111111111111</v>
      </c>
      <c r="F1891" s="1">
        <v>17</v>
      </c>
      <c r="G1891" s="2">
        <v>1857.3899999999901</v>
      </c>
      <c r="H1891" s="1" t="s">
        <v>9</v>
      </c>
      <c r="I1891" t="str">
        <f t="shared" si="29"/>
        <v>FRENCH BLUE METAL DOOR SIGN, No [22686]</v>
      </c>
    </row>
    <row r="1892" spans="1:9" x14ac:dyDescent="0.3">
      <c r="A1892" s="1">
        <v>22687</v>
      </c>
      <c r="B1892" t="s">
        <v>4254</v>
      </c>
      <c r="C1892" s="1">
        <v>7.88</v>
      </c>
      <c r="D1892" s="1">
        <v>22</v>
      </c>
      <c r="E1892" s="2">
        <v>68.846153846153797</v>
      </c>
      <c r="F1892" s="1">
        <v>13</v>
      </c>
      <c r="G1892" s="1">
        <v>5784.67</v>
      </c>
      <c r="H1892" s="1" t="s">
        <v>9</v>
      </c>
      <c r="I1892" t="str">
        <f t="shared" si="29"/>
        <v>DOORMAT CHRISTMAS VILLAGE [22687]</v>
      </c>
    </row>
    <row r="1893" spans="1:9" x14ac:dyDescent="0.3">
      <c r="A1893" s="1">
        <v>22688</v>
      </c>
      <c r="B1893" t="s">
        <v>4253</v>
      </c>
      <c r="C1893" s="1">
        <v>7.57</v>
      </c>
      <c r="D1893" s="1">
        <v>14</v>
      </c>
      <c r="E1893" s="2">
        <v>66.538461538461505</v>
      </c>
      <c r="F1893" s="1">
        <v>13</v>
      </c>
      <c r="G1893" s="1">
        <v>4756.7</v>
      </c>
      <c r="H1893" s="1" t="s">
        <v>9</v>
      </c>
      <c r="I1893" t="str">
        <f t="shared" si="29"/>
        <v>DOORMAT PEACE ON EARTH BLUE [22688]</v>
      </c>
    </row>
    <row r="1894" spans="1:9" x14ac:dyDescent="0.3">
      <c r="A1894" s="1">
        <v>22689</v>
      </c>
      <c r="B1894" t="s">
        <v>4252</v>
      </c>
      <c r="C1894" s="1">
        <v>7.82</v>
      </c>
      <c r="D1894" s="1">
        <v>60</v>
      </c>
      <c r="E1894" s="1">
        <v>72.8</v>
      </c>
      <c r="F1894" s="1">
        <v>15</v>
      </c>
      <c r="G1894" s="1">
        <v>8366.7199999999993</v>
      </c>
      <c r="H1894" s="1" t="s">
        <v>9</v>
      </c>
      <c r="I1894" t="str">
        <f t="shared" si="29"/>
        <v>DOORMAT MERRY CHRISTMAS RED [22689]</v>
      </c>
    </row>
    <row r="1895" spans="1:9" x14ac:dyDescent="0.3">
      <c r="A1895" s="1">
        <v>22690</v>
      </c>
      <c r="B1895" t="s">
        <v>4251</v>
      </c>
      <c r="C1895" s="1">
        <v>7.5</v>
      </c>
      <c r="D1895" s="1">
        <v>76</v>
      </c>
      <c r="E1895" s="2">
        <v>133.157894736842</v>
      </c>
      <c r="F1895" s="1">
        <v>19</v>
      </c>
      <c r="G1895" s="1">
        <v>15836.35</v>
      </c>
      <c r="H1895" s="1" t="s">
        <v>10</v>
      </c>
      <c r="I1895" t="str">
        <f t="shared" si="29"/>
        <v>DOORMAT HOME SWEET HOME BLUE [22690]</v>
      </c>
    </row>
    <row r="1896" spans="1:9" x14ac:dyDescent="0.3">
      <c r="A1896" s="1">
        <v>22691</v>
      </c>
      <c r="B1896" t="s">
        <v>4250</v>
      </c>
      <c r="C1896" s="1">
        <v>8.2050000000000001</v>
      </c>
      <c r="D1896" s="1">
        <v>24</v>
      </c>
      <c r="E1896" s="2">
        <v>42.1111111111111</v>
      </c>
      <c r="F1896" s="1">
        <v>18</v>
      </c>
      <c r="G1896" s="1">
        <v>5198.6000000000004</v>
      </c>
      <c r="H1896" s="1" t="s">
        <v>9</v>
      </c>
      <c r="I1896" t="str">
        <f t="shared" si="29"/>
        <v>DOORMAT WELCOME SUNRISE [22691]</v>
      </c>
    </row>
    <row r="1897" spans="1:9" x14ac:dyDescent="0.3">
      <c r="A1897" s="1">
        <v>22692</v>
      </c>
      <c r="B1897" t="s">
        <v>4249</v>
      </c>
      <c r="C1897" s="1">
        <v>8.2100000000000009</v>
      </c>
      <c r="D1897" s="1">
        <v>105</v>
      </c>
      <c r="E1897" s="2">
        <v>112.36842105263101</v>
      </c>
      <c r="F1897" s="1">
        <v>19</v>
      </c>
      <c r="G1897" s="1">
        <v>15965.95</v>
      </c>
      <c r="H1897" s="1" t="s">
        <v>10</v>
      </c>
      <c r="I1897" t="str">
        <f t="shared" si="29"/>
        <v>DOORMAT WELCOME TO OUR HOME [22692]</v>
      </c>
    </row>
    <row r="1898" spans="1:9" x14ac:dyDescent="0.3">
      <c r="A1898" s="1">
        <v>22693</v>
      </c>
      <c r="B1898" t="s">
        <v>4248</v>
      </c>
      <c r="C1898" s="1">
        <v>1.23</v>
      </c>
      <c r="D1898" s="1">
        <v>802</v>
      </c>
      <c r="E1898" s="2">
        <v>1051.4705882352901</v>
      </c>
      <c r="F1898" s="1">
        <v>17</v>
      </c>
      <c r="G1898" s="1">
        <v>20469.080000000002</v>
      </c>
      <c r="H1898" s="1" t="s">
        <v>10</v>
      </c>
      <c r="I1898" t="str">
        <f t="shared" si="29"/>
        <v>GROW A FLYTRAP OR SUNFLOWER IN TIN [22693]</v>
      </c>
    </row>
    <row r="1899" spans="1:9" x14ac:dyDescent="0.3">
      <c r="A1899" s="1">
        <v>22694</v>
      </c>
      <c r="B1899" t="s">
        <v>4247</v>
      </c>
      <c r="C1899" s="1">
        <v>2.23</v>
      </c>
      <c r="D1899" s="1">
        <v>56.5</v>
      </c>
      <c r="E1899" s="2">
        <v>271.83333333333297</v>
      </c>
      <c r="F1899" s="1">
        <v>18</v>
      </c>
      <c r="G1899" s="1">
        <v>10958.6</v>
      </c>
      <c r="H1899" s="1" t="s">
        <v>9</v>
      </c>
      <c r="I1899" t="str">
        <f t="shared" si="29"/>
        <v>WICKER STAR [22694]</v>
      </c>
    </row>
    <row r="1900" spans="1:9" x14ac:dyDescent="0.3">
      <c r="A1900" s="1">
        <v>22695</v>
      </c>
      <c r="B1900" t="s">
        <v>4246</v>
      </c>
      <c r="C1900" s="1">
        <v>1.46</v>
      </c>
      <c r="D1900" s="1">
        <v>55</v>
      </c>
      <c r="E1900" s="2">
        <v>85.705882352941103</v>
      </c>
      <c r="F1900" s="1">
        <v>17</v>
      </c>
      <c r="G1900" s="1">
        <v>2070.15</v>
      </c>
      <c r="H1900" s="1" t="s">
        <v>9</v>
      </c>
      <c r="I1900" t="str">
        <f t="shared" si="29"/>
        <v>WICKER WREATH SMALL [22695]</v>
      </c>
    </row>
    <row r="1901" spans="1:9" x14ac:dyDescent="0.3">
      <c r="A1901" s="1">
        <v>22696</v>
      </c>
      <c r="B1901" t="s">
        <v>4245</v>
      </c>
      <c r="C1901" s="1">
        <v>1.95</v>
      </c>
      <c r="D1901" s="1">
        <v>61</v>
      </c>
      <c r="E1901" s="2">
        <v>78.6111111111111</v>
      </c>
      <c r="F1901" s="1">
        <v>18</v>
      </c>
      <c r="G1901" s="1">
        <v>2790.83</v>
      </c>
      <c r="H1901" s="1" t="s">
        <v>9</v>
      </c>
      <c r="I1901" t="str">
        <f t="shared" si="29"/>
        <v>WICKER WREATH LARGE [22696]</v>
      </c>
    </row>
    <row r="1902" spans="1:9" x14ac:dyDescent="0.3">
      <c r="A1902" s="1">
        <v>22697</v>
      </c>
      <c r="B1902" t="s">
        <v>4244</v>
      </c>
      <c r="C1902" s="2">
        <v>3.07</v>
      </c>
      <c r="D1902" s="1">
        <v>538.5</v>
      </c>
      <c r="E1902" s="1">
        <v>489.75</v>
      </c>
      <c r="F1902" s="1">
        <v>17</v>
      </c>
      <c r="G1902" s="1">
        <v>30425.05</v>
      </c>
      <c r="H1902" s="1" t="s">
        <v>10</v>
      </c>
      <c r="I1902" t="str">
        <f t="shared" si="29"/>
        <v>GREEN REGENCY TEACUP AND SAUCER [22697]</v>
      </c>
    </row>
    <row r="1903" spans="1:9" x14ac:dyDescent="0.3">
      <c r="A1903" s="1">
        <v>22698</v>
      </c>
      <c r="B1903" t="s">
        <v>4243</v>
      </c>
      <c r="C1903" s="1">
        <v>2.95</v>
      </c>
      <c r="D1903" s="1">
        <v>480</v>
      </c>
      <c r="E1903" s="2">
        <v>431.21052631578902</v>
      </c>
      <c r="F1903" s="1">
        <v>16</v>
      </c>
      <c r="G1903" s="1">
        <v>24374.62</v>
      </c>
      <c r="H1903" s="1" t="s">
        <v>10</v>
      </c>
      <c r="I1903" t="str">
        <f t="shared" si="29"/>
        <v>PINK REGENCY TEACUP AND SAUCER [22698]</v>
      </c>
    </row>
    <row r="1904" spans="1:9" x14ac:dyDescent="0.3">
      <c r="A1904" s="1">
        <v>22699</v>
      </c>
      <c r="B1904" t="s">
        <v>4242</v>
      </c>
      <c r="C1904" s="1">
        <v>2.915</v>
      </c>
      <c r="D1904" s="1">
        <v>648</v>
      </c>
      <c r="E1904" s="1">
        <v>653.5</v>
      </c>
      <c r="F1904" s="1">
        <v>17</v>
      </c>
      <c r="G1904" s="1">
        <v>38249.5</v>
      </c>
      <c r="H1904" s="1" t="s">
        <v>10</v>
      </c>
      <c r="I1904" t="str">
        <f t="shared" si="29"/>
        <v>ROSES REGENCY TEACUP AND SAUCER [22699]</v>
      </c>
    </row>
    <row r="1905" spans="1:9" x14ac:dyDescent="0.3">
      <c r="A1905" s="1">
        <v>22700</v>
      </c>
      <c r="B1905" t="s">
        <v>4241</v>
      </c>
      <c r="C1905" s="1">
        <v>2.95</v>
      </c>
      <c r="D1905" s="1">
        <v>29</v>
      </c>
      <c r="E1905" s="2">
        <v>92.266666666666595</v>
      </c>
      <c r="F1905" s="1">
        <v>15</v>
      </c>
      <c r="G1905" s="1">
        <v>3155.4</v>
      </c>
      <c r="H1905" s="1" t="s">
        <v>9</v>
      </c>
      <c r="I1905" t="str">
        <f t="shared" si="29"/>
        <v>BLACK AND WHITE DOG BOWL [22700]</v>
      </c>
    </row>
    <row r="1906" spans="1:9" x14ac:dyDescent="0.3">
      <c r="A1906" s="1">
        <v>22701</v>
      </c>
      <c r="B1906" t="s">
        <v>4240</v>
      </c>
      <c r="C1906" s="1">
        <v>2.75</v>
      </c>
      <c r="D1906" s="1">
        <v>23</v>
      </c>
      <c r="E1906" s="2">
        <v>35.5263157894736</v>
      </c>
      <c r="F1906" s="1">
        <v>19</v>
      </c>
      <c r="G1906" s="1">
        <v>1320.57</v>
      </c>
      <c r="H1906" s="1" t="s">
        <v>9</v>
      </c>
      <c r="I1906" t="str">
        <f t="shared" si="29"/>
        <v>PINK DOG BOWL [22701]</v>
      </c>
    </row>
    <row r="1907" spans="1:9" x14ac:dyDescent="0.3">
      <c r="A1907" s="1">
        <v>22702</v>
      </c>
      <c r="B1907" t="s">
        <v>4239</v>
      </c>
      <c r="C1907" s="1">
        <v>2.1</v>
      </c>
      <c r="D1907" s="1">
        <v>23</v>
      </c>
      <c r="E1907" s="2">
        <v>83.631578947368396</v>
      </c>
      <c r="F1907" s="1">
        <v>19</v>
      </c>
      <c r="G1907" s="2">
        <v>3156.3199999999902</v>
      </c>
      <c r="H1907" s="1" t="s">
        <v>9</v>
      </c>
      <c r="I1907" t="str">
        <f t="shared" si="29"/>
        <v>BLACK AND WHITE CAT BOWL [22702]</v>
      </c>
    </row>
    <row r="1908" spans="1:9" x14ac:dyDescent="0.3">
      <c r="A1908" s="1">
        <v>22703</v>
      </c>
      <c r="B1908" t="s">
        <v>4238</v>
      </c>
      <c r="C1908" s="1">
        <v>2.1800000000000002</v>
      </c>
      <c r="D1908" s="1">
        <v>24</v>
      </c>
      <c r="E1908" s="1">
        <v>27</v>
      </c>
      <c r="F1908" s="1">
        <v>19</v>
      </c>
      <c r="G1908" s="2">
        <v>921.81</v>
      </c>
      <c r="H1908" s="1" t="s">
        <v>9</v>
      </c>
      <c r="I1908" t="str">
        <f t="shared" si="29"/>
        <v>PINK CAT BOWL [22703]</v>
      </c>
    </row>
    <row r="1909" spans="1:9" x14ac:dyDescent="0.3">
      <c r="A1909" s="1">
        <v>22704</v>
      </c>
      <c r="B1909" t="s">
        <v>4237</v>
      </c>
      <c r="C1909" s="1">
        <v>0.42</v>
      </c>
      <c r="D1909" s="1">
        <v>400</v>
      </c>
      <c r="E1909" s="1">
        <v>433.9</v>
      </c>
      <c r="F1909" s="1">
        <v>20</v>
      </c>
      <c r="G1909" s="1">
        <v>3564.76</v>
      </c>
      <c r="H1909" s="1" t="s">
        <v>10</v>
      </c>
      <c r="I1909" t="str">
        <f t="shared" si="29"/>
        <v>WRAP RED APPLES [22704]</v>
      </c>
    </row>
    <row r="1910" spans="1:9" x14ac:dyDescent="0.3">
      <c r="A1910" s="1">
        <v>22705</v>
      </c>
      <c r="B1910" t="s">
        <v>4236</v>
      </c>
      <c r="C1910" s="1">
        <v>0.42</v>
      </c>
      <c r="D1910" s="1">
        <v>187.5</v>
      </c>
      <c r="E1910" s="1">
        <v>186.65</v>
      </c>
      <c r="F1910" s="1">
        <v>20</v>
      </c>
      <c r="G1910" s="1">
        <v>1567.86</v>
      </c>
      <c r="H1910" s="1" t="s">
        <v>10</v>
      </c>
      <c r="I1910" t="str">
        <f t="shared" si="29"/>
        <v>WRAP GREEN PEARS [22705]</v>
      </c>
    </row>
    <row r="1911" spans="1:9" x14ac:dyDescent="0.3">
      <c r="A1911" s="1">
        <v>22706</v>
      </c>
      <c r="B1911" t="s">
        <v>4235</v>
      </c>
      <c r="C1911" s="1">
        <v>0.42</v>
      </c>
      <c r="D1911" s="1">
        <v>150</v>
      </c>
      <c r="E1911" s="2">
        <v>222.210526315789</v>
      </c>
      <c r="F1911" s="1">
        <v>19</v>
      </c>
      <c r="G1911" s="1">
        <v>1693.24</v>
      </c>
      <c r="H1911" s="1" t="s">
        <v>10</v>
      </c>
      <c r="I1911" t="str">
        <f t="shared" si="29"/>
        <v>WRAP COWBOYS [22706]</v>
      </c>
    </row>
    <row r="1912" spans="1:9" x14ac:dyDescent="0.3">
      <c r="A1912" s="1">
        <v>22707</v>
      </c>
      <c r="B1912" t="s">
        <v>4234</v>
      </c>
      <c r="C1912" s="1">
        <v>0.42</v>
      </c>
      <c r="D1912" s="1">
        <v>100</v>
      </c>
      <c r="E1912" s="1">
        <v>107.85</v>
      </c>
      <c r="F1912" s="1">
        <v>20</v>
      </c>
      <c r="G1912" s="1">
        <v>905.94</v>
      </c>
      <c r="H1912" s="1" t="s">
        <v>10</v>
      </c>
      <c r="I1912" t="str">
        <f t="shared" si="29"/>
        <v>WRAP MONSTER FUN [22707]</v>
      </c>
    </row>
    <row r="1913" spans="1:9" x14ac:dyDescent="0.3">
      <c r="A1913" s="1">
        <v>22708</v>
      </c>
      <c r="B1913" t="s">
        <v>4233</v>
      </c>
      <c r="C1913" s="1">
        <v>0.42</v>
      </c>
      <c r="D1913" s="1">
        <v>200</v>
      </c>
      <c r="E1913" s="2">
        <v>280.26315789473603</v>
      </c>
      <c r="F1913" s="1">
        <v>19</v>
      </c>
      <c r="G1913" s="1">
        <v>2140.5</v>
      </c>
      <c r="H1913" s="1" t="s">
        <v>10</v>
      </c>
      <c r="I1913" t="str">
        <f t="shared" si="29"/>
        <v>WRAP DOLLY GIRL [22708]</v>
      </c>
    </row>
    <row r="1914" spans="1:9" x14ac:dyDescent="0.3">
      <c r="A1914" s="1">
        <v>22709</v>
      </c>
      <c r="B1914" t="s">
        <v>4232</v>
      </c>
      <c r="C1914" s="1">
        <v>0.42</v>
      </c>
      <c r="D1914" s="1">
        <v>100</v>
      </c>
      <c r="E1914" s="2">
        <v>164.64705882352899</v>
      </c>
      <c r="F1914" s="1">
        <v>17</v>
      </c>
      <c r="G1914" s="1">
        <v>1099.58</v>
      </c>
      <c r="H1914" s="1" t="s">
        <v>10</v>
      </c>
      <c r="I1914" t="str">
        <f t="shared" si="29"/>
        <v>WRAP WEDDING DAY [22709]</v>
      </c>
    </row>
    <row r="1915" spans="1:9" x14ac:dyDescent="0.3">
      <c r="A1915" s="1">
        <v>22710</v>
      </c>
      <c r="B1915" t="s">
        <v>4231</v>
      </c>
      <c r="C1915" s="1">
        <v>0.42</v>
      </c>
      <c r="D1915" s="1">
        <v>287.5</v>
      </c>
      <c r="E1915" s="1">
        <v>359.2</v>
      </c>
      <c r="F1915" s="1">
        <v>20</v>
      </c>
      <c r="G1915" s="2">
        <v>2821.2799999999902</v>
      </c>
      <c r="H1915" s="1" t="s">
        <v>10</v>
      </c>
      <c r="I1915" t="str">
        <f t="shared" si="29"/>
        <v>WRAP I LOVE LONDON [22710]</v>
      </c>
    </row>
    <row r="1916" spans="1:9" x14ac:dyDescent="0.3">
      <c r="A1916" s="1">
        <v>22711</v>
      </c>
      <c r="B1916" t="s">
        <v>4230</v>
      </c>
      <c r="C1916" s="1">
        <v>0.42</v>
      </c>
      <c r="D1916" s="1">
        <v>275</v>
      </c>
      <c r="E1916" s="1">
        <v>268.85000000000002</v>
      </c>
      <c r="F1916" s="1">
        <v>20</v>
      </c>
      <c r="G1916" s="1">
        <v>2210.34</v>
      </c>
      <c r="H1916" s="1" t="s">
        <v>10</v>
      </c>
      <c r="I1916" t="str">
        <f t="shared" si="29"/>
        <v>WRAP CIRCUS PARADE [22711]</v>
      </c>
    </row>
    <row r="1917" spans="1:9" x14ac:dyDescent="0.3">
      <c r="A1917" s="1">
        <v>22712</v>
      </c>
      <c r="B1917" t="s">
        <v>4229</v>
      </c>
      <c r="C1917" s="1">
        <v>0.41</v>
      </c>
      <c r="D1917" s="1">
        <v>292</v>
      </c>
      <c r="E1917" s="2">
        <v>383.94736842105198</v>
      </c>
      <c r="F1917" s="1">
        <v>19</v>
      </c>
      <c r="G1917" s="1">
        <v>3002.42</v>
      </c>
      <c r="H1917" s="1" t="s">
        <v>10</v>
      </c>
      <c r="I1917" t="str">
        <f t="shared" si="29"/>
        <v>CARD DOLLY GIRL [22712]</v>
      </c>
    </row>
    <row r="1918" spans="1:9" x14ac:dyDescent="0.3">
      <c r="A1918" s="1">
        <v>22713</v>
      </c>
      <c r="B1918" t="s">
        <v>4228</v>
      </c>
      <c r="C1918" s="1">
        <v>0.43</v>
      </c>
      <c r="D1918" s="1">
        <v>237.5</v>
      </c>
      <c r="E1918" s="1">
        <v>304.2</v>
      </c>
      <c r="F1918" s="1">
        <v>20</v>
      </c>
      <c r="G1918" s="1">
        <v>2616.12</v>
      </c>
      <c r="H1918" s="1" t="s">
        <v>10</v>
      </c>
      <c r="I1918" t="str">
        <f t="shared" si="29"/>
        <v>CARD I LOVE LONDON [22713]</v>
      </c>
    </row>
    <row r="1919" spans="1:9" x14ac:dyDescent="0.3">
      <c r="A1919" s="1">
        <v>22714</v>
      </c>
      <c r="B1919" t="s">
        <v>4227</v>
      </c>
      <c r="C1919" s="1">
        <v>0.42</v>
      </c>
      <c r="D1919" s="1">
        <v>252.5</v>
      </c>
      <c r="E1919" s="1">
        <v>263.85000000000002</v>
      </c>
      <c r="F1919" s="1">
        <v>20</v>
      </c>
      <c r="G1919" s="1">
        <v>2157.91</v>
      </c>
      <c r="H1919" s="1" t="s">
        <v>10</v>
      </c>
      <c r="I1919" t="str">
        <f t="shared" si="29"/>
        <v>CARD BIRTHDAY COWBOY [22714]</v>
      </c>
    </row>
    <row r="1920" spans="1:9" x14ac:dyDescent="0.3">
      <c r="A1920" s="1">
        <v>22715</v>
      </c>
      <c r="B1920" t="s">
        <v>4226</v>
      </c>
      <c r="C1920" s="1">
        <v>0.42</v>
      </c>
      <c r="D1920" s="1">
        <v>165.5</v>
      </c>
      <c r="E1920" s="2">
        <v>150.944444444444</v>
      </c>
      <c r="F1920" s="1">
        <v>18</v>
      </c>
      <c r="G1920" s="1">
        <v>1133.93</v>
      </c>
      <c r="H1920" s="1" t="s">
        <v>10</v>
      </c>
      <c r="I1920" t="str">
        <f t="shared" si="29"/>
        <v>CARD WEDDING DAY [22715]</v>
      </c>
    </row>
    <row r="1921" spans="1:9" x14ac:dyDescent="0.3">
      <c r="A1921" s="1">
        <v>22716</v>
      </c>
      <c r="B1921" t="s">
        <v>4225</v>
      </c>
      <c r="C1921" s="1">
        <v>0.43</v>
      </c>
      <c r="D1921" s="1">
        <v>268</v>
      </c>
      <c r="E1921" s="2">
        <v>274.63157894736798</v>
      </c>
      <c r="F1921" s="1">
        <v>19</v>
      </c>
      <c r="G1921" s="1">
        <v>2211.41</v>
      </c>
      <c r="H1921" s="1" t="s">
        <v>10</v>
      </c>
      <c r="I1921" t="str">
        <f t="shared" si="29"/>
        <v>CARD CIRCUS PARADE [22716]</v>
      </c>
    </row>
    <row r="1922" spans="1:9" x14ac:dyDescent="0.3">
      <c r="A1922" s="1">
        <v>22717</v>
      </c>
      <c r="B1922" t="s">
        <v>4224</v>
      </c>
      <c r="C1922" s="1">
        <v>0.43</v>
      </c>
      <c r="D1922" s="1">
        <v>111</v>
      </c>
      <c r="E1922" s="2">
        <v>126.578947368421</v>
      </c>
      <c r="F1922" s="1">
        <v>19</v>
      </c>
      <c r="G1922" s="2">
        <v>1018.42</v>
      </c>
      <c r="H1922" s="1" t="s">
        <v>10</v>
      </c>
      <c r="I1922" t="str">
        <f t="shared" si="29"/>
        <v>CARD DOG AND BALL [22717]</v>
      </c>
    </row>
    <row r="1923" spans="1:9" x14ac:dyDescent="0.3">
      <c r="A1923" s="1">
        <v>22718</v>
      </c>
      <c r="B1923" t="s">
        <v>4223</v>
      </c>
      <c r="C1923" s="1">
        <v>0.44</v>
      </c>
      <c r="D1923" s="1">
        <v>137</v>
      </c>
      <c r="E1923" s="2">
        <v>137.105263157894</v>
      </c>
      <c r="F1923" s="1">
        <v>19</v>
      </c>
      <c r="G1923" s="1">
        <v>1141.3599999999999</v>
      </c>
      <c r="H1923" s="1" t="s">
        <v>10</v>
      </c>
      <c r="I1923" t="str">
        <f t="shared" ref="I1923:I1986" si="30">B1923&amp;" ["&amp;A1923&amp;"]"</f>
        <v>CARD CAT AND TREE [22718]</v>
      </c>
    </row>
    <row r="1924" spans="1:9" x14ac:dyDescent="0.3">
      <c r="A1924" s="1">
        <v>22719</v>
      </c>
      <c r="B1924" t="s">
        <v>4222</v>
      </c>
      <c r="C1924" s="1">
        <v>1.31</v>
      </c>
      <c r="D1924" s="1">
        <v>98</v>
      </c>
      <c r="E1924" s="1">
        <v>97.8</v>
      </c>
      <c r="F1924" s="1">
        <v>14</v>
      </c>
      <c r="G1924" s="1">
        <v>1987.83</v>
      </c>
      <c r="H1924" s="1" t="s">
        <v>10</v>
      </c>
      <c r="I1924" t="str">
        <f t="shared" si="30"/>
        <v>GUMBALL COATHOOK., BLACK &amp; WHITE [22719]</v>
      </c>
    </row>
    <row r="1925" spans="1:9" x14ac:dyDescent="0.3">
      <c r="A1925" s="1">
        <v>22720</v>
      </c>
      <c r="B1925" t="s">
        <v>4221</v>
      </c>
      <c r="C1925" s="1">
        <v>5.18</v>
      </c>
      <c r="D1925" s="1">
        <v>603</v>
      </c>
      <c r="E1925" s="2">
        <v>575.61538461538396</v>
      </c>
      <c r="F1925" s="1">
        <v>13</v>
      </c>
      <c r="G1925" s="1">
        <v>38108.89</v>
      </c>
      <c r="H1925" s="1" t="s">
        <v>10</v>
      </c>
      <c r="I1925" t="str">
        <f t="shared" si="30"/>
        <v>SET OF 3 CAKE TINS PANTRY DESIGN [22720]</v>
      </c>
    </row>
    <row r="1926" spans="1:9" x14ac:dyDescent="0.3">
      <c r="A1926" s="1">
        <v>22721</v>
      </c>
      <c r="B1926" t="s">
        <v>4220</v>
      </c>
      <c r="C1926" s="1">
        <v>5.09</v>
      </c>
      <c r="D1926" s="1">
        <v>57</v>
      </c>
      <c r="E1926" s="2">
        <v>78.461538461538396</v>
      </c>
      <c r="F1926" s="1">
        <v>13</v>
      </c>
      <c r="G1926" s="1">
        <v>4671.8100000000004</v>
      </c>
      <c r="H1926" s="1" t="s">
        <v>9</v>
      </c>
      <c r="I1926" t="str">
        <f t="shared" si="30"/>
        <v>SET OF 3 CAKE TINS SKETCHBOOK [22721]</v>
      </c>
    </row>
    <row r="1927" spans="1:9" x14ac:dyDescent="0.3">
      <c r="A1927" s="1">
        <v>22722</v>
      </c>
      <c r="B1927" t="s">
        <v>4219</v>
      </c>
      <c r="C1927" s="1">
        <v>4.1399999999999997</v>
      </c>
      <c r="D1927" s="1">
        <v>401</v>
      </c>
      <c r="E1927" s="2">
        <v>459.38461538461502</v>
      </c>
      <c r="F1927" s="1">
        <v>13</v>
      </c>
      <c r="G1927" s="1">
        <v>24459.96</v>
      </c>
      <c r="H1927" s="1" t="s">
        <v>10</v>
      </c>
      <c r="I1927" t="str">
        <f t="shared" si="30"/>
        <v>SET OF 6 SPICE TINS PANTRY DESIGN [22722]</v>
      </c>
    </row>
    <row r="1928" spans="1:9" x14ac:dyDescent="0.3">
      <c r="A1928" s="1">
        <v>22723</v>
      </c>
      <c r="B1928" t="s">
        <v>4218</v>
      </c>
      <c r="C1928" s="1">
        <v>4.1100000000000003</v>
      </c>
      <c r="D1928" s="1">
        <v>80</v>
      </c>
      <c r="E1928" s="2">
        <v>89.538461538461505</v>
      </c>
      <c r="F1928" s="1">
        <v>13</v>
      </c>
      <c r="G1928" s="1">
        <v>4262.82</v>
      </c>
      <c r="H1928" s="1" t="s">
        <v>10</v>
      </c>
      <c r="I1928" t="str">
        <f t="shared" si="30"/>
        <v>SET OF 6 HERB TINS SKETCHBOOK [22723]</v>
      </c>
    </row>
    <row r="1929" spans="1:9" x14ac:dyDescent="0.3">
      <c r="A1929" s="1">
        <v>22725</v>
      </c>
      <c r="B1929" t="s">
        <v>4217</v>
      </c>
      <c r="C1929" s="1">
        <v>4.0250000000000004</v>
      </c>
      <c r="D1929" s="1">
        <v>124</v>
      </c>
      <c r="E1929" s="1">
        <v>157.375</v>
      </c>
      <c r="F1929" s="1">
        <v>16</v>
      </c>
      <c r="G1929" s="1">
        <v>10324.92</v>
      </c>
      <c r="H1929" s="1" t="s">
        <v>10</v>
      </c>
      <c r="I1929" t="str">
        <f t="shared" si="30"/>
        <v>ALARM CLOCK BAKELIKE CHOCOLATE [22725]</v>
      </c>
    </row>
    <row r="1930" spans="1:9" x14ac:dyDescent="0.3">
      <c r="A1930" s="1">
        <v>22726</v>
      </c>
      <c r="B1930" t="s">
        <v>4216</v>
      </c>
      <c r="C1930" s="1">
        <v>4.08</v>
      </c>
      <c r="D1930" s="1">
        <v>428</v>
      </c>
      <c r="E1930" s="1">
        <v>479.4375</v>
      </c>
      <c r="F1930" s="1">
        <v>16</v>
      </c>
      <c r="G1930" s="1">
        <v>32609.32</v>
      </c>
      <c r="H1930" s="1" t="s">
        <v>10</v>
      </c>
      <c r="I1930" t="str">
        <f t="shared" si="30"/>
        <v>ALARM CLOCK BAKELIKE GREEN [22726]</v>
      </c>
    </row>
    <row r="1931" spans="1:9" x14ac:dyDescent="0.3">
      <c r="A1931" s="1">
        <v>22727</v>
      </c>
      <c r="B1931" t="s">
        <v>4215</v>
      </c>
      <c r="C1931" s="1">
        <v>3.86</v>
      </c>
      <c r="D1931" s="1">
        <v>485.5</v>
      </c>
      <c r="E1931" s="1">
        <v>577.125</v>
      </c>
      <c r="F1931" s="1">
        <v>16</v>
      </c>
      <c r="G1931" s="1">
        <v>36543.769999999997</v>
      </c>
      <c r="H1931" s="1" t="s">
        <v>10</v>
      </c>
      <c r="I1931" t="str">
        <f t="shared" si="30"/>
        <v>ALARM CLOCK BAKELIKE RED [22727]</v>
      </c>
    </row>
    <row r="1932" spans="1:9" x14ac:dyDescent="0.3">
      <c r="A1932" s="1">
        <v>22728</v>
      </c>
      <c r="B1932" t="s">
        <v>4214</v>
      </c>
      <c r="C1932" s="2">
        <v>3.94</v>
      </c>
      <c r="D1932" s="1">
        <v>278.5</v>
      </c>
      <c r="E1932" s="1">
        <v>388.4375</v>
      </c>
      <c r="F1932" s="1">
        <v>16</v>
      </c>
      <c r="G1932" s="1">
        <v>24257.31</v>
      </c>
      <c r="H1932" s="1" t="s">
        <v>10</v>
      </c>
      <c r="I1932" t="str">
        <f t="shared" si="30"/>
        <v>ALARM CLOCK BAKELIKE PINK [22728]</v>
      </c>
    </row>
    <row r="1933" spans="1:9" x14ac:dyDescent="0.3">
      <c r="A1933" s="1">
        <v>22729</v>
      </c>
      <c r="B1933" t="s">
        <v>4213</v>
      </c>
      <c r="C1933" s="1">
        <v>3.96</v>
      </c>
      <c r="D1933" s="1">
        <v>171</v>
      </c>
      <c r="E1933" s="1">
        <v>187.4375</v>
      </c>
      <c r="F1933" s="1">
        <v>16</v>
      </c>
      <c r="G1933" s="1">
        <v>11864</v>
      </c>
      <c r="H1933" s="1" t="s">
        <v>10</v>
      </c>
      <c r="I1933" t="str">
        <f t="shared" si="30"/>
        <v>ALARM CLOCK BAKELIKE ORANGE [22729]</v>
      </c>
    </row>
    <row r="1934" spans="1:9" x14ac:dyDescent="0.3">
      <c r="A1934" s="1">
        <v>22730</v>
      </c>
      <c r="B1934" t="s">
        <v>4212</v>
      </c>
      <c r="C1934" s="1">
        <v>3.95</v>
      </c>
      <c r="D1934" s="1">
        <v>153</v>
      </c>
      <c r="E1934" s="1">
        <v>231.375</v>
      </c>
      <c r="F1934" s="1">
        <v>16</v>
      </c>
      <c r="G1934" s="1">
        <v>14867.27</v>
      </c>
      <c r="H1934" s="1" t="s">
        <v>10</v>
      </c>
      <c r="I1934" t="str">
        <f t="shared" si="30"/>
        <v>ALARM CLOCK BAKELIKE IVORY [22730]</v>
      </c>
    </row>
    <row r="1935" spans="1:9" x14ac:dyDescent="0.3">
      <c r="A1935" s="1">
        <v>22731</v>
      </c>
      <c r="B1935" t="s">
        <v>4211</v>
      </c>
      <c r="C1935" s="1">
        <v>1.2949999999999999</v>
      </c>
      <c r="D1935" s="1">
        <v>160.5</v>
      </c>
      <c r="E1935" s="2">
        <v>211.28571428571399</v>
      </c>
      <c r="F1935" s="1">
        <v>11</v>
      </c>
      <c r="G1935" s="1">
        <v>3965.62</v>
      </c>
      <c r="H1935" s="1" t="s">
        <v>10</v>
      </c>
      <c r="I1935" t="str">
        <f t="shared" si="30"/>
        <v>3D CHRISTMAS STAMPS STICKERS [22731]</v>
      </c>
    </row>
    <row r="1936" spans="1:9" x14ac:dyDescent="0.3">
      <c r="A1936" s="1">
        <v>22732</v>
      </c>
      <c r="B1936" t="s">
        <v>4210</v>
      </c>
      <c r="C1936" s="1">
        <v>1.3</v>
      </c>
      <c r="D1936" s="1">
        <v>105</v>
      </c>
      <c r="E1936" s="2">
        <v>221.941176470588</v>
      </c>
      <c r="F1936" s="1">
        <v>14</v>
      </c>
      <c r="G1936" s="1">
        <v>5001.84</v>
      </c>
      <c r="H1936" s="1" t="s">
        <v>10</v>
      </c>
      <c r="I1936" t="str">
        <f t="shared" si="30"/>
        <v>3D STICKERS VINTAGE CHRISTMAS [22732]</v>
      </c>
    </row>
    <row r="1937" spans="1:9" x14ac:dyDescent="0.3">
      <c r="A1937" s="1">
        <v>22733</v>
      </c>
      <c r="B1937" t="s">
        <v>4209</v>
      </c>
      <c r="C1937" s="2">
        <v>1.3049999999999999</v>
      </c>
      <c r="D1937" s="1">
        <v>135.5</v>
      </c>
      <c r="E1937" s="1">
        <v>215.0625</v>
      </c>
      <c r="F1937" s="1">
        <v>13</v>
      </c>
      <c r="G1937" s="1">
        <v>4425.49</v>
      </c>
      <c r="H1937" s="1" t="s">
        <v>10</v>
      </c>
      <c r="I1937" t="str">
        <f t="shared" si="30"/>
        <v>3D STICKERS TRADITIONAL CHRISTMAS [22733]</v>
      </c>
    </row>
    <row r="1938" spans="1:9" x14ac:dyDescent="0.3">
      <c r="A1938" s="1">
        <v>22734</v>
      </c>
      <c r="B1938" t="s">
        <v>4208</v>
      </c>
      <c r="C1938" s="1">
        <v>2.89</v>
      </c>
      <c r="D1938" s="1">
        <v>236</v>
      </c>
      <c r="E1938" s="2">
        <v>751.69230769230705</v>
      </c>
      <c r="F1938" s="1">
        <v>13</v>
      </c>
      <c r="G1938" s="1">
        <v>26763.75</v>
      </c>
      <c r="H1938" s="1" t="s">
        <v>10</v>
      </c>
      <c r="I1938" t="str">
        <f t="shared" si="30"/>
        <v>SET OF 6 RIBBONS VINTAGE CHRISTMAS [22734]</v>
      </c>
    </row>
    <row r="1939" spans="1:9" x14ac:dyDescent="0.3">
      <c r="A1939" s="1">
        <v>22735</v>
      </c>
      <c r="B1939" t="s">
        <v>4207</v>
      </c>
      <c r="C1939" s="1">
        <v>1.7749999999999999</v>
      </c>
      <c r="D1939" s="1">
        <v>171.5</v>
      </c>
      <c r="E1939" s="1">
        <v>141.6</v>
      </c>
      <c r="F1939" s="1">
        <v>10</v>
      </c>
      <c r="G1939" s="1">
        <v>2461.9699999999998</v>
      </c>
      <c r="H1939" s="1" t="s">
        <v>10</v>
      </c>
      <c r="I1939" t="str">
        <f t="shared" si="30"/>
        <v>RIBBON REEL SOCKS AND MITTENS [22735]</v>
      </c>
    </row>
    <row r="1940" spans="1:9" x14ac:dyDescent="0.3">
      <c r="A1940" s="1">
        <v>22736</v>
      </c>
      <c r="B1940" t="s">
        <v>4206</v>
      </c>
      <c r="C1940" s="1">
        <v>1.74</v>
      </c>
      <c r="D1940" s="1">
        <v>91.5</v>
      </c>
      <c r="E1940" s="1">
        <v>157.875</v>
      </c>
      <c r="F1940" s="1">
        <v>14</v>
      </c>
      <c r="G1940" s="1">
        <v>4534.1499999999996</v>
      </c>
      <c r="H1940" s="1" t="s">
        <v>10</v>
      </c>
      <c r="I1940" t="str">
        <f t="shared" si="30"/>
        <v>RIBBON REEL MAKING SNOWMEN [22736]</v>
      </c>
    </row>
    <row r="1941" spans="1:9" x14ac:dyDescent="0.3">
      <c r="A1941" s="1">
        <v>22737</v>
      </c>
      <c r="B1941" t="s">
        <v>4205</v>
      </c>
      <c r="C1941" s="1">
        <v>1.77</v>
      </c>
      <c r="D1941" s="1">
        <v>62.5</v>
      </c>
      <c r="E1941" s="1">
        <v>204.125</v>
      </c>
      <c r="F1941" s="1">
        <v>16</v>
      </c>
      <c r="G1941" s="1">
        <v>5840.43</v>
      </c>
      <c r="H1941" s="1" t="s">
        <v>10</v>
      </c>
      <c r="I1941" t="str">
        <f t="shared" si="30"/>
        <v>RIBBON REEL CHRISTMAS PRESENT [22737]</v>
      </c>
    </row>
    <row r="1942" spans="1:9" x14ac:dyDescent="0.3">
      <c r="A1942" s="1">
        <v>22738</v>
      </c>
      <c r="B1942" t="s">
        <v>4204</v>
      </c>
      <c r="C1942" s="1">
        <v>1.855</v>
      </c>
      <c r="D1942" s="1">
        <v>201.5</v>
      </c>
      <c r="E1942" s="2">
        <v>317.642857142857</v>
      </c>
      <c r="F1942" s="1">
        <v>14</v>
      </c>
      <c r="G1942" s="1">
        <v>8012.57</v>
      </c>
      <c r="H1942" s="1" t="s">
        <v>10</v>
      </c>
      <c r="I1942" t="str">
        <f t="shared" si="30"/>
        <v>RIBBON REEL SNOWY VILLAGE [22738]</v>
      </c>
    </row>
    <row r="1943" spans="1:9" x14ac:dyDescent="0.3">
      <c r="A1943" s="1">
        <v>22739</v>
      </c>
      <c r="B1943" t="s">
        <v>4203</v>
      </c>
      <c r="C1943" s="1">
        <v>1.8149999999999999</v>
      </c>
      <c r="D1943" s="1">
        <v>195.5</v>
      </c>
      <c r="E1943" s="2">
        <v>223.333333333333</v>
      </c>
      <c r="F1943" s="1">
        <v>15</v>
      </c>
      <c r="G1943" s="2">
        <v>7353.3099999999904</v>
      </c>
      <c r="H1943" s="1" t="s">
        <v>10</v>
      </c>
      <c r="I1943" t="str">
        <f t="shared" si="30"/>
        <v>RIBBON REEL CHRISTMAS SOCK BAUBLE [22739]</v>
      </c>
    </row>
    <row r="1944" spans="1:9" x14ac:dyDescent="0.3">
      <c r="A1944" s="1">
        <v>22740</v>
      </c>
      <c r="B1944" t="s">
        <v>4202</v>
      </c>
      <c r="C1944" s="1">
        <v>0.85</v>
      </c>
      <c r="D1944" s="1">
        <v>633</v>
      </c>
      <c r="E1944" s="2">
        <v>889.66666666666595</v>
      </c>
      <c r="F1944" s="1">
        <v>12</v>
      </c>
      <c r="G1944" s="1">
        <v>11395.31</v>
      </c>
      <c r="H1944" s="1" t="s">
        <v>10</v>
      </c>
      <c r="I1944" t="str">
        <f t="shared" si="30"/>
        <v>POLKA DOT PEN [22740]</v>
      </c>
    </row>
    <row r="1945" spans="1:9" x14ac:dyDescent="0.3">
      <c r="A1945" s="1">
        <v>22741</v>
      </c>
      <c r="B1945" t="s">
        <v>4201</v>
      </c>
      <c r="C1945" s="1">
        <v>0.86</v>
      </c>
      <c r="D1945" s="1">
        <v>685</v>
      </c>
      <c r="E1945" s="1">
        <v>665.75</v>
      </c>
      <c r="F1945" s="1">
        <v>16</v>
      </c>
      <c r="G1945" s="1">
        <v>9173.0300000000007</v>
      </c>
      <c r="H1945" s="1" t="s">
        <v>10</v>
      </c>
      <c r="I1945" t="str">
        <f t="shared" si="30"/>
        <v>FUNKY DIVA PEN [22741]</v>
      </c>
    </row>
    <row r="1946" spans="1:9" x14ac:dyDescent="0.3">
      <c r="A1946" s="1">
        <v>22742</v>
      </c>
      <c r="B1946" t="s">
        <v>4200</v>
      </c>
      <c r="C1946" s="1">
        <v>2.95</v>
      </c>
      <c r="D1946" s="1">
        <v>37</v>
      </c>
      <c r="E1946" s="1">
        <v>45.5625</v>
      </c>
      <c r="F1946" s="1">
        <v>16</v>
      </c>
      <c r="G1946" s="1">
        <v>2252.4699999999998</v>
      </c>
      <c r="H1946" s="1" t="s">
        <v>9</v>
      </c>
      <c r="I1946" t="str">
        <f t="shared" si="30"/>
        <v>MAKE YOUR OWN PLAYTIME CARD KIT [22742]</v>
      </c>
    </row>
    <row r="1947" spans="1:9" x14ac:dyDescent="0.3">
      <c r="A1947" s="1">
        <v>22743</v>
      </c>
      <c r="B1947" t="s">
        <v>4199</v>
      </c>
      <c r="C1947" s="1">
        <v>3.21</v>
      </c>
      <c r="D1947" s="1">
        <v>66</v>
      </c>
      <c r="E1947" s="1">
        <v>88.352941176470594</v>
      </c>
      <c r="F1947" s="1">
        <v>17</v>
      </c>
      <c r="G1947" s="1">
        <v>4542.5</v>
      </c>
      <c r="H1947" s="1" t="s">
        <v>10</v>
      </c>
      <c r="I1947" t="str">
        <f t="shared" si="30"/>
        <v>MAKE YOUR OWN FLOWERPOWER CARD KIT [22743]</v>
      </c>
    </row>
    <row r="1948" spans="1:9" x14ac:dyDescent="0.3">
      <c r="A1948" s="1">
        <v>22744</v>
      </c>
      <c r="B1948" t="s">
        <v>4198</v>
      </c>
      <c r="C1948" s="1">
        <v>3.02</v>
      </c>
      <c r="D1948" s="1">
        <v>52.5</v>
      </c>
      <c r="E1948" s="1">
        <v>78.875</v>
      </c>
      <c r="F1948" s="1">
        <v>16</v>
      </c>
      <c r="G1948" s="1">
        <v>4033.14</v>
      </c>
      <c r="H1948" s="1" t="s">
        <v>9</v>
      </c>
      <c r="I1948" t="str">
        <f t="shared" si="30"/>
        <v>MAKE YOUR OWN MONSOON CARD KIT [22744]</v>
      </c>
    </row>
    <row r="1949" spans="1:9" x14ac:dyDescent="0.3">
      <c r="A1949" s="1">
        <v>22745</v>
      </c>
      <c r="B1949" t="s">
        <v>4197</v>
      </c>
      <c r="C1949" s="1">
        <v>2.2000000000000002</v>
      </c>
      <c r="D1949" s="1">
        <v>180.5</v>
      </c>
      <c r="E1949" s="1">
        <v>248.5</v>
      </c>
      <c r="F1949" s="1">
        <v>16</v>
      </c>
      <c r="G1949" s="1">
        <v>9764.64</v>
      </c>
      <c r="H1949" s="1" t="s">
        <v>10</v>
      </c>
      <c r="I1949" t="str">
        <f t="shared" si="30"/>
        <v>POPPY'S PLAYHOUSE BEDROOM [22745]</v>
      </c>
    </row>
    <row r="1950" spans="1:9" x14ac:dyDescent="0.3">
      <c r="A1950" s="1">
        <v>22746</v>
      </c>
      <c r="B1950" t="s">
        <v>4196</v>
      </c>
      <c r="C1950" s="1">
        <v>2.2149999999999999</v>
      </c>
      <c r="D1950" s="1">
        <v>140</v>
      </c>
      <c r="E1950" s="1">
        <v>181.875</v>
      </c>
      <c r="F1950" s="1">
        <v>16</v>
      </c>
      <c r="G1950" s="1">
        <v>6699.25</v>
      </c>
      <c r="H1950" s="1" t="s">
        <v>10</v>
      </c>
      <c r="I1950" t="str">
        <f t="shared" si="30"/>
        <v>POPPY'S PLAYHOUSE LIVINGROOM [22746]</v>
      </c>
    </row>
    <row r="1951" spans="1:9" x14ac:dyDescent="0.3">
      <c r="A1951" s="1">
        <v>22747</v>
      </c>
      <c r="B1951" t="s">
        <v>4195</v>
      </c>
      <c r="C1951" s="1">
        <v>2.1850000000000001</v>
      </c>
      <c r="D1951" s="1">
        <v>71</v>
      </c>
      <c r="E1951" s="1">
        <v>127.1875</v>
      </c>
      <c r="F1951" s="1">
        <v>16</v>
      </c>
      <c r="G1951" s="1">
        <v>4487.2</v>
      </c>
      <c r="H1951" s="1" t="s">
        <v>10</v>
      </c>
      <c r="I1951" t="str">
        <f t="shared" si="30"/>
        <v>POPPY'S PLAYHOUSE BATHROOM [22747]</v>
      </c>
    </row>
    <row r="1952" spans="1:9" x14ac:dyDescent="0.3">
      <c r="A1952" s="1">
        <v>22748</v>
      </c>
      <c r="B1952" t="s">
        <v>4194</v>
      </c>
      <c r="C1952" s="2">
        <v>2.1949999999999998</v>
      </c>
      <c r="D1952" s="1">
        <v>191</v>
      </c>
      <c r="E1952" s="1">
        <v>258.875</v>
      </c>
      <c r="F1952" s="1">
        <v>16</v>
      </c>
      <c r="G1952" s="1">
        <v>10161.4</v>
      </c>
      <c r="H1952" s="1" t="s">
        <v>10</v>
      </c>
      <c r="I1952" t="str">
        <f t="shared" si="30"/>
        <v>POPPY'S PLAYHOUSE KITCHEN [22748]</v>
      </c>
    </row>
    <row r="1953" spans="1:9" x14ac:dyDescent="0.3">
      <c r="A1953" s="1">
        <v>22749</v>
      </c>
      <c r="B1953" t="s">
        <v>4193</v>
      </c>
      <c r="C1953" s="1">
        <v>3.75</v>
      </c>
      <c r="D1953" s="1">
        <v>184.5</v>
      </c>
      <c r="E1953" s="1">
        <v>234.9375</v>
      </c>
      <c r="F1953" s="1">
        <v>16</v>
      </c>
      <c r="G1953" s="1">
        <v>15354.35</v>
      </c>
      <c r="H1953" s="1" t="s">
        <v>10</v>
      </c>
      <c r="I1953" t="str">
        <f t="shared" si="30"/>
        <v>FELTCRAFT PRINCESS CHARLOTTE DOLL [22749]</v>
      </c>
    </row>
    <row r="1954" spans="1:9" x14ac:dyDescent="0.3">
      <c r="A1954" s="1">
        <v>22750</v>
      </c>
      <c r="B1954" t="s">
        <v>4192</v>
      </c>
      <c r="C1954" s="2">
        <v>3.73</v>
      </c>
      <c r="D1954" s="1">
        <v>155.5</v>
      </c>
      <c r="E1954" s="1">
        <v>195.3125</v>
      </c>
      <c r="F1954" s="1">
        <v>16</v>
      </c>
      <c r="G1954" s="1">
        <v>11697.6</v>
      </c>
      <c r="H1954" s="1" t="s">
        <v>10</v>
      </c>
      <c r="I1954" t="str">
        <f t="shared" si="30"/>
        <v>FELTCRAFT PRINCESS LOLA DOLL [22750]</v>
      </c>
    </row>
    <row r="1955" spans="1:9" x14ac:dyDescent="0.3">
      <c r="A1955" s="1">
        <v>22751</v>
      </c>
      <c r="B1955" t="s">
        <v>4191</v>
      </c>
      <c r="C1955" s="1">
        <v>3.77</v>
      </c>
      <c r="D1955" s="1">
        <v>105.5</v>
      </c>
      <c r="E1955" s="1">
        <v>141.5</v>
      </c>
      <c r="F1955" s="1">
        <v>16</v>
      </c>
      <c r="G1955" s="1">
        <v>8445.9699999999993</v>
      </c>
      <c r="H1955" s="1" t="s">
        <v>10</v>
      </c>
      <c r="I1955" t="str">
        <f t="shared" si="30"/>
        <v>FELTCRAFT PRINCESS OLIVIA DOLL [22751]</v>
      </c>
    </row>
    <row r="1956" spans="1:9" x14ac:dyDescent="0.3">
      <c r="A1956" s="1">
        <v>22752</v>
      </c>
      <c r="B1956" t="s">
        <v>4190</v>
      </c>
      <c r="C1956" s="1">
        <v>8.41</v>
      </c>
      <c r="D1956" s="1">
        <v>136</v>
      </c>
      <c r="E1956" s="2">
        <v>203.470588235294</v>
      </c>
      <c r="F1956" s="1">
        <v>17</v>
      </c>
      <c r="G1956" s="1">
        <v>28139.45</v>
      </c>
      <c r="H1956" s="1" t="s">
        <v>10</v>
      </c>
      <c r="I1956" t="str">
        <f t="shared" si="30"/>
        <v>SET 7 BABUSHKA NESTING BOXES [22752]</v>
      </c>
    </row>
    <row r="1957" spans="1:9" x14ac:dyDescent="0.3">
      <c r="A1957" s="1">
        <v>22753</v>
      </c>
      <c r="B1957" t="s">
        <v>4189</v>
      </c>
      <c r="C1957" s="1">
        <v>0.87</v>
      </c>
      <c r="D1957" s="1">
        <v>65</v>
      </c>
      <c r="E1957" s="2">
        <v>137.17647058823499</v>
      </c>
      <c r="F1957" s="1">
        <v>17</v>
      </c>
      <c r="G1957" s="1">
        <v>1915.21</v>
      </c>
      <c r="H1957" s="1" t="s">
        <v>10</v>
      </c>
      <c r="I1957" t="str">
        <f t="shared" si="30"/>
        <v>SMALL YELLOW BABUSHKA NOTEBOOK [22753]</v>
      </c>
    </row>
    <row r="1958" spans="1:9" x14ac:dyDescent="0.3">
      <c r="A1958" s="1">
        <v>22754</v>
      </c>
      <c r="B1958" t="s">
        <v>4188</v>
      </c>
      <c r="C1958" s="1">
        <v>0.88</v>
      </c>
      <c r="D1958" s="1">
        <v>134</v>
      </c>
      <c r="E1958" s="2">
        <v>230.82352941176401</v>
      </c>
      <c r="F1958" s="1">
        <v>17</v>
      </c>
      <c r="G1958" s="1">
        <v>3044.86</v>
      </c>
      <c r="H1958" s="1" t="s">
        <v>10</v>
      </c>
      <c r="I1958" t="str">
        <f t="shared" si="30"/>
        <v>SMALL RED BABUSHKA NOTEBOOK [22754]</v>
      </c>
    </row>
    <row r="1959" spans="1:9" x14ac:dyDescent="0.3">
      <c r="A1959" s="1">
        <v>22755</v>
      </c>
      <c r="B1959" t="s">
        <v>4187</v>
      </c>
      <c r="C1959" s="1">
        <v>0.88500000000000001</v>
      </c>
      <c r="D1959" s="1">
        <v>118.5</v>
      </c>
      <c r="E1959" s="1">
        <v>206.375</v>
      </c>
      <c r="F1959" s="1">
        <v>16</v>
      </c>
      <c r="G1959" s="1">
        <v>2882.75</v>
      </c>
      <c r="H1959" s="1" t="s">
        <v>10</v>
      </c>
      <c r="I1959" t="str">
        <f t="shared" si="30"/>
        <v>SMALL PURPLE BABUSHKA NOTEBOOK [22755]</v>
      </c>
    </row>
    <row r="1960" spans="1:9" x14ac:dyDescent="0.3">
      <c r="A1960" s="1">
        <v>22756</v>
      </c>
      <c r="B1960" t="s">
        <v>4186</v>
      </c>
      <c r="C1960" s="1">
        <v>1.29</v>
      </c>
      <c r="D1960" s="1">
        <v>42</v>
      </c>
      <c r="E1960" s="2">
        <v>70.823529411764696</v>
      </c>
      <c r="F1960" s="1">
        <v>17</v>
      </c>
      <c r="G1960" s="1">
        <v>1393.45</v>
      </c>
      <c r="H1960" s="1" t="s">
        <v>9</v>
      </c>
      <c r="I1960" t="str">
        <f t="shared" si="30"/>
        <v>LARGE YELLOW BABUSHKA NOTEBOOK [22756]</v>
      </c>
    </row>
    <row r="1961" spans="1:9" x14ac:dyDescent="0.3">
      <c r="A1961" s="1">
        <v>22757</v>
      </c>
      <c r="B1961" t="s">
        <v>4185</v>
      </c>
      <c r="C1961" s="1">
        <v>1.29</v>
      </c>
      <c r="D1961" s="1">
        <v>87</v>
      </c>
      <c r="E1961" s="2">
        <v>158.588235294117</v>
      </c>
      <c r="F1961" s="1">
        <v>17</v>
      </c>
      <c r="G1961" s="1">
        <v>3070.18</v>
      </c>
      <c r="H1961" s="1" t="s">
        <v>10</v>
      </c>
      <c r="I1961" t="str">
        <f t="shared" si="30"/>
        <v>LARGE RED BABUSHKA NOTEBOOK [22757]</v>
      </c>
    </row>
    <row r="1962" spans="1:9" x14ac:dyDescent="0.3">
      <c r="A1962" s="1">
        <v>22758</v>
      </c>
      <c r="B1962" t="s">
        <v>4184</v>
      </c>
      <c r="C1962" s="1">
        <v>1.29</v>
      </c>
      <c r="D1962" s="1">
        <v>58</v>
      </c>
      <c r="E1962" s="2">
        <v>143.35294117647001</v>
      </c>
      <c r="F1962" s="1">
        <v>17</v>
      </c>
      <c r="G1962" s="1">
        <v>2618.35</v>
      </c>
      <c r="H1962" s="1" t="s">
        <v>9</v>
      </c>
      <c r="I1962" t="str">
        <f t="shared" si="30"/>
        <v>LARGE PURPLE BABUSHKA NOTEBOOK [22758]</v>
      </c>
    </row>
    <row r="1963" spans="1:9" x14ac:dyDescent="0.3">
      <c r="A1963" s="1">
        <v>22759</v>
      </c>
      <c r="B1963" t="s">
        <v>4183</v>
      </c>
      <c r="C1963" s="1">
        <v>1.65</v>
      </c>
      <c r="D1963" s="1">
        <v>384</v>
      </c>
      <c r="E1963" s="1">
        <v>586.25</v>
      </c>
      <c r="F1963" s="1">
        <v>16</v>
      </c>
      <c r="G1963" s="1">
        <v>15866.56</v>
      </c>
      <c r="H1963" s="1" t="s">
        <v>10</v>
      </c>
      <c r="I1963" t="str">
        <f t="shared" si="30"/>
        <v>SET OF 3 NOTEBOOKS IN PARCEL [22759]</v>
      </c>
    </row>
    <row r="1964" spans="1:9" x14ac:dyDescent="0.3">
      <c r="A1964" s="1">
        <v>22760</v>
      </c>
      <c r="B1964" t="s">
        <v>4182</v>
      </c>
      <c r="C1964" s="2">
        <v>12.87</v>
      </c>
      <c r="D1964" s="1">
        <v>27</v>
      </c>
      <c r="E1964" s="2">
        <v>29.6666666666666</v>
      </c>
      <c r="F1964" s="1">
        <v>12</v>
      </c>
      <c r="G1964" s="2">
        <v>4506.8899999999903</v>
      </c>
      <c r="H1964" s="1" t="s">
        <v>9</v>
      </c>
      <c r="I1964" t="str">
        <f t="shared" si="30"/>
        <v>TRAY, BREAKFAST IN BED [22760]</v>
      </c>
    </row>
    <row r="1965" spans="1:9" x14ac:dyDescent="0.3">
      <c r="A1965" s="1">
        <v>22761</v>
      </c>
      <c r="B1965" t="s">
        <v>4181</v>
      </c>
      <c r="C1965" s="1">
        <v>24.95</v>
      </c>
      <c r="D1965" s="1">
        <v>3</v>
      </c>
      <c r="E1965" s="2">
        <v>3.4285714285714199</v>
      </c>
      <c r="F1965" s="1">
        <v>14</v>
      </c>
      <c r="G1965" s="1">
        <v>1182.78</v>
      </c>
      <c r="H1965" s="1" t="s">
        <v>8</v>
      </c>
      <c r="I1965" t="str">
        <f t="shared" si="30"/>
        <v>CHEST 7 DRAWER MA CAMPAGNE [22761]</v>
      </c>
    </row>
    <row r="1966" spans="1:9" x14ac:dyDescent="0.3">
      <c r="A1966" s="1">
        <v>22762</v>
      </c>
      <c r="B1966" t="s">
        <v>4180</v>
      </c>
      <c r="C1966" s="1">
        <v>15.84</v>
      </c>
      <c r="D1966" s="1">
        <v>13</v>
      </c>
      <c r="E1966" s="1">
        <v>13.6</v>
      </c>
      <c r="F1966" s="1">
        <v>15</v>
      </c>
      <c r="G1966" s="1">
        <v>3276.62</v>
      </c>
      <c r="H1966" s="1" t="s">
        <v>9</v>
      </c>
      <c r="I1966" t="str">
        <f t="shared" si="30"/>
        <v>CUPBOARD 3 DRAWER MA CAMPAGNE [22762]</v>
      </c>
    </row>
    <row r="1967" spans="1:9" x14ac:dyDescent="0.3">
      <c r="A1967" s="1">
        <v>22763</v>
      </c>
      <c r="B1967" t="s">
        <v>4179</v>
      </c>
      <c r="C1967" s="1">
        <v>9.9499999999999993</v>
      </c>
      <c r="D1967" s="1">
        <v>15</v>
      </c>
      <c r="E1967" s="2">
        <v>44.133333333333297</v>
      </c>
      <c r="F1967" s="1">
        <v>15</v>
      </c>
      <c r="G1967" s="1">
        <v>5430.59</v>
      </c>
      <c r="H1967" s="1" t="s">
        <v>9</v>
      </c>
      <c r="I1967" t="str">
        <f t="shared" si="30"/>
        <v>KEY CABINET MA CAMPAGNE [22763]</v>
      </c>
    </row>
    <row r="1968" spans="1:9" x14ac:dyDescent="0.3">
      <c r="A1968" s="1">
        <v>22764</v>
      </c>
      <c r="B1968" t="s">
        <v>4178</v>
      </c>
      <c r="C1968" s="1">
        <v>22.324999999999999</v>
      </c>
      <c r="D1968" s="1">
        <v>34.5</v>
      </c>
      <c r="E1968" s="1">
        <v>45.75</v>
      </c>
      <c r="F1968" s="1">
        <v>4</v>
      </c>
      <c r="G1968" s="2">
        <v>3462.49</v>
      </c>
      <c r="H1968" s="1" t="s">
        <v>9</v>
      </c>
      <c r="I1968" t="str">
        <f t="shared" si="30"/>
        <v>RUSTIC WOODEN CABINET, GLASS DOORS [22764]</v>
      </c>
    </row>
    <row r="1969" spans="1:9" x14ac:dyDescent="0.3">
      <c r="A1969" s="1">
        <v>22765</v>
      </c>
      <c r="B1969" t="s">
        <v>4177</v>
      </c>
      <c r="C1969" s="1">
        <v>11.47</v>
      </c>
      <c r="D1969" s="1">
        <v>133</v>
      </c>
      <c r="E1969" s="2">
        <v>103.666666666666</v>
      </c>
      <c r="F1969" s="1">
        <v>3</v>
      </c>
      <c r="G1969" s="2">
        <v>3508.2999999999902</v>
      </c>
      <c r="H1969" s="1" t="s">
        <v>10</v>
      </c>
      <c r="I1969" t="str">
        <f t="shared" si="30"/>
        <v>NEWSPAPER STAND [22765]</v>
      </c>
    </row>
    <row r="1970" spans="1:9" x14ac:dyDescent="0.3">
      <c r="A1970" s="1">
        <v>22766</v>
      </c>
      <c r="B1970" t="s">
        <v>4176</v>
      </c>
      <c r="C1970" s="1">
        <v>2.98</v>
      </c>
      <c r="D1970" s="1">
        <v>252</v>
      </c>
      <c r="E1970" s="2">
        <v>291.13333333333298</v>
      </c>
      <c r="F1970" s="1">
        <v>15</v>
      </c>
      <c r="G1970" s="1">
        <v>12864.25</v>
      </c>
      <c r="H1970" s="1" t="s">
        <v>10</v>
      </c>
      <c r="I1970" t="str">
        <f t="shared" si="30"/>
        <v>PHOTO FRAME CORNICE [22766]</v>
      </c>
    </row>
    <row r="1971" spans="1:9" x14ac:dyDescent="0.3">
      <c r="A1971" s="1">
        <v>22767</v>
      </c>
      <c r="B1971" t="s">
        <v>4175</v>
      </c>
      <c r="C1971" s="1">
        <v>9.9499999999999993</v>
      </c>
      <c r="D1971" s="1">
        <v>51</v>
      </c>
      <c r="E1971" s="2">
        <v>66.933333333333294</v>
      </c>
      <c r="F1971" s="1">
        <v>15</v>
      </c>
      <c r="G1971" s="1">
        <v>9478.23</v>
      </c>
      <c r="H1971" s="1" t="s">
        <v>9</v>
      </c>
      <c r="I1971" t="str">
        <f t="shared" si="30"/>
        <v>TRIPLE PHOTO FRAME CORNICE [22767]</v>
      </c>
    </row>
    <row r="1972" spans="1:9" x14ac:dyDescent="0.3">
      <c r="A1972" s="1">
        <v>22768</v>
      </c>
      <c r="B1972" t="s">
        <v>4174</v>
      </c>
      <c r="C1972" s="1">
        <v>9.9499999999999993</v>
      </c>
      <c r="D1972" s="1">
        <v>53</v>
      </c>
      <c r="E1972" s="1">
        <v>77.2</v>
      </c>
      <c r="F1972" s="1">
        <v>15</v>
      </c>
      <c r="G1972" s="1">
        <v>11064.72</v>
      </c>
      <c r="H1972" s="1" t="s">
        <v>9</v>
      </c>
      <c r="I1972" t="str">
        <f t="shared" si="30"/>
        <v>FAMILY PHOTO FRAME CORNICE [22768]</v>
      </c>
    </row>
    <row r="1973" spans="1:9" x14ac:dyDescent="0.3">
      <c r="A1973" s="1">
        <v>22769</v>
      </c>
      <c r="B1973" t="s">
        <v>4173</v>
      </c>
      <c r="C1973" s="1">
        <v>30.32</v>
      </c>
      <c r="D1973" s="1">
        <v>14.5</v>
      </c>
      <c r="E1973" s="1">
        <v>43.5</v>
      </c>
      <c r="F1973" s="1">
        <v>4</v>
      </c>
      <c r="G1973" s="2">
        <v>3656.8599999999901</v>
      </c>
      <c r="H1973" s="1" t="s">
        <v>9</v>
      </c>
      <c r="I1973" t="str">
        <f t="shared" si="30"/>
        <v>CHALKBOARD KITCHEN ORGANISER [22769]</v>
      </c>
    </row>
    <row r="1974" spans="1:9" x14ac:dyDescent="0.3">
      <c r="A1974" s="1">
        <v>22770</v>
      </c>
      <c r="B1974" t="s">
        <v>4172</v>
      </c>
      <c r="C1974" s="1">
        <v>14.95</v>
      </c>
      <c r="D1974" s="1">
        <v>7</v>
      </c>
      <c r="E1974" s="2">
        <v>7.4666666666666597</v>
      </c>
      <c r="F1974" s="1">
        <v>15</v>
      </c>
      <c r="G1974" s="1">
        <v>1799.62</v>
      </c>
      <c r="H1974" s="1" t="s">
        <v>8</v>
      </c>
      <c r="I1974" t="str">
        <f t="shared" si="30"/>
        <v>MIRROR CORNICE [22770]</v>
      </c>
    </row>
    <row r="1975" spans="1:9" x14ac:dyDescent="0.3">
      <c r="A1975" s="1">
        <v>22771</v>
      </c>
      <c r="B1975" t="s">
        <v>4171</v>
      </c>
      <c r="C1975" s="2">
        <v>1.325</v>
      </c>
      <c r="D1975" s="1">
        <v>511.5</v>
      </c>
      <c r="E1975" s="1">
        <v>468.0625</v>
      </c>
      <c r="F1975" s="1">
        <v>15</v>
      </c>
      <c r="G1975" s="1">
        <v>10147.08</v>
      </c>
      <c r="H1975" s="1" t="s">
        <v>10</v>
      </c>
      <c r="I1975" t="str">
        <f t="shared" si="30"/>
        <v>CLEAR DRAWER KNOB ACRYLIC EDWARDIAN [22771]</v>
      </c>
    </row>
    <row r="1976" spans="1:9" x14ac:dyDescent="0.3">
      <c r="A1976" s="1">
        <v>22772</v>
      </c>
      <c r="B1976" t="s">
        <v>4170</v>
      </c>
      <c r="C1976" s="1">
        <v>1.375</v>
      </c>
      <c r="D1976" s="1">
        <v>247.5</v>
      </c>
      <c r="E1976" s="1">
        <v>273.5625</v>
      </c>
      <c r="F1976" s="1">
        <v>15</v>
      </c>
      <c r="G1976" s="1">
        <v>5914.92</v>
      </c>
      <c r="H1976" s="1" t="s">
        <v>10</v>
      </c>
      <c r="I1976" t="str">
        <f t="shared" si="30"/>
        <v>DRAWER KNOB ACRYLIC EDWARDIAN PINK [22772]</v>
      </c>
    </row>
    <row r="1977" spans="1:9" x14ac:dyDescent="0.3">
      <c r="A1977" s="1">
        <v>22773</v>
      </c>
      <c r="B1977" t="s">
        <v>4169</v>
      </c>
      <c r="C1977" s="1">
        <v>1.335</v>
      </c>
      <c r="D1977" s="1">
        <v>145</v>
      </c>
      <c r="E1977" s="1">
        <v>149.5</v>
      </c>
      <c r="F1977" s="1">
        <v>15</v>
      </c>
      <c r="G1977" s="1">
        <v>3171.11</v>
      </c>
      <c r="H1977" s="1" t="s">
        <v>10</v>
      </c>
      <c r="I1977" t="str">
        <f t="shared" si="30"/>
        <v>DRAWER KNOB ACRYLIC EDWARDIAN GREEN [22773]</v>
      </c>
    </row>
    <row r="1978" spans="1:9" x14ac:dyDescent="0.3">
      <c r="A1978" s="1">
        <v>22774</v>
      </c>
      <c r="B1978" t="s">
        <v>4168</v>
      </c>
      <c r="C1978" s="1">
        <v>1.29</v>
      </c>
      <c r="D1978" s="1">
        <v>189</v>
      </c>
      <c r="E1978" s="2">
        <v>186.06666666666601</v>
      </c>
      <c r="F1978" s="1">
        <v>15</v>
      </c>
      <c r="G1978" s="1">
        <v>3591.06</v>
      </c>
      <c r="H1978" s="1" t="s">
        <v>10</v>
      </c>
      <c r="I1978" t="str">
        <f t="shared" si="30"/>
        <v>RED DRAWER KNOB ACRYLIC EDWARDIAN [22774]</v>
      </c>
    </row>
    <row r="1979" spans="1:9" x14ac:dyDescent="0.3">
      <c r="A1979" s="1">
        <v>22775</v>
      </c>
      <c r="B1979" t="s">
        <v>4167</v>
      </c>
      <c r="C1979" s="1">
        <v>1.44</v>
      </c>
      <c r="D1979" s="1">
        <v>249.5</v>
      </c>
      <c r="E1979" s="1">
        <v>227.0625</v>
      </c>
      <c r="F1979" s="1">
        <v>15</v>
      </c>
      <c r="G1979" s="1">
        <v>5190.03</v>
      </c>
      <c r="H1979" s="1" t="s">
        <v>10</v>
      </c>
      <c r="I1979" t="str">
        <f t="shared" si="30"/>
        <v>DRAWERKNOB ACRYLIC EDWARDIAN PURPLE [22775]</v>
      </c>
    </row>
    <row r="1980" spans="1:9" x14ac:dyDescent="0.3">
      <c r="A1980" s="1">
        <v>22776</v>
      </c>
      <c r="B1980" t="s">
        <v>4166</v>
      </c>
      <c r="C1980" s="1">
        <v>9.9499999999999993</v>
      </c>
      <c r="D1980" s="1">
        <v>83</v>
      </c>
      <c r="E1980" s="1">
        <v>85.4</v>
      </c>
      <c r="F1980" s="1">
        <v>15</v>
      </c>
      <c r="G1980" s="1">
        <v>17530.46</v>
      </c>
      <c r="H1980" s="1" t="s">
        <v>10</v>
      </c>
      <c r="I1980" t="str">
        <f t="shared" si="30"/>
        <v>CAKESTAND, 3 TIER, LOVEHEART [22776]</v>
      </c>
    </row>
    <row r="1981" spans="1:9" x14ac:dyDescent="0.3">
      <c r="A1981" s="1">
        <v>22777</v>
      </c>
      <c r="B1981" t="s">
        <v>4165</v>
      </c>
      <c r="C1981" s="1">
        <v>8.5</v>
      </c>
      <c r="D1981" s="1">
        <v>31</v>
      </c>
      <c r="E1981" s="2">
        <v>50.5555555555555</v>
      </c>
      <c r="F1981" s="1">
        <v>8</v>
      </c>
      <c r="G1981" s="1">
        <v>3838.82</v>
      </c>
      <c r="H1981" s="1" t="s">
        <v>9</v>
      </c>
      <c r="I1981" t="str">
        <f t="shared" si="30"/>
        <v>GLASS CLOCHE LARGE [22777]</v>
      </c>
    </row>
    <row r="1982" spans="1:9" x14ac:dyDescent="0.3">
      <c r="A1982" s="1">
        <v>22778</v>
      </c>
      <c r="B1982" t="s">
        <v>4164</v>
      </c>
      <c r="C1982" s="1">
        <v>3.95</v>
      </c>
      <c r="D1982" s="1">
        <v>72</v>
      </c>
      <c r="E1982" s="1">
        <v>64.8</v>
      </c>
      <c r="F1982" s="1">
        <v>14</v>
      </c>
      <c r="G1982" s="1">
        <v>3844.46</v>
      </c>
      <c r="H1982" s="1" t="s">
        <v>10</v>
      </c>
      <c r="I1982" t="str">
        <f t="shared" si="30"/>
        <v>GLASS CLOCHE SMALL [22778]</v>
      </c>
    </row>
    <row r="1983" spans="1:9" x14ac:dyDescent="0.3">
      <c r="A1983" s="1">
        <v>22779</v>
      </c>
      <c r="B1983" t="s">
        <v>4163</v>
      </c>
      <c r="C1983" s="1">
        <v>4.0199999999999996</v>
      </c>
      <c r="D1983" s="1">
        <v>99</v>
      </c>
      <c r="E1983" s="2">
        <v>115.666666666666</v>
      </c>
      <c r="F1983" s="1">
        <v>15</v>
      </c>
      <c r="G1983" s="1">
        <v>6631.35</v>
      </c>
      <c r="H1983" s="1" t="s">
        <v>10</v>
      </c>
      <c r="I1983" t="str">
        <f t="shared" si="30"/>
        <v>WOODEN OWLS LIGHT GARLAND [22779]</v>
      </c>
    </row>
    <row r="1984" spans="1:9" x14ac:dyDescent="0.3">
      <c r="A1984" s="1">
        <v>22780</v>
      </c>
      <c r="B1984" t="s">
        <v>4162</v>
      </c>
      <c r="C1984" s="1">
        <v>4.0199999999999996</v>
      </c>
      <c r="D1984" s="1">
        <v>84</v>
      </c>
      <c r="E1984" s="1">
        <v>108.2</v>
      </c>
      <c r="F1984" s="1">
        <v>15</v>
      </c>
      <c r="G1984" s="1">
        <v>6167.59</v>
      </c>
      <c r="H1984" s="1" t="s">
        <v>10</v>
      </c>
      <c r="I1984" t="str">
        <f t="shared" si="30"/>
        <v>LIGHT GARLAND BUTTERFILES PINK [22780]</v>
      </c>
    </row>
    <row r="1985" spans="1:9" x14ac:dyDescent="0.3">
      <c r="A1985" s="1">
        <v>22781</v>
      </c>
      <c r="B1985" t="s">
        <v>4161</v>
      </c>
      <c r="C1985" s="1">
        <v>8.35</v>
      </c>
      <c r="D1985" s="1">
        <v>47</v>
      </c>
      <c r="E1985" s="1">
        <v>57.8</v>
      </c>
      <c r="F1985" s="1">
        <v>15</v>
      </c>
      <c r="G1985" s="1">
        <v>7060.58</v>
      </c>
      <c r="H1985" s="1" t="s">
        <v>9</v>
      </c>
      <c r="I1985" t="str">
        <f t="shared" si="30"/>
        <v>GUMBALL MAGAZINE RACK [22781]</v>
      </c>
    </row>
    <row r="1986" spans="1:9" x14ac:dyDescent="0.3">
      <c r="A1986" s="1">
        <v>22782</v>
      </c>
      <c r="B1986" t="s">
        <v>4160</v>
      </c>
      <c r="C1986" s="1">
        <v>24.95</v>
      </c>
      <c r="D1986" s="1">
        <v>5</v>
      </c>
      <c r="E1986" s="2">
        <v>16.933333333333302</v>
      </c>
      <c r="F1986" s="1">
        <v>15</v>
      </c>
      <c r="G1986" s="1">
        <v>3712.3</v>
      </c>
      <c r="H1986" s="1" t="s">
        <v>8</v>
      </c>
      <c r="I1986" t="str">
        <f t="shared" si="30"/>
        <v>SET 3 WICKER STORAGE BASKETS [22782]</v>
      </c>
    </row>
    <row r="1987" spans="1:9" x14ac:dyDescent="0.3">
      <c r="A1987" s="1">
        <v>22783</v>
      </c>
      <c r="B1987" t="s">
        <v>4159</v>
      </c>
      <c r="C1987" s="1">
        <v>15.25</v>
      </c>
      <c r="D1987" s="1">
        <v>28</v>
      </c>
      <c r="E1987" s="1">
        <v>60.25</v>
      </c>
      <c r="F1987" s="1">
        <v>8</v>
      </c>
      <c r="G1987" s="1">
        <v>6316.3</v>
      </c>
      <c r="H1987" s="1" t="s">
        <v>9</v>
      </c>
      <c r="I1987" t="str">
        <f t="shared" ref="I1987:I2050" si="31">B1987&amp;" ["&amp;A1987&amp;"]"</f>
        <v>SET 3 WICKER OVAL BASKETS W LIDS [22783]</v>
      </c>
    </row>
    <row r="1988" spans="1:9" x14ac:dyDescent="0.3">
      <c r="A1988" s="1">
        <v>22784</v>
      </c>
      <c r="B1988" t="s">
        <v>4158</v>
      </c>
      <c r="C1988" s="1">
        <v>4.96</v>
      </c>
      <c r="D1988" s="1">
        <v>93</v>
      </c>
      <c r="E1988" s="1">
        <v>103.4</v>
      </c>
      <c r="F1988" s="1">
        <v>15</v>
      </c>
      <c r="G1988" s="1">
        <v>7727.14</v>
      </c>
      <c r="H1988" s="1" t="s">
        <v>10</v>
      </c>
      <c r="I1988" t="str">
        <f t="shared" si="31"/>
        <v>LANTERN CREAM GAZEBO [22784]</v>
      </c>
    </row>
    <row r="1989" spans="1:9" x14ac:dyDescent="0.3">
      <c r="A1989" s="1">
        <v>22785</v>
      </c>
      <c r="B1989" t="s">
        <v>4157</v>
      </c>
      <c r="C1989" s="1">
        <v>6.75</v>
      </c>
      <c r="D1989" s="1">
        <v>9</v>
      </c>
      <c r="E1989" s="2">
        <v>19.266666666666602</v>
      </c>
      <c r="F1989" s="1">
        <v>13</v>
      </c>
      <c r="G1989" s="1">
        <v>2017.1</v>
      </c>
      <c r="H1989" s="1" t="s">
        <v>8</v>
      </c>
      <c r="I1989" t="str">
        <f t="shared" si="31"/>
        <v>CUSHION COVER PINK UNION FLAG [22785]</v>
      </c>
    </row>
    <row r="1990" spans="1:9" x14ac:dyDescent="0.3">
      <c r="A1990" s="1">
        <v>22786</v>
      </c>
      <c r="B1990" t="s">
        <v>4156</v>
      </c>
      <c r="C1990" s="1">
        <v>6.63</v>
      </c>
      <c r="D1990" s="1">
        <v>8</v>
      </c>
      <c r="E1990" s="2">
        <v>17.846153846153801</v>
      </c>
      <c r="F1990" s="1">
        <v>12</v>
      </c>
      <c r="G1990" s="1">
        <v>1519.7</v>
      </c>
      <c r="H1990" s="1" t="s">
        <v>8</v>
      </c>
      <c r="I1990" t="str">
        <f t="shared" si="31"/>
        <v>PILLOWCUSHION COVER PINK UNION JACK [22786]</v>
      </c>
    </row>
    <row r="1991" spans="1:9" x14ac:dyDescent="0.3">
      <c r="A1991" s="1">
        <v>22788</v>
      </c>
      <c r="B1991" t="s">
        <v>4155</v>
      </c>
      <c r="C1991" s="1">
        <v>10.6</v>
      </c>
      <c r="D1991" s="1">
        <v>31</v>
      </c>
      <c r="E1991" s="2">
        <v>52.8888888888888</v>
      </c>
      <c r="F1991" s="1">
        <v>9</v>
      </c>
      <c r="G1991" s="1">
        <v>3942.62</v>
      </c>
      <c r="H1991" s="1" t="s">
        <v>9</v>
      </c>
      <c r="I1991" t="str">
        <f t="shared" si="31"/>
        <v>BROCANTE COAT RACK [22788]</v>
      </c>
    </row>
    <row r="1992" spans="1:9" x14ac:dyDescent="0.3">
      <c r="A1992" s="1">
        <v>22789</v>
      </c>
      <c r="B1992" t="s">
        <v>4154</v>
      </c>
      <c r="C1992" s="1">
        <v>2</v>
      </c>
      <c r="D1992" s="1">
        <v>65</v>
      </c>
      <c r="E1992" s="2">
        <v>82.533333333333303</v>
      </c>
      <c r="F1992" s="1">
        <v>15</v>
      </c>
      <c r="G1992" s="1">
        <v>2419.54</v>
      </c>
      <c r="H1992" s="1" t="s">
        <v>10</v>
      </c>
      <c r="I1992" t="str">
        <f t="shared" si="31"/>
        <v>T-LIGHT HOLDER SWEETHEART HANGING [22789]</v>
      </c>
    </row>
    <row r="1993" spans="1:9" x14ac:dyDescent="0.3">
      <c r="A1993" s="1">
        <v>22790</v>
      </c>
      <c r="B1993" t="s">
        <v>4153</v>
      </c>
      <c r="C1993" s="1">
        <v>19.420000000000002</v>
      </c>
      <c r="D1993" s="1">
        <v>200</v>
      </c>
      <c r="E1993" s="1">
        <v>200</v>
      </c>
      <c r="F1993" s="1">
        <v>1</v>
      </c>
      <c r="G1993" s="1">
        <v>3884</v>
      </c>
      <c r="H1993" s="1" t="s">
        <v>10</v>
      </c>
      <c r="I1993" t="str">
        <f t="shared" si="31"/>
        <v>MIRROR, ARCHED GEORGIAN [22790]</v>
      </c>
    </row>
    <row r="1994" spans="1:9" x14ac:dyDescent="0.3">
      <c r="A1994" s="1">
        <v>22791</v>
      </c>
      <c r="B1994" t="s">
        <v>4152</v>
      </c>
      <c r="C1994" s="1">
        <v>1.21</v>
      </c>
      <c r="D1994" s="1">
        <v>603</v>
      </c>
      <c r="E1994" s="2">
        <v>675.57142857142799</v>
      </c>
      <c r="F1994" s="1">
        <v>14</v>
      </c>
      <c r="G1994" s="1">
        <v>11728.69</v>
      </c>
      <c r="H1994" s="1" t="s">
        <v>10</v>
      </c>
      <c r="I1994" t="str">
        <f t="shared" si="31"/>
        <v>T-LIGHT GLASS FLUTED ANTIQUE [22791]</v>
      </c>
    </row>
    <row r="1995" spans="1:9" x14ac:dyDescent="0.3">
      <c r="A1995" s="1">
        <v>22792</v>
      </c>
      <c r="B1995" t="s">
        <v>4151</v>
      </c>
      <c r="C1995" s="1">
        <v>0.96</v>
      </c>
      <c r="D1995" s="1">
        <v>141</v>
      </c>
      <c r="E1995" s="1">
        <v>232.6</v>
      </c>
      <c r="F1995" s="1">
        <v>15</v>
      </c>
      <c r="G1995" s="1">
        <v>3241.13</v>
      </c>
      <c r="H1995" s="1" t="s">
        <v>10</v>
      </c>
      <c r="I1995" t="str">
        <f t="shared" si="31"/>
        <v>FLUTED ANTIQUE CANDLE HOLDER [22792]</v>
      </c>
    </row>
    <row r="1996" spans="1:9" x14ac:dyDescent="0.3">
      <c r="A1996" s="1">
        <v>22794</v>
      </c>
      <c r="B1996" t="s">
        <v>4150</v>
      </c>
      <c r="C1996" s="1">
        <v>8.39</v>
      </c>
      <c r="D1996" s="1">
        <v>26</v>
      </c>
      <c r="E1996" s="2">
        <v>25.933333333333302</v>
      </c>
      <c r="F1996" s="1">
        <v>15</v>
      </c>
      <c r="G1996" s="1">
        <v>3271.35</v>
      </c>
      <c r="H1996" s="1" t="s">
        <v>9</v>
      </c>
      <c r="I1996" t="str">
        <f t="shared" si="31"/>
        <v>SWEETHEART WIRE MAGAZINE RACK [22794]</v>
      </c>
    </row>
    <row r="1997" spans="1:9" x14ac:dyDescent="0.3">
      <c r="A1997" s="1">
        <v>22795</v>
      </c>
      <c r="B1997" t="s">
        <v>4149</v>
      </c>
      <c r="C1997" s="1">
        <v>6.87</v>
      </c>
      <c r="D1997" s="1">
        <v>97</v>
      </c>
      <c r="E1997" s="2">
        <v>122.846153846153</v>
      </c>
      <c r="F1997" s="1">
        <v>13</v>
      </c>
      <c r="G1997" s="1">
        <v>11175.81</v>
      </c>
      <c r="H1997" s="1" t="s">
        <v>10</v>
      </c>
      <c r="I1997" t="str">
        <f t="shared" si="31"/>
        <v>SWEETHEART RECIPE BOOK STAND [22795]</v>
      </c>
    </row>
    <row r="1998" spans="1:9" x14ac:dyDescent="0.3">
      <c r="A1998" s="1">
        <v>22796</v>
      </c>
      <c r="B1998" t="s">
        <v>4148</v>
      </c>
      <c r="C1998" s="1">
        <v>9.9499999999999993</v>
      </c>
      <c r="D1998" s="1">
        <v>50</v>
      </c>
      <c r="E1998" s="2">
        <v>53.733333333333299</v>
      </c>
      <c r="F1998" s="1">
        <v>15</v>
      </c>
      <c r="G1998" s="1">
        <v>8020.45</v>
      </c>
      <c r="H1998" s="1" t="s">
        <v>9</v>
      </c>
      <c r="I1998" t="str">
        <f t="shared" si="31"/>
        <v>PHOTO FRAME 3 CLASSIC HANGING [22796]</v>
      </c>
    </row>
    <row r="1999" spans="1:9" x14ac:dyDescent="0.3">
      <c r="A1999" s="1">
        <v>22797</v>
      </c>
      <c r="B1999" t="s">
        <v>4147</v>
      </c>
      <c r="C1999" s="1">
        <v>17.78</v>
      </c>
      <c r="D1999" s="1">
        <v>13</v>
      </c>
      <c r="E1999" s="2">
        <v>16.133333333333301</v>
      </c>
      <c r="F1999" s="1">
        <v>15</v>
      </c>
      <c r="G1999" s="2">
        <v>4205.5599999999904</v>
      </c>
      <c r="H1999" s="1" t="s">
        <v>9</v>
      </c>
      <c r="I1999" t="str">
        <f t="shared" si="31"/>
        <v>CHEST OF DRAWERS GINGHAM HEART [22797]</v>
      </c>
    </row>
    <row r="2000" spans="1:9" x14ac:dyDescent="0.3">
      <c r="A2000" s="1">
        <v>22798</v>
      </c>
      <c r="B2000" t="s">
        <v>4146</v>
      </c>
      <c r="C2000" s="1">
        <v>3.09</v>
      </c>
      <c r="D2000" s="1">
        <v>125</v>
      </c>
      <c r="E2000" s="1">
        <v>157.80000000000001</v>
      </c>
      <c r="F2000" s="1">
        <v>15</v>
      </c>
      <c r="G2000" s="1">
        <v>7336.09</v>
      </c>
      <c r="H2000" s="1" t="s">
        <v>10</v>
      </c>
      <c r="I2000" t="str">
        <f t="shared" si="31"/>
        <v>ANTIQUE GLASS DRESSING TABLE POT [22798]</v>
      </c>
    </row>
    <row r="2001" spans="1:9" x14ac:dyDescent="0.3">
      <c r="A2001" s="1">
        <v>22799</v>
      </c>
      <c r="B2001" t="s">
        <v>4145</v>
      </c>
      <c r="C2001" s="1">
        <v>8.5</v>
      </c>
      <c r="D2001" s="1">
        <v>16</v>
      </c>
      <c r="E2001" s="2">
        <v>16.8666666666666</v>
      </c>
      <c r="F2001" s="1">
        <v>15</v>
      </c>
      <c r="G2001" s="1">
        <v>2020.84</v>
      </c>
      <c r="H2001" s="1" t="s">
        <v>9</v>
      </c>
      <c r="I2001" t="str">
        <f t="shared" si="31"/>
        <v>SWEETHEART WIRE FRUIT BOWL [22799]</v>
      </c>
    </row>
    <row r="2002" spans="1:9" x14ac:dyDescent="0.3">
      <c r="A2002" s="1">
        <v>22800</v>
      </c>
      <c r="B2002" t="s">
        <v>4144</v>
      </c>
      <c r="C2002" s="1">
        <v>4.07</v>
      </c>
      <c r="D2002" s="1">
        <v>53</v>
      </c>
      <c r="E2002" s="2">
        <v>75.133333333333297</v>
      </c>
      <c r="F2002" s="1">
        <v>15</v>
      </c>
      <c r="G2002" s="1">
        <v>4586.3999999999996</v>
      </c>
      <c r="H2002" s="1" t="s">
        <v>9</v>
      </c>
      <c r="I2002" t="str">
        <f t="shared" si="31"/>
        <v>ANTIQUE TALL SWIRLGLASS TRINKET POT [22800]</v>
      </c>
    </row>
    <row r="2003" spans="1:9" x14ac:dyDescent="0.3">
      <c r="A2003" s="1">
        <v>22801</v>
      </c>
      <c r="B2003" t="s">
        <v>4143</v>
      </c>
      <c r="C2003" s="1">
        <v>3.99</v>
      </c>
      <c r="D2003" s="1">
        <v>65</v>
      </c>
      <c r="E2003" s="2">
        <v>86.6666666666666</v>
      </c>
      <c r="F2003" s="1">
        <v>15</v>
      </c>
      <c r="G2003" s="1">
        <v>5277.95</v>
      </c>
      <c r="H2003" s="1" t="s">
        <v>10</v>
      </c>
      <c r="I2003" t="str">
        <f t="shared" si="31"/>
        <v>ANTIQUE GLASS PEDESTAL BOWL [22801]</v>
      </c>
    </row>
    <row r="2004" spans="1:9" x14ac:dyDescent="0.3">
      <c r="A2004" s="1">
        <v>22802</v>
      </c>
      <c r="B2004" t="s">
        <v>4142</v>
      </c>
      <c r="C2004" s="1">
        <v>19.95</v>
      </c>
      <c r="D2004" s="1">
        <v>4.5</v>
      </c>
      <c r="E2004" s="2">
        <v>7.8571428571428497</v>
      </c>
      <c r="F2004" s="1">
        <v>14</v>
      </c>
      <c r="G2004" s="1">
        <v>1933.59</v>
      </c>
      <c r="H2004" s="1" t="s">
        <v>8</v>
      </c>
      <c r="I2004" t="str">
        <f t="shared" si="31"/>
        <v>FAUX FUR CHOCOLATE THROW [22802]</v>
      </c>
    </row>
    <row r="2005" spans="1:9" x14ac:dyDescent="0.3">
      <c r="A2005" s="1">
        <v>22803</v>
      </c>
      <c r="B2005" t="s">
        <v>4141</v>
      </c>
      <c r="C2005" s="1">
        <v>39.950000000000003</v>
      </c>
      <c r="D2005" s="1">
        <v>2</v>
      </c>
      <c r="E2005" s="2">
        <v>4.5384615384615303</v>
      </c>
      <c r="F2005" s="1">
        <v>13</v>
      </c>
      <c r="G2005" s="1">
        <v>2237.84</v>
      </c>
      <c r="H2005" s="1" t="s">
        <v>8</v>
      </c>
      <c r="I2005" t="str">
        <f t="shared" si="31"/>
        <v>IVORY EMBROIDERED QUILT [22803]</v>
      </c>
    </row>
    <row r="2006" spans="1:9" x14ac:dyDescent="0.3">
      <c r="A2006" s="1">
        <v>22804</v>
      </c>
      <c r="B2006" t="s">
        <v>4140</v>
      </c>
      <c r="C2006" s="1">
        <v>2.85</v>
      </c>
      <c r="D2006" s="1">
        <v>199</v>
      </c>
      <c r="E2006" s="2">
        <v>309.47058823529397</v>
      </c>
      <c r="F2006" s="1">
        <v>16</v>
      </c>
      <c r="G2006" s="2">
        <v>14075.8</v>
      </c>
      <c r="H2006" s="1" t="s">
        <v>10</v>
      </c>
      <c r="I2006" t="str">
        <f t="shared" si="31"/>
        <v>CANDLEHOLDER PINK HANGING HEART [22804]</v>
      </c>
    </row>
    <row r="2007" spans="1:9" x14ac:dyDescent="0.3">
      <c r="A2007" s="1">
        <v>22805</v>
      </c>
      <c r="B2007" t="s">
        <v>4139</v>
      </c>
      <c r="C2007" s="1">
        <v>1.39</v>
      </c>
      <c r="D2007" s="1">
        <v>151</v>
      </c>
      <c r="E2007" s="2">
        <v>147.13333333333301</v>
      </c>
      <c r="F2007" s="1">
        <v>15</v>
      </c>
      <c r="G2007" s="1">
        <v>3008.82</v>
      </c>
      <c r="H2007" s="1" t="s">
        <v>10</v>
      </c>
      <c r="I2007" t="str">
        <f t="shared" si="31"/>
        <v>BLUE DRAWER KNOB ACRYLIC EDWARDIAN [22805]</v>
      </c>
    </row>
    <row r="2008" spans="1:9" x14ac:dyDescent="0.3">
      <c r="A2008" s="1">
        <v>22806</v>
      </c>
      <c r="B2008" t="s">
        <v>4138</v>
      </c>
      <c r="C2008" s="2">
        <v>2.9849999999999999</v>
      </c>
      <c r="D2008" s="1">
        <v>15.5</v>
      </c>
      <c r="E2008" s="1">
        <v>26.875</v>
      </c>
      <c r="F2008" s="1">
        <v>16</v>
      </c>
      <c r="G2008" s="1">
        <v>1149.02</v>
      </c>
      <c r="H2008" s="1" t="s">
        <v>9</v>
      </c>
      <c r="I2008" t="str">
        <f t="shared" si="31"/>
        <v>SET OF 6 T-LIGHTS WEDDING CAKE [22806]</v>
      </c>
    </row>
    <row r="2009" spans="1:9" x14ac:dyDescent="0.3">
      <c r="A2009" s="1">
        <v>22807</v>
      </c>
      <c r="B2009" t="s">
        <v>4137</v>
      </c>
      <c r="C2009" s="1">
        <v>3.105</v>
      </c>
      <c r="D2009" s="1">
        <v>64.5</v>
      </c>
      <c r="E2009" s="1">
        <v>85.9375</v>
      </c>
      <c r="F2009" s="1">
        <v>16</v>
      </c>
      <c r="G2009" s="1">
        <v>4086.56</v>
      </c>
      <c r="H2009" s="1" t="s">
        <v>10</v>
      </c>
      <c r="I2009" t="str">
        <f t="shared" si="31"/>
        <v>SET OF 6 T-LIGHTS TOADSTOOLS [22807]</v>
      </c>
    </row>
    <row r="2010" spans="1:9" x14ac:dyDescent="0.3">
      <c r="A2010" s="1">
        <v>22808</v>
      </c>
      <c r="B2010" t="s">
        <v>4136</v>
      </c>
      <c r="C2010" s="2">
        <v>2.9849999999999999</v>
      </c>
      <c r="D2010" s="1">
        <v>31.5</v>
      </c>
      <c r="E2010" s="1">
        <v>35</v>
      </c>
      <c r="F2010" s="1">
        <v>12</v>
      </c>
      <c r="G2010" s="1">
        <v>1243.8800000000001</v>
      </c>
      <c r="H2010" s="1" t="s">
        <v>9</v>
      </c>
      <c r="I2010" t="str">
        <f t="shared" si="31"/>
        <v>SET OF 6 T-LIGHTS EASTER CHICKS [22808]</v>
      </c>
    </row>
    <row r="2011" spans="1:9" x14ac:dyDescent="0.3">
      <c r="A2011" s="1">
        <v>22809</v>
      </c>
      <c r="B2011" t="s">
        <v>4135</v>
      </c>
      <c r="C2011" s="1">
        <v>3.02</v>
      </c>
      <c r="D2011" s="1">
        <v>187</v>
      </c>
      <c r="E2011" s="2">
        <v>233.45454545454501</v>
      </c>
      <c r="F2011" s="1">
        <v>11</v>
      </c>
      <c r="G2011" s="1">
        <v>7664.72</v>
      </c>
      <c r="H2011" s="1" t="s">
        <v>10</v>
      </c>
      <c r="I2011" t="str">
        <f t="shared" si="31"/>
        <v>SET OF 6 T-LIGHTS SANTA [22809]</v>
      </c>
    </row>
    <row r="2012" spans="1:9" x14ac:dyDescent="0.3">
      <c r="A2012" s="1">
        <v>22810</v>
      </c>
      <c r="B2012" t="s">
        <v>4134</v>
      </c>
      <c r="C2012" s="1">
        <v>3.05</v>
      </c>
      <c r="D2012" s="1">
        <v>95</v>
      </c>
      <c r="E2012" s="2">
        <v>169.15384615384599</v>
      </c>
      <c r="F2012" s="1">
        <v>13</v>
      </c>
      <c r="G2012" s="1">
        <v>6729.13</v>
      </c>
      <c r="H2012" s="1" t="s">
        <v>10</v>
      </c>
      <c r="I2012" t="str">
        <f t="shared" si="31"/>
        <v>SET OF 6 T-LIGHTS SNOWMEN [22810]</v>
      </c>
    </row>
    <row r="2013" spans="1:9" x14ac:dyDescent="0.3">
      <c r="A2013" s="1">
        <v>22811</v>
      </c>
      <c r="B2013" t="s">
        <v>4133</v>
      </c>
      <c r="C2013" s="1">
        <v>2.89</v>
      </c>
      <c r="D2013" s="1">
        <v>39.5</v>
      </c>
      <c r="E2013" s="1">
        <v>63.8125</v>
      </c>
      <c r="F2013" s="1">
        <v>16</v>
      </c>
      <c r="G2013" s="1">
        <v>2884.13</v>
      </c>
      <c r="H2013" s="1" t="s">
        <v>9</v>
      </c>
      <c r="I2013" t="str">
        <f t="shared" si="31"/>
        <v>SET OF 6 T-LIGHTS CACTI [22811]</v>
      </c>
    </row>
    <row r="2014" spans="1:9" x14ac:dyDescent="0.3">
      <c r="A2014" s="1">
        <v>22812</v>
      </c>
      <c r="B2014" t="s">
        <v>4132</v>
      </c>
      <c r="C2014" s="1">
        <v>1.99</v>
      </c>
      <c r="D2014" s="1">
        <v>112</v>
      </c>
      <c r="E2014" s="2">
        <v>375.30769230769198</v>
      </c>
      <c r="F2014" s="1">
        <v>12</v>
      </c>
      <c r="G2014" s="1">
        <v>10734.43</v>
      </c>
      <c r="H2014" s="1" t="s">
        <v>10</v>
      </c>
      <c r="I2014" t="str">
        <f t="shared" si="31"/>
        <v>PACK 3 BOXES CHRISTMAS PANNETONE [22812]</v>
      </c>
    </row>
    <row r="2015" spans="1:9" x14ac:dyDescent="0.3">
      <c r="A2015" s="1">
        <v>22813</v>
      </c>
      <c r="B2015" t="s">
        <v>4131</v>
      </c>
      <c r="C2015" s="1">
        <v>2.0499999999999998</v>
      </c>
      <c r="D2015" s="1">
        <v>139</v>
      </c>
      <c r="E2015" s="2">
        <v>232.058823529411</v>
      </c>
      <c r="F2015" s="1">
        <v>16</v>
      </c>
      <c r="G2015" s="1">
        <v>7663.83</v>
      </c>
      <c r="H2015" s="1" t="s">
        <v>10</v>
      </c>
      <c r="I2015" t="str">
        <f t="shared" si="31"/>
        <v>PACK 3 BOXES BIRD PANNETONE [22813]</v>
      </c>
    </row>
    <row r="2016" spans="1:9" x14ac:dyDescent="0.3">
      <c r="A2016" s="1">
        <v>22814</v>
      </c>
      <c r="B2016" t="s">
        <v>4130</v>
      </c>
      <c r="C2016" s="1">
        <v>0.42</v>
      </c>
      <c r="D2016" s="1">
        <v>168.5</v>
      </c>
      <c r="E2016" s="1">
        <v>170.5</v>
      </c>
      <c r="F2016" s="1">
        <v>16</v>
      </c>
      <c r="G2016" s="1">
        <v>1147.77</v>
      </c>
      <c r="H2016" s="1" t="s">
        <v>10</v>
      </c>
      <c r="I2016" t="str">
        <f t="shared" si="31"/>
        <v>CARD PARTY GAMES [22814]</v>
      </c>
    </row>
    <row r="2017" spans="1:9" x14ac:dyDescent="0.3">
      <c r="A2017" s="1">
        <v>22815</v>
      </c>
      <c r="B2017" t="s">
        <v>4129</v>
      </c>
      <c r="C2017" s="1">
        <v>0.43</v>
      </c>
      <c r="D2017" s="1">
        <v>208.5</v>
      </c>
      <c r="E2017" s="1">
        <v>214.5625</v>
      </c>
      <c r="F2017" s="1">
        <v>16</v>
      </c>
      <c r="G2017" s="1">
        <v>1468.53</v>
      </c>
      <c r="H2017" s="1" t="s">
        <v>10</v>
      </c>
      <c r="I2017" t="str">
        <f t="shared" si="31"/>
        <v>CARD PSYCHEDELIC APPLES [22815]</v>
      </c>
    </row>
    <row r="2018" spans="1:9" x14ac:dyDescent="0.3">
      <c r="A2018" s="1">
        <v>22816</v>
      </c>
      <c r="B2018" t="s">
        <v>4128</v>
      </c>
      <c r="C2018" s="1">
        <v>0.42499999999999999</v>
      </c>
      <c r="D2018" s="1">
        <v>423</v>
      </c>
      <c r="E2018" s="2">
        <v>489.71428571428498</v>
      </c>
      <c r="F2018" s="1">
        <v>14</v>
      </c>
      <c r="G2018" s="1">
        <v>2950.93</v>
      </c>
      <c r="H2018" s="1" t="s">
        <v>10</v>
      </c>
      <c r="I2018" t="str">
        <f t="shared" si="31"/>
        <v>CARD MOTORBIKE SANTA [22816]</v>
      </c>
    </row>
    <row r="2019" spans="1:9" x14ac:dyDescent="0.3">
      <c r="A2019" s="1">
        <v>22817</v>
      </c>
      <c r="B2019" t="s">
        <v>4127</v>
      </c>
      <c r="C2019" s="1">
        <v>0.42</v>
      </c>
      <c r="D2019" s="1">
        <v>197</v>
      </c>
      <c r="E2019" s="1">
        <v>212</v>
      </c>
      <c r="F2019" s="1">
        <v>16</v>
      </c>
      <c r="G2019" s="1">
        <v>1434.9</v>
      </c>
      <c r="H2019" s="1" t="s">
        <v>10</v>
      </c>
      <c r="I2019" t="str">
        <f t="shared" si="31"/>
        <v>CARD SUKI BIRTHDAY [22817]</v>
      </c>
    </row>
    <row r="2020" spans="1:9" x14ac:dyDescent="0.3">
      <c r="A2020" s="1">
        <v>22818</v>
      </c>
      <c r="B2020" t="s">
        <v>4126</v>
      </c>
      <c r="C2020" s="1">
        <v>0.42499999999999999</v>
      </c>
      <c r="D2020" s="1">
        <v>289.5</v>
      </c>
      <c r="E2020" s="2">
        <v>449.28571428571399</v>
      </c>
      <c r="F2020" s="1">
        <v>14</v>
      </c>
      <c r="G2020" s="1">
        <v>2720.86</v>
      </c>
      <c r="H2020" s="1" t="s">
        <v>10</v>
      </c>
      <c r="I2020" t="str">
        <f t="shared" si="31"/>
        <v>CARD CHRISTMAS VILLAGE [22818]</v>
      </c>
    </row>
    <row r="2021" spans="1:9" x14ac:dyDescent="0.3">
      <c r="A2021" s="1">
        <v>22819</v>
      </c>
      <c r="B2021" t="s">
        <v>4125</v>
      </c>
      <c r="C2021" s="1">
        <v>0.42499999999999999</v>
      </c>
      <c r="D2021" s="1">
        <v>197.5</v>
      </c>
      <c r="E2021" s="1">
        <v>209.4375</v>
      </c>
      <c r="F2021" s="1">
        <v>16</v>
      </c>
      <c r="G2021" s="1">
        <v>1418.12</v>
      </c>
      <c r="H2021" s="1" t="s">
        <v>10</v>
      </c>
      <c r="I2021" t="str">
        <f t="shared" si="31"/>
        <v>BIRTHDAY CARD, RETRO SPOT [22819]</v>
      </c>
    </row>
    <row r="2022" spans="1:9" x14ac:dyDescent="0.3">
      <c r="A2022" s="1">
        <v>22820</v>
      </c>
      <c r="B2022" t="s">
        <v>4124</v>
      </c>
      <c r="C2022" s="1">
        <v>0.65</v>
      </c>
      <c r="D2022" s="1">
        <v>55.5</v>
      </c>
      <c r="E2022" s="1">
        <v>84.5625</v>
      </c>
      <c r="F2022" s="1">
        <v>16</v>
      </c>
      <c r="G2022" s="1">
        <v>845.13</v>
      </c>
      <c r="H2022" s="1" t="s">
        <v>9</v>
      </c>
      <c r="I2022" t="str">
        <f t="shared" si="31"/>
        <v>GIFT BAG BIRTHDAY [22820]</v>
      </c>
    </row>
    <row r="2023" spans="1:9" x14ac:dyDescent="0.3">
      <c r="A2023" s="1">
        <v>22821</v>
      </c>
      <c r="B2023" t="s">
        <v>4123</v>
      </c>
      <c r="C2023" s="1">
        <v>0.66</v>
      </c>
      <c r="D2023" s="1">
        <v>81</v>
      </c>
      <c r="E2023" s="1">
        <v>103.75</v>
      </c>
      <c r="F2023" s="1">
        <v>16</v>
      </c>
      <c r="G2023" s="1">
        <v>1047.45</v>
      </c>
      <c r="H2023" s="1" t="s">
        <v>10</v>
      </c>
      <c r="I2023" t="str">
        <f t="shared" si="31"/>
        <v>GIFT BAG PSYCHEDELIC APPLES [22821]</v>
      </c>
    </row>
    <row r="2024" spans="1:9" x14ac:dyDescent="0.3">
      <c r="A2024" s="1">
        <v>22822</v>
      </c>
      <c r="B2024" t="s">
        <v>4122</v>
      </c>
      <c r="C2024" s="1">
        <v>6.0250000000000004</v>
      </c>
      <c r="D2024" s="1">
        <v>30</v>
      </c>
      <c r="E2024" s="1">
        <v>41.5</v>
      </c>
      <c r="F2024" s="1">
        <v>14</v>
      </c>
      <c r="G2024" s="1">
        <v>3367.35</v>
      </c>
      <c r="H2024" s="1" t="s">
        <v>9</v>
      </c>
      <c r="I2024" t="str">
        <f t="shared" si="31"/>
        <v>CREAM WALL PLANTER HEART SHAPED [22822]</v>
      </c>
    </row>
    <row r="2025" spans="1:9" x14ac:dyDescent="0.3">
      <c r="A2025" s="1">
        <v>22823</v>
      </c>
      <c r="B2025" t="s">
        <v>4121</v>
      </c>
      <c r="C2025" s="1">
        <v>115</v>
      </c>
      <c r="D2025" s="1">
        <v>2.5</v>
      </c>
      <c r="E2025" s="2">
        <v>2.6666666666666599</v>
      </c>
      <c r="F2025" s="1">
        <v>12</v>
      </c>
      <c r="G2025" s="1">
        <v>3655</v>
      </c>
      <c r="H2025" s="1" t="s">
        <v>8</v>
      </c>
      <c r="I2025" t="str">
        <f t="shared" si="31"/>
        <v>CHEST NATURAL WOOD 20 DRAWERS [22823]</v>
      </c>
    </row>
    <row r="2026" spans="1:9" x14ac:dyDescent="0.3">
      <c r="A2026" s="1">
        <v>22824</v>
      </c>
      <c r="B2026" t="s">
        <v>4120</v>
      </c>
      <c r="C2026" s="1">
        <v>35.950000000000003</v>
      </c>
      <c r="D2026" s="1">
        <v>5</v>
      </c>
      <c r="E2026" s="2">
        <v>4.6923076923076898</v>
      </c>
      <c r="F2026" s="1">
        <v>13</v>
      </c>
      <c r="G2026" s="1">
        <v>2153.9499999999998</v>
      </c>
      <c r="H2026" s="1" t="s">
        <v>8</v>
      </c>
      <c r="I2026" t="str">
        <f t="shared" si="31"/>
        <v>3 TIER SWEETHEART GARDEN SHELF [22824]</v>
      </c>
    </row>
    <row r="2027" spans="1:9" x14ac:dyDescent="0.3">
      <c r="A2027" s="1">
        <v>22825</v>
      </c>
      <c r="B2027" t="s">
        <v>4119</v>
      </c>
      <c r="C2027" s="1">
        <v>7.95</v>
      </c>
      <c r="D2027" s="1">
        <v>7</v>
      </c>
      <c r="E2027" s="2">
        <v>7.1428571428571397</v>
      </c>
      <c r="F2027" s="1">
        <v>14</v>
      </c>
      <c r="G2027" s="1">
        <v>799.02</v>
      </c>
      <c r="H2027" s="1" t="s">
        <v>8</v>
      </c>
      <c r="I2027" t="str">
        <f t="shared" si="31"/>
        <v>DECORATIVE PLANT POT WITH FRIEZE [22825]</v>
      </c>
    </row>
    <row r="2028" spans="1:9" x14ac:dyDescent="0.3">
      <c r="A2028" s="1">
        <v>22826</v>
      </c>
      <c r="B2028" t="s">
        <v>4118</v>
      </c>
      <c r="C2028" s="1">
        <v>130</v>
      </c>
      <c r="D2028" s="1">
        <v>3.5</v>
      </c>
      <c r="E2028" s="1">
        <v>5.8</v>
      </c>
      <c r="F2028" s="1">
        <v>10</v>
      </c>
      <c r="G2028" s="1">
        <v>6210</v>
      </c>
      <c r="H2028" s="1" t="s">
        <v>8</v>
      </c>
      <c r="I2028" t="str">
        <f t="shared" si="31"/>
        <v>LOVE SEAT ANTIQUE WHITE METAL [22826]</v>
      </c>
    </row>
    <row r="2029" spans="1:9" x14ac:dyDescent="0.3">
      <c r="A2029" s="1">
        <v>22827</v>
      </c>
      <c r="B2029" t="s">
        <v>4117</v>
      </c>
      <c r="C2029" s="1">
        <v>157</v>
      </c>
      <c r="D2029" s="1">
        <v>3</v>
      </c>
      <c r="E2029" s="2">
        <v>3.0666666666666602</v>
      </c>
      <c r="F2029" s="1">
        <v>13</v>
      </c>
      <c r="G2029" s="1">
        <v>7150</v>
      </c>
      <c r="H2029" s="1" t="s">
        <v>8</v>
      </c>
      <c r="I2029" t="str">
        <f t="shared" si="31"/>
        <v>GIANT SEVENTEEN DRAWER SIDEBOARD [22827]</v>
      </c>
    </row>
    <row r="2030" spans="1:9" x14ac:dyDescent="0.3">
      <c r="A2030" s="1">
        <v>22828</v>
      </c>
      <c r="B2030" t="s">
        <v>4116</v>
      </c>
      <c r="C2030" s="2">
        <v>150.33499999999901</v>
      </c>
      <c r="D2030" s="1">
        <v>2</v>
      </c>
      <c r="E2030" s="1">
        <v>2.125</v>
      </c>
      <c r="F2030" s="1">
        <v>8</v>
      </c>
      <c r="G2030" s="1">
        <v>2565</v>
      </c>
      <c r="H2030" s="1" t="s">
        <v>8</v>
      </c>
      <c r="I2030" t="str">
        <f t="shared" si="31"/>
        <v>REGENCY MIRROR WITH SHUTTERS [22828]</v>
      </c>
    </row>
    <row r="2031" spans="1:9" x14ac:dyDescent="0.3">
      <c r="A2031" s="1">
        <v>22829</v>
      </c>
      <c r="B2031" t="s">
        <v>4113</v>
      </c>
      <c r="C2031" s="1">
        <v>9.9499999999999993</v>
      </c>
      <c r="D2031" s="1">
        <v>14</v>
      </c>
      <c r="E2031" s="2">
        <v>17.214285714285701</v>
      </c>
      <c r="F2031" s="1">
        <v>13</v>
      </c>
      <c r="G2031" s="1">
        <v>2468.5700000000002</v>
      </c>
      <c r="H2031" s="1" t="s">
        <v>9</v>
      </c>
      <c r="I2031" t="str">
        <f t="shared" si="31"/>
        <v>BROCANTE SHELF WITH HOOKS [22829]</v>
      </c>
    </row>
    <row r="2032" spans="1:9" x14ac:dyDescent="0.3">
      <c r="A2032" s="1">
        <v>22830</v>
      </c>
      <c r="B2032" t="s">
        <v>4115</v>
      </c>
      <c r="C2032" s="1">
        <v>21.324999999999999</v>
      </c>
      <c r="D2032" s="1">
        <v>25</v>
      </c>
      <c r="E2032" s="1">
        <v>45.25</v>
      </c>
      <c r="F2032" s="1">
        <v>4</v>
      </c>
      <c r="G2032" s="1">
        <v>3760.71</v>
      </c>
      <c r="H2032" s="1" t="s">
        <v>9</v>
      </c>
      <c r="I2032" t="str">
        <f t="shared" si="31"/>
        <v>UTILTY CABINET WITH HOOKS [22830]</v>
      </c>
    </row>
    <row r="2033" spans="1:9" x14ac:dyDescent="0.3">
      <c r="A2033" s="1">
        <v>22831</v>
      </c>
      <c r="B2033" t="s">
        <v>4114</v>
      </c>
      <c r="C2033" s="1">
        <v>3.0350000000000001</v>
      </c>
      <c r="D2033" s="1">
        <v>38</v>
      </c>
      <c r="E2033" s="2">
        <v>55.428571428571402</v>
      </c>
      <c r="F2033" s="1">
        <v>14</v>
      </c>
      <c r="G2033" s="1">
        <v>2286.2800000000002</v>
      </c>
      <c r="H2033" s="1" t="s">
        <v>9</v>
      </c>
      <c r="I2033" t="str">
        <f t="shared" si="31"/>
        <v>WHITE BROCANTE SOAP DISH [22831]</v>
      </c>
    </row>
    <row r="2034" spans="1:9" x14ac:dyDescent="0.3">
      <c r="A2034" s="1">
        <v>22832</v>
      </c>
      <c r="B2034" t="s">
        <v>4113</v>
      </c>
      <c r="C2034" s="1">
        <v>10.75</v>
      </c>
      <c r="D2034" s="1">
        <v>11</v>
      </c>
      <c r="E2034" s="2">
        <v>13.214285714285699</v>
      </c>
      <c r="F2034" s="1">
        <v>13</v>
      </c>
      <c r="G2034" s="1">
        <v>2033.15</v>
      </c>
      <c r="H2034" s="1" t="s">
        <v>9</v>
      </c>
      <c r="I2034" t="str">
        <f t="shared" si="31"/>
        <v>BROCANTE SHELF WITH HOOKS [22832]</v>
      </c>
    </row>
    <row r="2035" spans="1:9" x14ac:dyDescent="0.3">
      <c r="A2035" s="1">
        <v>22833</v>
      </c>
      <c r="B2035" t="s">
        <v>4112</v>
      </c>
      <c r="C2035" s="1">
        <v>42.7</v>
      </c>
      <c r="D2035" s="1">
        <v>23</v>
      </c>
      <c r="E2035" s="1">
        <v>30</v>
      </c>
      <c r="F2035" s="1">
        <v>4</v>
      </c>
      <c r="G2035" s="1">
        <v>4163.54</v>
      </c>
      <c r="H2035" s="1" t="s">
        <v>9</v>
      </c>
      <c r="I2035" t="str">
        <f t="shared" si="31"/>
        <v>HALL CABINET WITH 3 DRAWERS [22833]</v>
      </c>
    </row>
    <row r="2036" spans="1:9" x14ac:dyDescent="0.3">
      <c r="A2036" s="1">
        <v>22834</v>
      </c>
      <c r="B2036" t="s">
        <v>4111</v>
      </c>
      <c r="C2036" s="1">
        <v>2.145</v>
      </c>
      <c r="D2036" s="1">
        <v>97.5</v>
      </c>
      <c r="E2036" s="2">
        <v>383.33333333333297</v>
      </c>
      <c r="F2036" s="1">
        <v>16</v>
      </c>
      <c r="G2036" s="1">
        <v>11287.63</v>
      </c>
      <c r="H2036" s="1" t="s">
        <v>10</v>
      </c>
      <c r="I2036" t="str">
        <f t="shared" si="31"/>
        <v>HAND WARMER BABUSHKA DESIGN [22834]</v>
      </c>
    </row>
    <row r="2037" spans="1:9" x14ac:dyDescent="0.3">
      <c r="A2037" s="1">
        <v>22835</v>
      </c>
      <c r="B2037" t="s">
        <v>4110</v>
      </c>
      <c r="C2037" s="1">
        <v>5.14</v>
      </c>
      <c r="D2037" s="1">
        <v>270</v>
      </c>
      <c r="E2037" s="1">
        <v>331.375</v>
      </c>
      <c r="F2037" s="1">
        <v>16</v>
      </c>
      <c r="G2037" s="1">
        <v>27082.84</v>
      </c>
      <c r="H2037" s="1" t="s">
        <v>10</v>
      </c>
      <c r="I2037" t="str">
        <f t="shared" si="31"/>
        <v>HOT WATER BOTTLE I AM SO POORLY [22835]</v>
      </c>
    </row>
    <row r="2038" spans="1:9" x14ac:dyDescent="0.3">
      <c r="A2038" s="1">
        <v>22837</v>
      </c>
      <c r="B2038" t="s">
        <v>4109</v>
      </c>
      <c r="C2038" s="1">
        <v>4.6500000000000004</v>
      </c>
      <c r="D2038" s="1">
        <v>11</v>
      </c>
      <c r="E2038" s="1">
        <v>235.6</v>
      </c>
      <c r="F2038" s="1">
        <v>12</v>
      </c>
      <c r="G2038" s="1">
        <v>16455.18</v>
      </c>
      <c r="H2038" s="1" t="s">
        <v>9</v>
      </c>
      <c r="I2038" t="str">
        <f t="shared" si="31"/>
        <v>HOT WATER BOTTLE BABUSHKA [22837]</v>
      </c>
    </row>
    <row r="2039" spans="1:9" x14ac:dyDescent="0.3">
      <c r="A2039" s="1">
        <v>22838</v>
      </c>
      <c r="B2039" t="s">
        <v>4108</v>
      </c>
      <c r="C2039" s="1">
        <v>14.7</v>
      </c>
      <c r="D2039" s="1">
        <v>39.5</v>
      </c>
      <c r="E2039" s="1">
        <v>57.625</v>
      </c>
      <c r="F2039" s="1">
        <v>14</v>
      </c>
      <c r="G2039" s="1">
        <v>13220.86</v>
      </c>
      <c r="H2039" s="1" t="s">
        <v>9</v>
      </c>
      <c r="I2039" t="str">
        <f t="shared" si="31"/>
        <v>3 TIER CAKE TIN RED AND CREAM [22838]</v>
      </c>
    </row>
    <row r="2040" spans="1:9" x14ac:dyDescent="0.3">
      <c r="A2040" s="1">
        <v>22839</v>
      </c>
      <c r="B2040" t="s">
        <v>4107</v>
      </c>
      <c r="C2040" s="1">
        <v>15.46</v>
      </c>
      <c r="D2040" s="1">
        <v>33</v>
      </c>
      <c r="E2040" s="2">
        <v>34.058823529411697</v>
      </c>
      <c r="F2040" s="1">
        <v>15</v>
      </c>
      <c r="G2040" s="1">
        <v>8971.17</v>
      </c>
      <c r="H2040" s="1" t="s">
        <v>9</v>
      </c>
      <c r="I2040" t="str">
        <f t="shared" si="31"/>
        <v>3 TIER CAKE TIN GREEN AND CREAM [22839]</v>
      </c>
    </row>
    <row r="2041" spans="1:9" x14ac:dyDescent="0.3">
      <c r="A2041" s="1">
        <v>22840</v>
      </c>
      <c r="B2041" t="s">
        <v>4106</v>
      </c>
      <c r="C2041" s="1">
        <v>7.77</v>
      </c>
      <c r="D2041" s="1">
        <v>59</v>
      </c>
      <c r="E2041" s="2">
        <v>77.823529411764696</v>
      </c>
      <c r="F2041" s="1">
        <v>15</v>
      </c>
      <c r="G2041" s="1">
        <v>10023.65</v>
      </c>
      <c r="H2041" s="1" t="s">
        <v>9</v>
      </c>
      <c r="I2041" t="str">
        <f t="shared" si="31"/>
        <v>CAKE TIN, ROUND, VINTAGE RED,CREAM [22840]</v>
      </c>
    </row>
    <row r="2042" spans="1:9" x14ac:dyDescent="0.3">
      <c r="A2042" s="1">
        <v>22841</v>
      </c>
      <c r="B2042" t="s">
        <v>4105</v>
      </c>
      <c r="C2042" s="1">
        <v>7.95</v>
      </c>
      <c r="D2042" s="1">
        <v>38</v>
      </c>
      <c r="E2042" s="2">
        <v>45.411764705882298</v>
      </c>
      <c r="F2042" s="1">
        <v>15</v>
      </c>
      <c r="G2042" s="1">
        <v>6002.52</v>
      </c>
      <c r="H2042" s="1" t="s">
        <v>9</v>
      </c>
      <c r="I2042" t="str">
        <f t="shared" si="31"/>
        <v>CAKE TIN, ROUND, VINTAGE MINT,IVORY [22841]</v>
      </c>
    </row>
    <row r="2043" spans="1:9" x14ac:dyDescent="0.3">
      <c r="A2043" s="1">
        <v>22842</v>
      </c>
      <c r="B2043" t="s">
        <v>4104</v>
      </c>
      <c r="C2043" s="1">
        <v>6.52</v>
      </c>
      <c r="D2043" s="1">
        <v>36</v>
      </c>
      <c r="E2043" s="2">
        <v>48.117647058823501</v>
      </c>
      <c r="F2043" s="1">
        <v>15</v>
      </c>
      <c r="G2043" s="1">
        <v>5308.58</v>
      </c>
      <c r="H2043" s="1" t="s">
        <v>9</v>
      </c>
      <c r="I2043" t="str">
        <f t="shared" si="31"/>
        <v>BISCUIT TIN VINTAGE RED [22842]</v>
      </c>
    </row>
    <row r="2044" spans="1:9" x14ac:dyDescent="0.3">
      <c r="A2044" s="1">
        <v>22843</v>
      </c>
      <c r="B2044" t="s">
        <v>4103</v>
      </c>
      <c r="C2044" s="1">
        <v>6.75</v>
      </c>
      <c r="D2044" s="1">
        <v>22.5</v>
      </c>
      <c r="E2044" s="1">
        <v>37.1875</v>
      </c>
      <c r="F2044" s="1">
        <v>15</v>
      </c>
      <c r="G2044" s="1">
        <v>3858.51</v>
      </c>
      <c r="H2044" s="1" t="s">
        <v>9</v>
      </c>
      <c r="I2044" t="str">
        <f t="shared" si="31"/>
        <v>BISCUIT TIN VINTAGE GREEN [22843]</v>
      </c>
    </row>
    <row r="2045" spans="1:9" x14ac:dyDescent="0.3">
      <c r="A2045" s="1">
        <v>22844</v>
      </c>
      <c r="B2045" t="s">
        <v>4102</v>
      </c>
      <c r="C2045" s="1">
        <v>9.06</v>
      </c>
      <c r="D2045" s="1">
        <v>56</v>
      </c>
      <c r="E2045" s="2">
        <v>64.578947368420998</v>
      </c>
      <c r="F2045" s="1">
        <v>15</v>
      </c>
      <c r="G2045" s="2">
        <v>11593.279999999901</v>
      </c>
      <c r="H2045" s="1" t="s">
        <v>9</v>
      </c>
      <c r="I2045" t="str">
        <f t="shared" si="31"/>
        <v>DOG FOOD CONTAINER , VINTAGE [22844]</v>
      </c>
    </row>
    <row r="2046" spans="1:9" x14ac:dyDescent="0.3">
      <c r="A2046" s="1">
        <v>22845</v>
      </c>
      <c r="B2046" t="s">
        <v>4101</v>
      </c>
      <c r="C2046" s="1">
        <v>6.72</v>
      </c>
      <c r="D2046" s="1">
        <v>55</v>
      </c>
      <c r="E2046" s="2">
        <v>52.578947368420998</v>
      </c>
      <c r="F2046" s="1">
        <v>15</v>
      </c>
      <c r="G2046" s="1">
        <v>6764.6</v>
      </c>
      <c r="H2046" s="1" t="s">
        <v>9</v>
      </c>
      <c r="I2046" t="str">
        <f t="shared" si="31"/>
        <v>CAT FOOD CONTAINER , VINTAGE [22845]</v>
      </c>
    </row>
    <row r="2047" spans="1:9" x14ac:dyDescent="0.3">
      <c r="A2047" s="1">
        <v>22846</v>
      </c>
      <c r="B2047" t="s">
        <v>4100</v>
      </c>
      <c r="C2047" s="1">
        <v>16.62</v>
      </c>
      <c r="D2047" s="1">
        <v>56</v>
      </c>
      <c r="E2047" s="2">
        <v>48.529411764705799</v>
      </c>
      <c r="F2047" s="1">
        <v>15</v>
      </c>
      <c r="G2047" s="1">
        <v>13264.82</v>
      </c>
      <c r="H2047" s="1" t="s">
        <v>9</v>
      </c>
      <c r="I2047" t="str">
        <f t="shared" si="31"/>
        <v>BREAD BIN DINER STYLE RED [22846]</v>
      </c>
    </row>
    <row r="2048" spans="1:9" x14ac:dyDescent="0.3">
      <c r="A2048" s="1">
        <v>22847</v>
      </c>
      <c r="B2048" t="s">
        <v>4099</v>
      </c>
      <c r="C2048" s="1">
        <v>15.91</v>
      </c>
      <c r="D2048" s="1">
        <v>73</v>
      </c>
      <c r="E2048" s="2">
        <v>68.058823529411697</v>
      </c>
      <c r="F2048" s="1">
        <v>14</v>
      </c>
      <c r="G2048" s="1">
        <v>18352.740000000002</v>
      </c>
      <c r="H2048" s="1" t="s">
        <v>10</v>
      </c>
      <c r="I2048" t="str">
        <f t="shared" si="31"/>
        <v>BREAD BIN DINER STYLE IVORY [22847]</v>
      </c>
    </row>
    <row r="2049" spans="1:9" x14ac:dyDescent="0.3">
      <c r="A2049" s="1">
        <v>22848</v>
      </c>
      <c r="B2049" t="s">
        <v>4098</v>
      </c>
      <c r="C2049" s="1">
        <v>16.57</v>
      </c>
      <c r="D2049" s="1">
        <v>25</v>
      </c>
      <c r="E2049" s="1">
        <v>25.4</v>
      </c>
      <c r="F2049" s="1">
        <v>13</v>
      </c>
      <c r="G2049" s="1">
        <v>6128.6</v>
      </c>
      <c r="H2049" s="1" t="s">
        <v>9</v>
      </c>
      <c r="I2049" t="str">
        <f t="shared" si="31"/>
        <v>BREAD BIN DINER STYLE PINK [22848]</v>
      </c>
    </row>
    <row r="2050" spans="1:9" x14ac:dyDescent="0.3">
      <c r="A2050" s="1">
        <v>22849</v>
      </c>
      <c r="B2050" t="s">
        <v>4097</v>
      </c>
      <c r="C2050" s="1">
        <v>15.91</v>
      </c>
      <c r="D2050" s="1">
        <v>24</v>
      </c>
      <c r="E2050" s="2">
        <v>28.785714285714199</v>
      </c>
      <c r="F2050" s="1">
        <v>12</v>
      </c>
      <c r="G2050" s="2">
        <v>6287.73</v>
      </c>
      <c r="H2050" s="1" t="s">
        <v>9</v>
      </c>
      <c r="I2050" t="str">
        <f t="shared" si="31"/>
        <v>BREAD BIN DINER STYLE MINT [22849]</v>
      </c>
    </row>
    <row r="2051" spans="1:9" x14ac:dyDescent="0.3">
      <c r="A2051" s="1">
        <v>22850</v>
      </c>
      <c r="B2051" t="s">
        <v>4096</v>
      </c>
      <c r="C2051" s="1">
        <v>15.45</v>
      </c>
      <c r="D2051" s="1">
        <v>8</v>
      </c>
      <c r="E2051" s="1">
        <v>8</v>
      </c>
      <c r="F2051" s="1">
        <v>1</v>
      </c>
      <c r="G2051" s="1">
        <v>123.6</v>
      </c>
      <c r="H2051" s="1" t="s">
        <v>8</v>
      </c>
      <c r="I2051" t="str">
        <f t="shared" ref="I2051:I2114" si="32">B2051&amp;" ["&amp;A2051&amp;"]"</f>
        <v>BREAD BIN DINER STYLE BLACK [22850]</v>
      </c>
    </row>
    <row r="2052" spans="1:9" x14ac:dyDescent="0.3">
      <c r="A2052" s="1">
        <v>22851</v>
      </c>
      <c r="B2052" t="s">
        <v>4095</v>
      </c>
      <c r="C2052" s="1">
        <v>0.87</v>
      </c>
      <c r="D2052" s="1">
        <v>171</v>
      </c>
      <c r="E2052" s="2">
        <v>303.941176470588</v>
      </c>
      <c r="F2052" s="1">
        <v>17</v>
      </c>
      <c r="G2052" s="1">
        <v>4193.68</v>
      </c>
      <c r="H2052" s="1" t="s">
        <v>10</v>
      </c>
      <c r="I2052" t="str">
        <f t="shared" si="32"/>
        <v>SET 20 NAPKINS FAIRY CAKES DESIGN [22851]</v>
      </c>
    </row>
    <row r="2053" spans="1:9" x14ac:dyDescent="0.3">
      <c r="A2053" s="1">
        <v>22852</v>
      </c>
      <c r="B2053" t="s">
        <v>4094</v>
      </c>
      <c r="C2053" s="2">
        <v>4.3099999999999996</v>
      </c>
      <c r="D2053" s="1">
        <v>32.5</v>
      </c>
      <c r="E2053" s="2">
        <v>31.3888888888888</v>
      </c>
      <c r="F2053" s="1">
        <v>15</v>
      </c>
      <c r="G2053" s="1">
        <v>2467.11</v>
      </c>
      <c r="H2053" s="1" t="s">
        <v>9</v>
      </c>
      <c r="I2053" t="str">
        <f t="shared" si="32"/>
        <v>DOG BOWL VINTAGE CREAM [22852]</v>
      </c>
    </row>
    <row r="2054" spans="1:9" x14ac:dyDescent="0.3">
      <c r="A2054" s="1">
        <v>22853</v>
      </c>
      <c r="B2054" t="s">
        <v>4093</v>
      </c>
      <c r="C2054" s="1">
        <v>3.25</v>
      </c>
      <c r="D2054" s="1">
        <v>31.5</v>
      </c>
      <c r="E2054" s="2">
        <v>35.8333333333333</v>
      </c>
      <c r="F2054" s="1">
        <v>15</v>
      </c>
      <c r="G2054" s="1">
        <v>2205.5700000000002</v>
      </c>
      <c r="H2054" s="1" t="s">
        <v>9</v>
      </c>
      <c r="I2054" t="str">
        <f t="shared" si="32"/>
        <v>CAT BOWL VINTAGE CREAM [22853]</v>
      </c>
    </row>
    <row r="2055" spans="1:9" x14ac:dyDescent="0.3">
      <c r="A2055" s="1">
        <v>22854</v>
      </c>
      <c r="B2055" t="s">
        <v>4092</v>
      </c>
      <c r="C2055" s="1">
        <v>4.93</v>
      </c>
      <c r="D2055" s="1">
        <v>92</v>
      </c>
      <c r="E2055" s="2">
        <v>89.230769230769198</v>
      </c>
      <c r="F2055" s="1">
        <v>13</v>
      </c>
      <c r="G2055" s="1">
        <v>5624.5</v>
      </c>
      <c r="H2055" s="1" t="s">
        <v>10</v>
      </c>
      <c r="I2055" t="str">
        <f t="shared" si="32"/>
        <v>CREAM SWEETHEART EGG HOLDER [22854]</v>
      </c>
    </row>
    <row r="2056" spans="1:9" x14ac:dyDescent="0.3">
      <c r="A2056" s="1">
        <v>22855</v>
      </c>
      <c r="B2056" t="s">
        <v>4091</v>
      </c>
      <c r="C2056" s="2">
        <v>1.2649999999999999</v>
      </c>
      <c r="D2056" s="1">
        <v>397</v>
      </c>
      <c r="E2056" s="2">
        <v>399.58333333333297</v>
      </c>
      <c r="F2056" s="1">
        <v>12</v>
      </c>
      <c r="G2056" s="1">
        <v>5979.24</v>
      </c>
      <c r="H2056" s="1" t="s">
        <v>10</v>
      </c>
      <c r="I2056" t="str">
        <f t="shared" si="32"/>
        <v>FINE WICKER HEART [22855]</v>
      </c>
    </row>
    <row r="2057" spans="1:9" x14ac:dyDescent="0.3">
      <c r="A2057" s="1">
        <v>22856</v>
      </c>
      <c r="B2057" t="s">
        <v>4090</v>
      </c>
      <c r="C2057" s="1">
        <v>1.25</v>
      </c>
      <c r="D2057" s="1">
        <v>40.5</v>
      </c>
      <c r="E2057" s="1">
        <v>87.7</v>
      </c>
      <c r="F2057" s="1">
        <v>10</v>
      </c>
      <c r="G2057" s="1">
        <v>1059.8499999999999</v>
      </c>
      <c r="H2057" s="1" t="s">
        <v>9</v>
      </c>
      <c r="I2057" t="str">
        <f t="shared" si="32"/>
        <v>ASSORTED EASTER DECORATIONS  BELLS [22856]</v>
      </c>
    </row>
    <row r="2058" spans="1:9" x14ac:dyDescent="0.3">
      <c r="A2058" s="1">
        <v>22857</v>
      </c>
      <c r="B2058" t="s">
        <v>4089</v>
      </c>
      <c r="C2058" s="1">
        <v>0.85</v>
      </c>
      <c r="D2058" s="1">
        <v>61</v>
      </c>
      <c r="E2058" s="2">
        <v>136.666666666666</v>
      </c>
      <c r="F2058" s="1">
        <v>9</v>
      </c>
      <c r="G2058" s="1">
        <v>1048.28</v>
      </c>
      <c r="H2058" s="1" t="s">
        <v>9</v>
      </c>
      <c r="I2058" t="str">
        <f t="shared" si="32"/>
        <v>ASSORTED EASTER GIFT TAGS [22857]</v>
      </c>
    </row>
    <row r="2059" spans="1:9" x14ac:dyDescent="0.3">
      <c r="A2059" s="1">
        <v>22858</v>
      </c>
      <c r="B2059" t="s">
        <v>4088</v>
      </c>
      <c r="C2059" s="1">
        <v>1.65</v>
      </c>
      <c r="D2059" s="1">
        <v>146</v>
      </c>
      <c r="E2059" s="1">
        <v>141.875</v>
      </c>
      <c r="F2059" s="1">
        <v>8</v>
      </c>
      <c r="G2059" s="1">
        <v>1877.34</v>
      </c>
      <c r="H2059" s="1" t="s">
        <v>10</v>
      </c>
      <c r="I2059" t="str">
        <f t="shared" si="32"/>
        <v>EASTER TIN KEEPSAKE [22858]</v>
      </c>
    </row>
    <row r="2060" spans="1:9" x14ac:dyDescent="0.3">
      <c r="A2060" s="1">
        <v>22859</v>
      </c>
      <c r="B2060" t="s">
        <v>4087</v>
      </c>
      <c r="C2060" s="1">
        <v>1.65</v>
      </c>
      <c r="D2060" s="1">
        <v>31</v>
      </c>
      <c r="E2060" s="2">
        <v>96.153846153846104</v>
      </c>
      <c r="F2060" s="1">
        <v>13</v>
      </c>
      <c r="G2060" s="1">
        <v>2085.75</v>
      </c>
      <c r="H2060" s="1" t="s">
        <v>9</v>
      </c>
      <c r="I2060" t="str">
        <f t="shared" si="32"/>
        <v>EASTER TIN BUNNY BOUQUET [22859]</v>
      </c>
    </row>
    <row r="2061" spans="1:9" x14ac:dyDescent="0.3">
      <c r="A2061" s="1">
        <v>22860</v>
      </c>
      <c r="B2061" t="s">
        <v>4086</v>
      </c>
      <c r="C2061" s="1">
        <v>1.65</v>
      </c>
      <c r="D2061" s="1">
        <v>12</v>
      </c>
      <c r="E2061" s="1">
        <v>68</v>
      </c>
      <c r="F2061" s="1">
        <v>9</v>
      </c>
      <c r="G2061" s="2">
        <v>1060.8499999999999</v>
      </c>
      <c r="H2061" s="1" t="s">
        <v>9</v>
      </c>
      <c r="I2061" t="str">
        <f t="shared" si="32"/>
        <v>EASTER TIN CHICKS PINK DAISY [22860]</v>
      </c>
    </row>
    <row r="2062" spans="1:9" x14ac:dyDescent="0.3">
      <c r="A2062" s="1">
        <v>22861</v>
      </c>
      <c r="B2062" t="s">
        <v>4085</v>
      </c>
      <c r="C2062" s="1">
        <v>1.68</v>
      </c>
      <c r="D2062" s="1">
        <v>49</v>
      </c>
      <c r="E2062" s="1">
        <v>61</v>
      </c>
      <c r="F2062" s="1">
        <v>5</v>
      </c>
      <c r="G2062" s="1">
        <v>522.92999999999995</v>
      </c>
      <c r="H2062" s="1" t="s">
        <v>9</v>
      </c>
      <c r="I2062" t="str">
        <f t="shared" si="32"/>
        <v>EASTER TIN CHICKS IN GARDEN [22861]</v>
      </c>
    </row>
    <row r="2063" spans="1:9" x14ac:dyDescent="0.3">
      <c r="A2063" s="1">
        <v>22862</v>
      </c>
      <c r="B2063" t="s">
        <v>4084</v>
      </c>
      <c r="C2063" s="1">
        <v>4.47</v>
      </c>
      <c r="D2063" s="1">
        <v>103</v>
      </c>
      <c r="E2063" s="1">
        <v>151.6</v>
      </c>
      <c r="F2063" s="1">
        <v>5</v>
      </c>
      <c r="G2063" s="2">
        <v>3373.22</v>
      </c>
      <c r="H2063" s="1" t="s">
        <v>10</v>
      </c>
      <c r="I2063" t="str">
        <f t="shared" si="32"/>
        <v>LOVE HEART NAPKIN BOX [22862]</v>
      </c>
    </row>
    <row r="2064" spans="1:9" x14ac:dyDescent="0.3">
      <c r="A2064" s="1">
        <v>22863</v>
      </c>
      <c r="B2064" t="s">
        <v>4083</v>
      </c>
      <c r="C2064" s="1">
        <v>2.95</v>
      </c>
      <c r="D2064" s="1">
        <v>44.5</v>
      </c>
      <c r="E2064" s="1">
        <v>69.1875</v>
      </c>
      <c r="F2064" s="1">
        <v>16</v>
      </c>
      <c r="G2064" s="1">
        <v>3166.61</v>
      </c>
      <c r="H2064" s="1" t="s">
        <v>9</v>
      </c>
      <c r="I2064" t="str">
        <f t="shared" si="32"/>
        <v>SOAP DISH BROCANTE [22863]</v>
      </c>
    </row>
    <row r="2065" spans="1:9" x14ac:dyDescent="0.3">
      <c r="A2065" s="1">
        <v>22864</v>
      </c>
      <c r="B2065" t="s">
        <v>4082</v>
      </c>
      <c r="C2065" s="1">
        <v>0.42</v>
      </c>
      <c r="D2065" s="1">
        <v>378</v>
      </c>
      <c r="E2065" s="1">
        <v>378</v>
      </c>
      <c r="F2065" s="1">
        <v>1</v>
      </c>
      <c r="G2065" s="1">
        <v>158.76</v>
      </c>
      <c r="H2065" s="1" t="s">
        <v>10</v>
      </c>
      <c r="I2065" t="str">
        <f t="shared" si="32"/>
        <v>MUG AND COASTER SET RED CIRCLES [22864]</v>
      </c>
    </row>
    <row r="2066" spans="1:9" x14ac:dyDescent="0.3">
      <c r="A2066" s="1">
        <v>22865</v>
      </c>
      <c r="B2066" t="s">
        <v>4081</v>
      </c>
      <c r="C2066" s="1">
        <v>2.17</v>
      </c>
      <c r="D2066" s="1">
        <v>623</v>
      </c>
      <c r="E2066" s="2">
        <v>969.13333333333298</v>
      </c>
      <c r="F2066" s="1">
        <v>15</v>
      </c>
      <c r="G2066" s="1">
        <v>31416.04</v>
      </c>
      <c r="H2066" s="1" t="s">
        <v>10</v>
      </c>
      <c r="I2066" t="str">
        <f t="shared" si="32"/>
        <v>HAND WARMER OWL DESIGN [22865]</v>
      </c>
    </row>
    <row r="2067" spans="1:9" x14ac:dyDescent="0.3">
      <c r="A2067" s="1">
        <v>22866</v>
      </c>
      <c r="B2067" t="s">
        <v>4080</v>
      </c>
      <c r="C2067" s="1">
        <v>2.1</v>
      </c>
      <c r="D2067" s="1">
        <v>763</v>
      </c>
      <c r="E2067" s="2">
        <v>982.923076923076</v>
      </c>
      <c r="F2067" s="1">
        <v>13</v>
      </c>
      <c r="G2067" s="1">
        <v>28266.87</v>
      </c>
      <c r="H2067" s="1" t="s">
        <v>10</v>
      </c>
      <c r="I2067" t="str">
        <f t="shared" si="32"/>
        <v>HAND WARMER SCOTTY DOG DESIGN [22866]</v>
      </c>
    </row>
    <row r="2068" spans="1:9" x14ac:dyDescent="0.3">
      <c r="A2068" s="1">
        <v>22867</v>
      </c>
      <c r="B2068" t="s">
        <v>4079</v>
      </c>
      <c r="C2068" s="1">
        <v>2.13</v>
      </c>
      <c r="D2068" s="1">
        <v>747</v>
      </c>
      <c r="E2068" s="2">
        <v>913.23076923076906</v>
      </c>
      <c r="F2068" s="1">
        <v>13</v>
      </c>
      <c r="G2068" s="1">
        <v>26117.63</v>
      </c>
      <c r="H2068" s="1" t="s">
        <v>10</v>
      </c>
      <c r="I2068" t="str">
        <f t="shared" si="32"/>
        <v>HAND WARMER BIRD DESIGN [22867]</v>
      </c>
    </row>
    <row r="2069" spans="1:9" x14ac:dyDescent="0.3">
      <c r="A2069" s="1">
        <v>22868</v>
      </c>
      <c r="B2069" t="s">
        <v>4078</v>
      </c>
      <c r="C2069" s="1">
        <v>2.1349999999999998</v>
      </c>
      <c r="D2069" s="1">
        <v>6</v>
      </c>
      <c r="E2069" s="2">
        <v>8.8571428571428505</v>
      </c>
      <c r="F2069" s="1">
        <v>13</v>
      </c>
      <c r="G2069" s="1">
        <v>270.38</v>
      </c>
      <c r="H2069" s="1" t="s">
        <v>8</v>
      </c>
      <c r="I2069" t="str">
        <f t="shared" si="32"/>
        <v>NUMBER TILE COTTAGE GARDEN, 0 [22868]</v>
      </c>
    </row>
    <row r="2070" spans="1:9" x14ac:dyDescent="0.3">
      <c r="A2070" s="1">
        <v>22869</v>
      </c>
      <c r="B2070" t="s">
        <v>4077</v>
      </c>
      <c r="C2070" s="1">
        <v>2.57</v>
      </c>
      <c r="D2070" s="1">
        <v>7</v>
      </c>
      <c r="E2070" s="2">
        <v>11.133333333333301</v>
      </c>
      <c r="F2070" s="1">
        <v>14</v>
      </c>
      <c r="G2070" s="1">
        <v>393.63</v>
      </c>
      <c r="H2070" s="1" t="s">
        <v>8</v>
      </c>
      <c r="I2070" t="str">
        <f t="shared" si="32"/>
        <v>NUMBER TILE COTTAGE GARDEN, 1 [22869]</v>
      </c>
    </row>
    <row r="2071" spans="1:9" x14ac:dyDescent="0.3">
      <c r="A2071" s="1">
        <v>22870</v>
      </c>
      <c r="B2071" t="s">
        <v>4076</v>
      </c>
      <c r="C2071" s="1">
        <v>2.54</v>
      </c>
      <c r="D2071" s="1">
        <v>7</v>
      </c>
      <c r="E2071" s="2">
        <v>10.3333333333333</v>
      </c>
      <c r="F2071" s="1">
        <v>14</v>
      </c>
      <c r="G2071" s="1">
        <v>367.97</v>
      </c>
      <c r="H2071" s="1" t="s">
        <v>8</v>
      </c>
      <c r="I2071" t="str">
        <f t="shared" si="32"/>
        <v>NUMBER TILE COTTAGE GARDEN, 2 [22870]</v>
      </c>
    </row>
    <row r="2072" spans="1:9" x14ac:dyDescent="0.3">
      <c r="A2072" s="1">
        <v>22871</v>
      </c>
      <c r="B2072" t="s">
        <v>4075</v>
      </c>
      <c r="C2072" s="1">
        <v>2.19</v>
      </c>
      <c r="D2072" s="1">
        <v>6</v>
      </c>
      <c r="E2072" s="1">
        <v>9.7692307692307701</v>
      </c>
      <c r="F2072" s="1">
        <v>12</v>
      </c>
      <c r="G2072" s="1">
        <v>289.39</v>
      </c>
      <c r="H2072" s="1" t="s">
        <v>8</v>
      </c>
      <c r="I2072" t="str">
        <f t="shared" si="32"/>
        <v>NUMBER TILE COTTAGE GARDEN, 3 [22871]</v>
      </c>
    </row>
    <row r="2073" spans="1:9" x14ac:dyDescent="0.3">
      <c r="A2073" s="1">
        <v>22872</v>
      </c>
      <c r="B2073" t="s">
        <v>4074</v>
      </c>
      <c r="C2073" s="1">
        <v>2.23</v>
      </c>
      <c r="D2073" s="1">
        <v>3.5</v>
      </c>
      <c r="E2073" s="1">
        <v>8.5</v>
      </c>
      <c r="F2073" s="1">
        <v>14</v>
      </c>
      <c r="G2073" s="1">
        <v>311.3</v>
      </c>
      <c r="H2073" s="1" t="s">
        <v>8</v>
      </c>
      <c r="I2073" t="str">
        <f t="shared" si="32"/>
        <v>NUMBER TILE COTTAGE GARDEN 4 [22872]</v>
      </c>
    </row>
    <row r="2074" spans="1:9" x14ac:dyDescent="0.3">
      <c r="A2074" s="1">
        <v>22873</v>
      </c>
      <c r="B2074" t="s">
        <v>4073</v>
      </c>
      <c r="C2074" s="1">
        <v>2.23</v>
      </c>
      <c r="D2074" s="1">
        <v>5</v>
      </c>
      <c r="E2074" s="2">
        <v>8.5714285714285694</v>
      </c>
      <c r="F2074" s="1">
        <v>13</v>
      </c>
      <c r="G2074" s="1">
        <v>262.5</v>
      </c>
      <c r="H2074" s="1" t="s">
        <v>8</v>
      </c>
      <c r="I2074" t="str">
        <f t="shared" si="32"/>
        <v>NUMBER TILE COTTAGE GARDEN, 5 [22873]</v>
      </c>
    </row>
    <row r="2075" spans="1:9" x14ac:dyDescent="0.3">
      <c r="A2075" s="1">
        <v>22874</v>
      </c>
      <c r="B2075" t="s">
        <v>4072</v>
      </c>
      <c r="C2075" s="1">
        <v>2.11</v>
      </c>
      <c r="D2075" s="1">
        <v>6.5</v>
      </c>
      <c r="E2075" s="1">
        <v>9</v>
      </c>
      <c r="F2075" s="1">
        <v>12</v>
      </c>
      <c r="G2075" s="1">
        <v>272.02</v>
      </c>
      <c r="H2075" s="1" t="s">
        <v>8</v>
      </c>
      <c r="I2075" t="str">
        <f t="shared" si="32"/>
        <v>NUMBER TILE COTTAGE GARDEN 6 [22874]</v>
      </c>
    </row>
    <row r="2076" spans="1:9" x14ac:dyDescent="0.3">
      <c r="A2076" s="1">
        <v>22875</v>
      </c>
      <c r="B2076" t="s">
        <v>4071</v>
      </c>
      <c r="C2076" s="1">
        <v>2.16</v>
      </c>
      <c r="D2076" s="1">
        <v>5.5</v>
      </c>
      <c r="E2076" s="2">
        <v>8.7857142857142794</v>
      </c>
      <c r="F2076" s="1">
        <v>13</v>
      </c>
      <c r="G2076" s="2">
        <v>268.349999999999</v>
      </c>
      <c r="H2076" s="1" t="s">
        <v>8</v>
      </c>
      <c r="I2076" t="str">
        <f t="shared" si="32"/>
        <v>NUMBER TILE COTTAGE GARDEN, 7 [22875]</v>
      </c>
    </row>
    <row r="2077" spans="1:9" x14ac:dyDescent="0.3">
      <c r="A2077" s="1">
        <v>22876</v>
      </c>
      <c r="B2077" t="s">
        <v>4070</v>
      </c>
      <c r="C2077" s="1">
        <v>2.2000000000000002</v>
      </c>
      <c r="D2077" s="1">
        <v>8</v>
      </c>
      <c r="E2077" s="2">
        <v>9.8333333333333304</v>
      </c>
      <c r="F2077" s="1">
        <v>11</v>
      </c>
      <c r="G2077" s="1">
        <v>252.22</v>
      </c>
      <c r="H2077" s="1" t="s">
        <v>8</v>
      </c>
      <c r="I2077" t="str">
        <f t="shared" si="32"/>
        <v>NUMBER TILE COTTAGE GARDEN, 8 [22876]</v>
      </c>
    </row>
    <row r="2078" spans="1:9" x14ac:dyDescent="0.3">
      <c r="A2078" s="1">
        <v>22877</v>
      </c>
      <c r="B2078" t="s">
        <v>4069</v>
      </c>
      <c r="C2078" s="1">
        <v>1.95</v>
      </c>
      <c r="D2078" s="1">
        <v>6</v>
      </c>
      <c r="E2078" s="2">
        <v>9.8461538461538396</v>
      </c>
      <c r="F2078" s="1">
        <v>12</v>
      </c>
      <c r="G2078" s="1">
        <v>271.64</v>
      </c>
      <c r="H2078" s="1" t="s">
        <v>8</v>
      </c>
      <c r="I2078" t="str">
        <f t="shared" si="32"/>
        <v>NUMBER TILE COTTAGE GARDEN, 9 [22877]</v>
      </c>
    </row>
    <row r="2079" spans="1:9" x14ac:dyDescent="0.3">
      <c r="A2079" s="1">
        <v>22878</v>
      </c>
      <c r="B2079" t="s">
        <v>4068</v>
      </c>
      <c r="C2079" s="1">
        <v>2.91</v>
      </c>
      <c r="D2079" s="1">
        <v>8</v>
      </c>
      <c r="E2079" s="2">
        <v>8.5333333333333297</v>
      </c>
      <c r="F2079" s="1">
        <v>14</v>
      </c>
      <c r="G2079" s="1">
        <v>330.26</v>
      </c>
      <c r="H2079" s="1" t="s">
        <v>8</v>
      </c>
      <c r="I2079" t="str">
        <f t="shared" si="32"/>
        <v>NUMBER TILE COTTAGE GARDEN, No [22878]</v>
      </c>
    </row>
    <row r="2080" spans="1:9" x14ac:dyDescent="0.3">
      <c r="A2080" s="1">
        <v>22879</v>
      </c>
      <c r="B2080" t="s">
        <v>4067</v>
      </c>
      <c r="C2080" s="2">
        <v>2.86</v>
      </c>
      <c r="D2080" s="1">
        <v>2.5</v>
      </c>
      <c r="E2080" s="1">
        <v>4.75</v>
      </c>
      <c r="F2080" s="1">
        <v>11</v>
      </c>
      <c r="G2080" s="1">
        <v>120.11</v>
      </c>
      <c r="H2080" s="1" t="s">
        <v>8</v>
      </c>
      <c r="I2080" t="str">
        <f t="shared" si="32"/>
        <v>NUMBER TILE VINTAGE FONT 0 [22879]</v>
      </c>
    </row>
    <row r="2081" spans="1:9" x14ac:dyDescent="0.3">
      <c r="A2081" s="1">
        <v>22880</v>
      </c>
      <c r="B2081" t="s">
        <v>4066</v>
      </c>
      <c r="C2081" s="1">
        <v>2.68</v>
      </c>
      <c r="D2081" s="1">
        <v>5</v>
      </c>
      <c r="E2081" s="2">
        <v>6.5384615384615303</v>
      </c>
      <c r="F2081" s="1">
        <v>13</v>
      </c>
      <c r="G2081" s="1">
        <v>211.77</v>
      </c>
      <c r="H2081" s="1" t="s">
        <v>8</v>
      </c>
      <c r="I2081" t="str">
        <f t="shared" si="32"/>
        <v>NUMBER TILE VINTAGE FONT, 1 [22880]</v>
      </c>
    </row>
    <row r="2082" spans="1:9" x14ac:dyDescent="0.3">
      <c r="A2082" s="1">
        <v>22881</v>
      </c>
      <c r="B2082" t="s">
        <v>4065</v>
      </c>
      <c r="C2082" s="2">
        <v>2.86</v>
      </c>
      <c r="D2082" s="1">
        <v>4</v>
      </c>
      <c r="E2082" s="2">
        <v>6.2857142857142803</v>
      </c>
      <c r="F2082" s="1">
        <v>14</v>
      </c>
      <c r="G2082" s="1">
        <v>208.74</v>
      </c>
      <c r="H2082" s="1" t="s">
        <v>8</v>
      </c>
      <c r="I2082" t="str">
        <f t="shared" si="32"/>
        <v>NUMBER TILE VINTAGE FONT, 2 [22881]</v>
      </c>
    </row>
    <row r="2083" spans="1:9" x14ac:dyDescent="0.3">
      <c r="A2083" s="1">
        <v>22882</v>
      </c>
      <c r="B2083" t="s">
        <v>4064</v>
      </c>
      <c r="C2083" s="1">
        <v>2.68</v>
      </c>
      <c r="D2083" s="1">
        <v>5</v>
      </c>
      <c r="E2083" s="2">
        <v>6.6666666666666599</v>
      </c>
      <c r="F2083" s="1">
        <v>14</v>
      </c>
      <c r="G2083" s="1">
        <v>236.58</v>
      </c>
      <c r="H2083" s="1" t="s">
        <v>8</v>
      </c>
      <c r="I2083" t="str">
        <f t="shared" si="32"/>
        <v>NUMBER TILE VINTAGE FONT 3 [22882]</v>
      </c>
    </row>
    <row r="2084" spans="1:9" x14ac:dyDescent="0.3">
      <c r="A2084" s="1">
        <v>22883</v>
      </c>
      <c r="B2084" t="s">
        <v>4063</v>
      </c>
      <c r="C2084" s="2">
        <v>2.86</v>
      </c>
      <c r="D2084" s="1">
        <v>2.5</v>
      </c>
      <c r="E2084" s="1">
        <v>6</v>
      </c>
      <c r="F2084" s="1">
        <v>13</v>
      </c>
      <c r="G2084" s="1">
        <v>198.76</v>
      </c>
      <c r="H2084" s="1" t="s">
        <v>8</v>
      </c>
      <c r="I2084" t="str">
        <f t="shared" si="32"/>
        <v>NUMBER TILE VINTAGE FONT 4 [22883]</v>
      </c>
    </row>
    <row r="2085" spans="1:9" x14ac:dyDescent="0.3">
      <c r="A2085" s="1">
        <v>22884</v>
      </c>
      <c r="B2085" t="s">
        <v>4062</v>
      </c>
      <c r="C2085" s="1">
        <v>2.68</v>
      </c>
      <c r="D2085" s="1">
        <v>4</v>
      </c>
      <c r="E2085" s="2">
        <v>7.3333333333333304</v>
      </c>
      <c r="F2085" s="1">
        <v>14</v>
      </c>
      <c r="G2085" s="1">
        <v>217.26</v>
      </c>
      <c r="H2085" s="1" t="s">
        <v>8</v>
      </c>
      <c r="I2085" t="str">
        <f t="shared" si="32"/>
        <v>NUMBER TILE VINTAGE FONT 5 [22884]</v>
      </c>
    </row>
    <row r="2086" spans="1:9" x14ac:dyDescent="0.3">
      <c r="A2086" s="1">
        <v>22885</v>
      </c>
      <c r="B2086" t="s">
        <v>4061</v>
      </c>
      <c r="C2086" s="2">
        <v>2.69</v>
      </c>
      <c r="D2086" s="1">
        <v>3.5</v>
      </c>
      <c r="E2086" s="2">
        <v>6.21428571428571</v>
      </c>
      <c r="F2086" s="1">
        <v>13</v>
      </c>
      <c r="G2086" s="1">
        <v>195.97</v>
      </c>
      <c r="H2086" s="1" t="s">
        <v>8</v>
      </c>
      <c r="I2086" t="str">
        <f t="shared" si="32"/>
        <v>NUMBER TILE VINTAGE FONT 6 [22885]</v>
      </c>
    </row>
    <row r="2087" spans="1:9" x14ac:dyDescent="0.3">
      <c r="A2087" s="1">
        <v>22886</v>
      </c>
      <c r="B2087" t="s">
        <v>4060</v>
      </c>
      <c r="C2087" s="1">
        <v>2.68</v>
      </c>
      <c r="D2087" s="1">
        <v>3</v>
      </c>
      <c r="E2087" s="2">
        <v>5.6923076923076898</v>
      </c>
      <c r="F2087" s="1">
        <v>13</v>
      </c>
      <c r="G2087" s="1">
        <v>164.08</v>
      </c>
      <c r="H2087" s="1" t="s">
        <v>8</v>
      </c>
      <c r="I2087" t="str">
        <f t="shared" si="32"/>
        <v>NUMBER TILE VINTAGE FONT, 7 [22886]</v>
      </c>
    </row>
    <row r="2088" spans="1:9" x14ac:dyDescent="0.3">
      <c r="A2088" s="1">
        <v>22887</v>
      </c>
      <c r="B2088" t="s">
        <v>4059</v>
      </c>
      <c r="C2088" s="1">
        <v>2.68</v>
      </c>
      <c r="D2088" s="1">
        <v>3</v>
      </c>
      <c r="E2088" s="2">
        <v>4.71428571428571</v>
      </c>
      <c r="F2088" s="1">
        <v>13</v>
      </c>
      <c r="G2088" s="1">
        <v>144.12</v>
      </c>
      <c r="H2088" s="1" t="s">
        <v>8</v>
      </c>
      <c r="I2088" t="str">
        <f t="shared" si="32"/>
        <v>NUMBER TILE VINTAGE FONT 8 [22887]</v>
      </c>
    </row>
    <row r="2089" spans="1:9" x14ac:dyDescent="0.3">
      <c r="A2089" s="1">
        <v>22888</v>
      </c>
      <c r="B2089" t="s">
        <v>4058</v>
      </c>
      <c r="C2089" s="2">
        <v>2.86</v>
      </c>
      <c r="D2089" s="1">
        <v>3</v>
      </c>
      <c r="E2089" s="2">
        <v>4.5833333333333304</v>
      </c>
      <c r="F2089" s="1">
        <v>12</v>
      </c>
      <c r="G2089" s="1">
        <v>120.75</v>
      </c>
      <c r="H2089" s="1" t="s">
        <v>8</v>
      </c>
      <c r="I2089" t="str">
        <f t="shared" si="32"/>
        <v>NUMBER TILE VINTAGE FONT 9 [22888]</v>
      </c>
    </row>
    <row r="2090" spans="1:9" x14ac:dyDescent="0.3">
      <c r="A2090" s="1">
        <v>22889</v>
      </c>
      <c r="B2090" t="s">
        <v>4057</v>
      </c>
      <c r="C2090" s="1">
        <v>3.16</v>
      </c>
      <c r="D2090" s="1">
        <v>4</v>
      </c>
      <c r="E2090" s="2">
        <v>7.4615384615384599</v>
      </c>
      <c r="F2090" s="1">
        <v>12</v>
      </c>
      <c r="G2090" s="1">
        <v>242.49</v>
      </c>
      <c r="H2090" s="1" t="s">
        <v>8</v>
      </c>
      <c r="I2090" t="str">
        <f t="shared" si="32"/>
        <v>NUMBER TILE VINTAGE FONT, No [22889]</v>
      </c>
    </row>
    <row r="2091" spans="1:9" x14ac:dyDescent="0.3">
      <c r="A2091" s="1">
        <v>22890</v>
      </c>
      <c r="B2091" t="s">
        <v>4056</v>
      </c>
      <c r="C2091" s="1">
        <v>9.9499999999999993</v>
      </c>
      <c r="D2091" s="1">
        <v>22</v>
      </c>
      <c r="E2091" s="2">
        <v>53.3333333333333</v>
      </c>
      <c r="F2091" s="1">
        <v>15</v>
      </c>
      <c r="G2091" s="1">
        <v>7821.96</v>
      </c>
      <c r="H2091" s="1" t="s">
        <v>9</v>
      </c>
      <c r="I2091" t="str">
        <f t="shared" si="32"/>
        <v>NOVELTY BISCUITS CAKE STAND 3 TIER [22890]</v>
      </c>
    </row>
    <row r="2092" spans="1:9" x14ac:dyDescent="0.3">
      <c r="A2092" s="1">
        <v>22891</v>
      </c>
      <c r="B2092" t="s">
        <v>4055</v>
      </c>
      <c r="C2092" s="1">
        <v>4.68</v>
      </c>
      <c r="D2092" s="1">
        <v>29</v>
      </c>
      <c r="E2092" s="2">
        <v>42.933333333333302</v>
      </c>
      <c r="F2092" s="1">
        <v>15</v>
      </c>
      <c r="G2092" s="1">
        <v>3103.7</v>
      </c>
      <c r="H2092" s="1" t="s">
        <v>9</v>
      </c>
      <c r="I2092" t="str">
        <f t="shared" si="32"/>
        <v>TEA FOR ONE POLKADOT [22891]</v>
      </c>
    </row>
    <row r="2093" spans="1:9" x14ac:dyDescent="0.3">
      <c r="A2093" s="1">
        <v>22892</v>
      </c>
      <c r="B2093" t="s">
        <v>4054</v>
      </c>
      <c r="C2093" s="1">
        <v>1.25</v>
      </c>
      <c r="D2093" s="1">
        <v>217</v>
      </c>
      <c r="E2093" s="1">
        <v>220</v>
      </c>
      <c r="F2093" s="1">
        <v>14</v>
      </c>
      <c r="G2093" s="2">
        <v>4322.0599999999904</v>
      </c>
      <c r="H2093" s="1" t="s">
        <v>10</v>
      </c>
      <c r="I2093" t="str">
        <f t="shared" si="32"/>
        <v>SALT AND PEPPER SHAKERS TOADSTOOLS [22892]</v>
      </c>
    </row>
    <row r="2094" spans="1:9" x14ac:dyDescent="0.3">
      <c r="A2094" s="1">
        <v>22893</v>
      </c>
      <c r="B2094" t="s">
        <v>4053</v>
      </c>
      <c r="C2094" s="1">
        <v>0.5</v>
      </c>
      <c r="D2094" s="1">
        <v>120</v>
      </c>
      <c r="E2094" s="1">
        <v>181.4</v>
      </c>
      <c r="F2094" s="1">
        <v>15</v>
      </c>
      <c r="G2094" s="1">
        <v>1306.0899999999999</v>
      </c>
      <c r="H2094" s="1" t="s">
        <v>10</v>
      </c>
      <c r="I2094" t="str">
        <f t="shared" si="32"/>
        <v>MINI CAKE STAND T-LIGHT HOLDER [22893]</v>
      </c>
    </row>
    <row r="2095" spans="1:9" x14ac:dyDescent="0.3">
      <c r="A2095" s="1">
        <v>22894</v>
      </c>
      <c r="B2095" t="s">
        <v>4052</v>
      </c>
      <c r="C2095" s="1">
        <v>9.9499999999999993</v>
      </c>
      <c r="D2095" s="1">
        <v>29</v>
      </c>
      <c r="E2095" s="1">
        <v>35.0625</v>
      </c>
      <c r="F2095" s="1">
        <v>16</v>
      </c>
      <c r="G2095" s="1">
        <v>5160.78</v>
      </c>
      <c r="H2095" s="1" t="s">
        <v>9</v>
      </c>
      <c r="I2095" t="str">
        <f t="shared" si="32"/>
        <v>TABLECLOTH RED APPLES DESIGN [22894]</v>
      </c>
    </row>
    <row r="2096" spans="1:9" x14ac:dyDescent="0.3">
      <c r="A2096" s="1">
        <v>22895</v>
      </c>
      <c r="B2096" t="s">
        <v>4051</v>
      </c>
      <c r="C2096" s="1">
        <v>3.05</v>
      </c>
      <c r="D2096" s="1">
        <v>184</v>
      </c>
      <c r="E2096" s="1">
        <v>177.9375</v>
      </c>
      <c r="F2096" s="1">
        <v>16</v>
      </c>
      <c r="G2096" s="1">
        <v>8648.49</v>
      </c>
      <c r="H2096" s="1" t="s">
        <v>10</v>
      </c>
      <c r="I2096" t="str">
        <f t="shared" si="32"/>
        <v>SET OF 2 TEA TOWELS APPLE AND PEARS [22895]</v>
      </c>
    </row>
    <row r="2097" spans="1:9" x14ac:dyDescent="0.3">
      <c r="A2097" s="1">
        <v>22896</v>
      </c>
      <c r="B2097" t="s">
        <v>4050</v>
      </c>
      <c r="C2097" s="1">
        <v>2.57</v>
      </c>
      <c r="D2097" s="1">
        <v>97</v>
      </c>
      <c r="E2097" s="2">
        <v>115.333333333333</v>
      </c>
      <c r="F2097" s="1">
        <v>16</v>
      </c>
      <c r="G2097" s="1">
        <v>5230.55</v>
      </c>
      <c r="H2097" s="1" t="s">
        <v>10</v>
      </c>
      <c r="I2097" t="str">
        <f t="shared" si="32"/>
        <v>PEG BAG APPLE DESIGN [22896]</v>
      </c>
    </row>
    <row r="2098" spans="1:9" x14ac:dyDescent="0.3">
      <c r="A2098" s="1">
        <v>22897</v>
      </c>
      <c r="B2098" t="s">
        <v>4049</v>
      </c>
      <c r="C2098" s="1">
        <v>1.48</v>
      </c>
      <c r="D2098" s="1">
        <v>106.5</v>
      </c>
      <c r="E2098" s="2">
        <v>108.666666666666</v>
      </c>
      <c r="F2098" s="1">
        <v>16</v>
      </c>
      <c r="G2098" s="1">
        <v>2894.75</v>
      </c>
      <c r="H2098" s="1" t="s">
        <v>10</v>
      </c>
      <c r="I2098" t="str">
        <f t="shared" si="32"/>
        <v>OVEN MITT APPLE DESIGN [22897]</v>
      </c>
    </row>
    <row r="2099" spans="1:9" x14ac:dyDescent="0.3">
      <c r="A2099" s="1">
        <v>22898</v>
      </c>
      <c r="B2099" t="s">
        <v>4048</v>
      </c>
      <c r="C2099" s="2">
        <v>2.0149999999999899</v>
      </c>
      <c r="D2099" s="1">
        <v>163</v>
      </c>
      <c r="E2099" s="1">
        <v>176</v>
      </c>
      <c r="F2099" s="1">
        <v>16</v>
      </c>
      <c r="G2099" s="1">
        <v>6604.16</v>
      </c>
      <c r="H2099" s="1" t="s">
        <v>10</v>
      </c>
      <c r="I2099" t="str">
        <f t="shared" si="32"/>
        <v>CHILDRENS APRON APPLE DESIGN [22898]</v>
      </c>
    </row>
    <row r="2100" spans="1:9" x14ac:dyDescent="0.3">
      <c r="A2100" s="1">
        <v>22899</v>
      </c>
      <c r="B2100" t="s">
        <v>4047</v>
      </c>
      <c r="C2100" s="1">
        <v>2.0750000000000002</v>
      </c>
      <c r="D2100" s="1">
        <v>144</v>
      </c>
      <c r="E2100" s="2">
        <v>154.055555555555</v>
      </c>
      <c r="F2100" s="1">
        <v>16</v>
      </c>
      <c r="G2100" s="1">
        <v>5769.76</v>
      </c>
      <c r="H2100" s="1" t="s">
        <v>10</v>
      </c>
      <c r="I2100" t="str">
        <f t="shared" si="32"/>
        <v>CHILDRENS APRON DOLLY GIRL [22899]</v>
      </c>
    </row>
    <row r="2101" spans="1:9" x14ac:dyDescent="0.3">
      <c r="A2101" s="1">
        <v>22900</v>
      </c>
      <c r="B2101" t="s">
        <v>4046</v>
      </c>
      <c r="C2101" s="1">
        <v>3.05</v>
      </c>
      <c r="D2101" s="1">
        <v>317</v>
      </c>
      <c r="E2101" s="2">
        <v>362.11764705882302</v>
      </c>
      <c r="F2101" s="1">
        <v>16</v>
      </c>
      <c r="G2101" s="1">
        <v>19834.04</v>
      </c>
      <c r="H2101" s="1" t="s">
        <v>10</v>
      </c>
      <c r="I2101" t="str">
        <f t="shared" si="32"/>
        <v>SET 2 TEA TOWELS I LOVE LONDON [22900]</v>
      </c>
    </row>
    <row r="2102" spans="1:9" x14ac:dyDescent="0.3">
      <c r="A2102" s="1">
        <v>22902</v>
      </c>
      <c r="B2102" t="s">
        <v>4045</v>
      </c>
      <c r="C2102" s="1">
        <v>2.13</v>
      </c>
      <c r="D2102" s="1">
        <v>101.5</v>
      </c>
      <c r="E2102" s="1">
        <v>107.25</v>
      </c>
      <c r="F2102" s="1">
        <v>16</v>
      </c>
      <c r="G2102" s="1">
        <v>3506.56</v>
      </c>
      <c r="H2102" s="1" t="s">
        <v>10</v>
      </c>
      <c r="I2102" t="str">
        <f t="shared" si="32"/>
        <v>TOTE BAG I LOVE LONDON [22902]</v>
      </c>
    </row>
    <row r="2103" spans="1:9" x14ac:dyDescent="0.3">
      <c r="A2103" s="1">
        <v>22903</v>
      </c>
      <c r="B2103" t="s">
        <v>4044</v>
      </c>
      <c r="C2103" s="1">
        <v>2.9249999999999998</v>
      </c>
      <c r="D2103" s="1">
        <v>13.5</v>
      </c>
      <c r="E2103" s="2">
        <v>53.214285714285701</v>
      </c>
      <c r="F2103" s="1">
        <v>13</v>
      </c>
      <c r="G2103" s="1">
        <v>2053.96</v>
      </c>
      <c r="H2103" s="1" t="s">
        <v>9</v>
      </c>
      <c r="I2103" t="str">
        <f t="shared" si="32"/>
        <v>CALENDAR FAMILY FAVORITES [22903]</v>
      </c>
    </row>
    <row r="2104" spans="1:9" x14ac:dyDescent="0.3">
      <c r="A2104" s="1">
        <v>22904</v>
      </c>
      <c r="B2104" t="s">
        <v>4043</v>
      </c>
      <c r="C2104" s="1">
        <v>2.98</v>
      </c>
      <c r="D2104" s="1">
        <v>138</v>
      </c>
      <c r="E2104" s="2">
        <v>231.13333333333301</v>
      </c>
      <c r="F2104" s="1">
        <v>15</v>
      </c>
      <c r="G2104" s="1">
        <v>10755.05</v>
      </c>
      <c r="H2104" s="1" t="s">
        <v>10</v>
      </c>
      <c r="I2104" t="str">
        <f t="shared" si="32"/>
        <v>CALENDAR PAPER CUT DESIGN [22904]</v>
      </c>
    </row>
    <row r="2105" spans="1:9" x14ac:dyDescent="0.3">
      <c r="A2105" s="1">
        <v>22905</v>
      </c>
      <c r="B2105" t="s">
        <v>4042</v>
      </c>
      <c r="C2105" s="1">
        <v>2.95</v>
      </c>
      <c r="D2105" s="1">
        <v>29</v>
      </c>
      <c r="E2105" s="1">
        <v>67.3125</v>
      </c>
      <c r="F2105" s="1">
        <v>16</v>
      </c>
      <c r="G2105" s="1">
        <v>2957.17</v>
      </c>
      <c r="H2105" s="1" t="s">
        <v>9</v>
      </c>
      <c r="I2105" t="str">
        <f t="shared" si="32"/>
        <v>CALENDAR IN SEASON DESIGN [22905]</v>
      </c>
    </row>
    <row r="2106" spans="1:9" x14ac:dyDescent="0.3">
      <c r="A2106" s="1">
        <v>22906</v>
      </c>
      <c r="B2106" t="s">
        <v>4041</v>
      </c>
      <c r="C2106" s="1">
        <v>1.7050000000000001</v>
      </c>
      <c r="D2106" s="1">
        <v>131.5</v>
      </c>
      <c r="E2106" s="1">
        <v>210.625</v>
      </c>
      <c r="F2106" s="1">
        <v>16</v>
      </c>
      <c r="G2106" s="1">
        <v>6214.83</v>
      </c>
      <c r="H2106" s="1" t="s">
        <v>10</v>
      </c>
      <c r="I2106" t="str">
        <f t="shared" si="32"/>
        <v>12 MESSAGE CARDS WITH ENVELOPES [22906]</v>
      </c>
    </row>
    <row r="2107" spans="1:9" x14ac:dyDescent="0.3">
      <c r="A2107" s="1">
        <v>22907</v>
      </c>
      <c r="B2107" t="s">
        <v>4040</v>
      </c>
      <c r="C2107" s="1">
        <v>0.84499999999999997</v>
      </c>
      <c r="D2107" s="1">
        <v>564</v>
      </c>
      <c r="E2107" s="1">
        <v>542.875</v>
      </c>
      <c r="F2107" s="1">
        <v>16</v>
      </c>
      <c r="G2107" s="1">
        <v>7279.03</v>
      </c>
      <c r="H2107" s="1" t="s">
        <v>10</v>
      </c>
      <c r="I2107" t="str">
        <f t="shared" si="32"/>
        <v>PACK OF 20 NAPKINS PANTRY DESIGN [22907]</v>
      </c>
    </row>
    <row r="2108" spans="1:9" x14ac:dyDescent="0.3">
      <c r="A2108" s="1">
        <v>22908</v>
      </c>
      <c r="B2108" t="s">
        <v>4039</v>
      </c>
      <c r="C2108" s="1">
        <v>0.83</v>
      </c>
      <c r="D2108" s="1">
        <v>293</v>
      </c>
      <c r="E2108" s="1">
        <v>350.625</v>
      </c>
      <c r="F2108" s="1">
        <v>16</v>
      </c>
      <c r="G2108" s="1">
        <v>4524</v>
      </c>
      <c r="H2108" s="1" t="s">
        <v>10</v>
      </c>
      <c r="I2108" t="str">
        <f t="shared" si="32"/>
        <v>PACK OF 20 NAPKINS RED APPLES [22908]</v>
      </c>
    </row>
    <row r="2109" spans="1:9" x14ac:dyDescent="0.3">
      <c r="A2109" s="1">
        <v>22909</v>
      </c>
      <c r="B2109" t="s">
        <v>4038</v>
      </c>
      <c r="C2109" s="1">
        <v>0.91</v>
      </c>
      <c r="D2109" s="1">
        <v>706</v>
      </c>
      <c r="E2109" s="2">
        <v>1142.93333333333</v>
      </c>
      <c r="F2109" s="1">
        <v>15</v>
      </c>
      <c r="G2109" s="1">
        <v>15275.82</v>
      </c>
      <c r="H2109" s="1" t="s">
        <v>10</v>
      </c>
      <c r="I2109" t="str">
        <f t="shared" si="32"/>
        <v>SET OF 20 VINTAGE CHRISTMAS NAPKINS [22909]</v>
      </c>
    </row>
    <row r="2110" spans="1:9" x14ac:dyDescent="0.3">
      <c r="A2110" s="1">
        <v>22910</v>
      </c>
      <c r="B2110" t="s">
        <v>4037</v>
      </c>
      <c r="C2110" s="1">
        <v>2.88</v>
      </c>
      <c r="D2110" s="1">
        <v>664</v>
      </c>
      <c r="E2110" s="1">
        <v>1164.625</v>
      </c>
      <c r="F2110" s="1">
        <v>16</v>
      </c>
      <c r="G2110" s="1">
        <v>58652.7</v>
      </c>
      <c r="H2110" s="1" t="s">
        <v>10</v>
      </c>
      <c r="I2110" t="str">
        <f t="shared" si="32"/>
        <v>PAPER CHAIN KIT VINTAGE CHRISTMAS [22910]</v>
      </c>
    </row>
    <row r="2111" spans="1:9" x14ac:dyDescent="0.3">
      <c r="A2111" s="1">
        <v>22911</v>
      </c>
      <c r="B2111" t="s">
        <v>4036</v>
      </c>
      <c r="C2111" s="1">
        <v>2.95</v>
      </c>
      <c r="D2111" s="1">
        <v>36</v>
      </c>
      <c r="E2111" s="2">
        <v>56.866666666666603</v>
      </c>
      <c r="F2111" s="1">
        <v>15</v>
      </c>
      <c r="G2111" s="1">
        <v>2454.35</v>
      </c>
      <c r="H2111" s="1" t="s">
        <v>9</v>
      </c>
      <c r="I2111" t="str">
        <f t="shared" si="32"/>
        <v>PAPER CHAIN KIT LONDON [22911]</v>
      </c>
    </row>
    <row r="2112" spans="1:9" x14ac:dyDescent="0.3">
      <c r="A2112" s="1">
        <v>22912</v>
      </c>
      <c r="B2112" t="s">
        <v>4035</v>
      </c>
      <c r="C2112" s="1">
        <v>4.95</v>
      </c>
      <c r="D2112" s="1">
        <v>16</v>
      </c>
      <c r="E2112" s="2">
        <v>24.076923076922998</v>
      </c>
      <c r="F2112" s="1">
        <v>13</v>
      </c>
      <c r="G2112" s="1">
        <v>1471.09</v>
      </c>
      <c r="H2112" s="1" t="s">
        <v>9</v>
      </c>
      <c r="I2112" t="str">
        <f t="shared" si="32"/>
        <v>YELLOW COAT RACK PARIS FASHION [22912]</v>
      </c>
    </row>
    <row r="2113" spans="1:9" x14ac:dyDescent="0.3">
      <c r="A2113" s="1">
        <v>22913</v>
      </c>
      <c r="B2113" t="s">
        <v>4034</v>
      </c>
      <c r="C2113" s="1">
        <v>4.95</v>
      </c>
      <c r="D2113" s="1">
        <v>20</v>
      </c>
      <c r="E2113" s="2">
        <v>32.142857142857103</v>
      </c>
      <c r="F2113" s="1">
        <v>14</v>
      </c>
      <c r="G2113" s="1">
        <v>2107.85</v>
      </c>
      <c r="H2113" s="1" t="s">
        <v>9</v>
      </c>
      <c r="I2113" t="str">
        <f t="shared" si="32"/>
        <v>RED COAT RACK PARIS FASHION [22913]</v>
      </c>
    </row>
    <row r="2114" spans="1:9" x14ac:dyDescent="0.3">
      <c r="A2114" s="1">
        <v>22914</v>
      </c>
      <c r="B2114" t="s">
        <v>4033</v>
      </c>
      <c r="C2114" s="1">
        <v>5.15</v>
      </c>
      <c r="D2114" s="1">
        <v>28</v>
      </c>
      <c r="E2114" s="2">
        <v>40.714285714285701</v>
      </c>
      <c r="F2114" s="1">
        <v>14</v>
      </c>
      <c r="G2114" s="1">
        <v>2720.66</v>
      </c>
      <c r="H2114" s="1" t="s">
        <v>9</v>
      </c>
      <c r="I2114" t="str">
        <f t="shared" si="32"/>
        <v>BLUE COAT RACK PARIS FASHION [22914]</v>
      </c>
    </row>
    <row r="2115" spans="1:9" x14ac:dyDescent="0.3">
      <c r="A2115" s="1">
        <v>22915</v>
      </c>
      <c r="B2115" t="s">
        <v>4032</v>
      </c>
      <c r="C2115" s="1">
        <v>0.48499999999999999</v>
      </c>
      <c r="D2115" s="1">
        <v>181</v>
      </c>
      <c r="E2115" s="2">
        <v>234.35714285714201</v>
      </c>
      <c r="F2115" s="1">
        <v>14</v>
      </c>
      <c r="G2115" s="1">
        <v>1474.52</v>
      </c>
      <c r="H2115" s="1" t="s">
        <v>10</v>
      </c>
      <c r="I2115" t="str">
        <f t="shared" ref="I2115:I2178" si="33">B2115&amp;" ["&amp;A2115&amp;"]"</f>
        <v>ASSORTED BOTTLE TOP  MAGNETS [22915]</v>
      </c>
    </row>
    <row r="2116" spans="1:9" x14ac:dyDescent="0.3">
      <c r="A2116" s="1">
        <v>22916</v>
      </c>
      <c r="B2116" t="s">
        <v>4031</v>
      </c>
      <c r="C2116" s="1">
        <v>0.68500000000000005</v>
      </c>
      <c r="D2116" s="1">
        <v>101.5</v>
      </c>
      <c r="E2116" s="2">
        <v>140.142857142857</v>
      </c>
      <c r="F2116" s="1">
        <v>14</v>
      </c>
      <c r="G2116" s="1">
        <v>1363.38</v>
      </c>
      <c r="H2116" s="1" t="s">
        <v>10</v>
      </c>
      <c r="I2116" t="str">
        <f t="shared" si="33"/>
        <v>HERB MARKER THYME [22916]</v>
      </c>
    </row>
    <row r="2117" spans="1:9" x14ac:dyDescent="0.3">
      <c r="A2117" s="1">
        <v>22917</v>
      </c>
      <c r="B2117" t="s">
        <v>4030</v>
      </c>
      <c r="C2117" s="1">
        <v>0.67500000000000004</v>
      </c>
      <c r="D2117" s="1">
        <v>106.5</v>
      </c>
      <c r="E2117" s="2">
        <v>142.57142857142799</v>
      </c>
      <c r="F2117" s="1">
        <v>14</v>
      </c>
      <c r="G2117" s="1">
        <v>1386.65</v>
      </c>
      <c r="H2117" s="1" t="s">
        <v>10</v>
      </c>
      <c r="I2117" t="str">
        <f t="shared" si="33"/>
        <v>HERB MARKER ROSEMARY [22917]</v>
      </c>
    </row>
    <row r="2118" spans="1:9" x14ac:dyDescent="0.3">
      <c r="A2118" s="1">
        <v>22918</v>
      </c>
      <c r="B2118" t="s">
        <v>4029</v>
      </c>
      <c r="C2118" s="2">
        <v>0.67999999999999905</v>
      </c>
      <c r="D2118" s="1">
        <v>97.5</v>
      </c>
      <c r="E2118" s="1">
        <v>137.5</v>
      </c>
      <c r="F2118" s="1">
        <v>14</v>
      </c>
      <c r="G2118" s="1">
        <v>1322.86</v>
      </c>
      <c r="H2118" s="1" t="s">
        <v>10</v>
      </c>
      <c r="I2118" t="str">
        <f t="shared" si="33"/>
        <v>HERB MARKER PARSLEY [22918]</v>
      </c>
    </row>
    <row r="2119" spans="1:9" x14ac:dyDescent="0.3">
      <c r="A2119" s="1">
        <v>22919</v>
      </c>
      <c r="B2119" t="s">
        <v>4028</v>
      </c>
      <c r="C2119" s="2">
        <v>0.67999999999999905</v>
      </c>
      <c r="D2119" s="1">
        <v>80.5</v>
      </c>
      <c r="E2119" s="2">
        <v>128.57142857142799</v>
      </c>
      <c r="F2119" s="1">
        <v>14</v>
      </c>
      <c r="G2119" s="1">
        <v>1255.44</v>
      </c>
      <c r="H2119" s="1" t="s">
        <v>10</v>
      </c>
      <c r="I2119" t="str">
        <f t="shared" si="33"/>
        <v>HERB MARKER MINT [22919]</v>
      </c>
    </row>
    <row r="2120" spans="1:9" x14ac:dyDescent="0.3">
      <c r="A2120" s="1">
        <v>22920</v>
      </c>
      <c r="B2120" t="s">
        <v>4027</v>
      </c>
      <c r="C2120" s="1">
        <v>0.66500000000000004</v>
      </c>
      <c r="D2120" s="1">
        <v>96.5</v>
      </c>
      <c r="E2120" s="2">
        <v>248.42857142857099</v>
      </c>
      <c r="F2120" s="1">
        <v>14</v>
      </c>
      <c r="G2120" s="1">
        <v>2199.19</v>
      </c>
      <c r="H2120" s="1" t="s">
        <v>10</v>
      </c>
      <c r="I2120" t="str">
        <f t="shared" si="33"/>
        <v>HERB MARKER BASIL [22920]</v>
      </c>
    </row>
    <row r="2121" spans="1:9" x14ac:dyDescent="0.3">
      <c r="A2121" s="1">
        <v>22921</v>
      </c>
      <c r="B2121" t="s">
        <v>4026</v>
      </c>
      <c r="C2121" s="1">
        <v>0.67500000000000004</v>
      </c>
      <c r="D2121" s="1">
        <v>78</v>
      </c>
      <c r="E2121" s="1">
        <v>126.5</v>
      </c>
      <c r="F2121" s="1">
        <v>14</v>
      </c>
      <c r="G2121" s="1">
        <v>1226.72</v>
      </c>
      <c r="H2121" s="1" t="s">
        <v>10</v>
      </c>
      <c r="I2121" t="str">
        <f t="shared" si="33"/>
        <v>HERB MARKER CHIVES [22921]</v>
      </c>
    </row>
    <row r="2122" spans="1:9" x14ac:dyDescent="0.3">
      <c r="A2122" s="1">
        <v>22922</v>
      </c>
      <c r="B2122" t="s">
        <v>4025</v>
      </c>
      <c r="C2122" s="1">
        <v>0.85</v>
      </c>
      <c r="D2122" s="1">
        <v>117</v>
      </c>
      <c r="E2122" s="2">
        <v>148.07142857142799</v>
      </c>
      <c r="F2122" s="1">
        <v>14</v>
      </c>
      <c r="G2122" s="1">
        <v>1789.2</v>
      </c>
      <c r="H2122" s="1" t="s">
        <v>10</v>
      </c>
      <c r="I2122" t="str">
        <f t="shared" si="33"/>
        <v>FRIDGE MAGNETS US DINER ASSORTED [22922]</v>
      </c>
    </row>
    <row r="2123" spans="1:9" x14ac:dyDescent="0.3">
      <c r="A2123" s="1">
        <v>22923</v>
      </c>
      <c r="B2123" t="s">
        <v>4024</v>
      </c>
      <c r="C2123" s="1">
        <v>0.85</v>
      </c>
      <c r="D2123" s="1">
        <v>94.5</v>
      </c>
      <c r="E2123" s="2">
        <v>113.071428571428</v>
      </c>
      <c r="F2123" s="1">
        <v>14</v>
      </c>
      <c r="G2123" s="1">
        <v>1314.89</v>
      </c>
      <c r="H2123" s="1" t="s">
        <v>10</v>
      </c>
      <c r="I2123" t="str">
        <f t="shared" si="33"/>
        <v>FRIDGE MAGNETS LES ENFANTS ASSORTED [22923]</v>
      </c>
    </row>
    <row r="2124" spans="1:9" x14ac:dyDescent="0.3">
      <c r="A2124" s="1">
        <v>22924</v>
      </c>
      <c r="B2124" t="s">
        <v>4023</v>
      </c>
      <c r="C2124" s="1">
        <v>0.85</v>
      </c>
      <c r="D2124" s="1">
        <v>89</v>
      </c>
      <c r="E2124" s="2">
        <v>107.142857142857</v>
      </c>
      <c r="F2124" s="1">
        <v>14</v>
      </c>
      <c r="G2124" s="1">
        <v>1323.42</v>
      </c>
      <c r="H2124" s="1" t="s">
        <v>10</v>
      </c>
      <c r="I2124" t="str">
        <f t="shared" si="33"/>
        <v>FRIDGE MAGNETS LA VIE EN ROSE [22924]</v>
      </c>
    </row>
    <row r="2125" spans="1:9" x14ac:dyDescent="0.3">
      <c r="A2125" s="1">
        <v>22925</v>
      </c>
      <c r="B2125" t="s">
        <v>4022</v>
      </c>
      <c r="C2125" s="1">
        <v>6.1050000000000004</v>
      </c>
      <c r="D2125" s="1">
        <v>33.5</v>
      </c>
      <c r="E2125" s="2">
        <v>40.6666666666666</v>
      </c>
      <c r="F2125" s="1">
        <v>12</v>
      </c>
      <c r="G2125" s="1">
        <v>2989.52</v>
      </c>
      <c r="H2125" s="1" t="s">
        <v>9</v>
      </c>
      <c r="I2125" t="str">
        <f t="shared" si="33"/>
        <v>BLUE GIANT GARDEN THERMOMETER [22925]</v>
      </c>
    </row>
    <row r="2126" spans="1:9" x14ac:dyDescent="0.3">
      <c r="A2126" s="1">
        <v>22926</v>
      </c>
      <c r="B2126" t="s">
        <v>4021</v>
      </c>
      <c r="C2126" s="1">
        <v>6.02</v>
      </c>
      <c r="D2126" s="1">
        <v>98</v>
      </c>
      <c r="E2126" s="2">
        <v>97.142857142857096</v>
      </c>
      <c r="F2126" s="1">
        <v>7</v>
      </c>
      <c r="G2126" s="2">
        <v>4150.3099999999904</v>
      </c>
      <c r="H2126" s="1" t="s">
        <v>10</v>
      </c>
      <c r="I2126" t="str">
        <f t="shared" si="33"/>
        <v>IVORY GIANT GARDEN THERMOMETER [22926]</v>
      </c>
    </row>
    <row r="2127" spans="1:9" x14ac:dyDescent="0.3">
      <c r="A2127" s="1">
        <v>22927</v>
      </c>
      <c r="B2127" t="s">
        <v>4020</v>
      </c>
      <c r="C2127" s="1">
        <v>6.0750000000000002</v>
      </c>
      <c r="D2127" s="1">
        <v>36.5</v>
      </c>
      <c r="E2127" s="1">
        <v>39</v>
      </c>
      <c r="F2127" s="1">
        <v>12</v>
      </c>
      <c r="G2127" s="1">
        <v>2948.57</v>
      </c>
      <c r="H2127" s="1" t="s">
        <v>9</v>
      </c>
      <c r="I2127" t="str">
        <f t="shared" si="33"/>
        <v>GREEN GIANT GARDEN THERMOMETER [22927]</v>
      </c>
    </row>
    <row r="2128" spans="1:9" x14ac:dyDescent="0.3">
      <c r="A2128" s="1">
        <v>22928</v>
      </c>
      <c r="B2128" t="s">
        <v>4019</v>
      </c>
      <c r="C2128" s="1">
        <v>6.52</v>
      </c>
      <c r="D2128" s="1">
        <v>14</v>
      </c>
      <c r="E2128" s="2">
        <v>21.1428571428571</v>
      </c>
      <c r="F2128" s="1">
        <v>14</v>
      </c>
      <c r="G2128" s="1">
        <v>2041.35</v>
      </c>
      <c r="H2128" s="1" t="s">
        <v>9</v>
      </c>
      <c r="I2128" t="str">
        <f t="shared" si="33"/>
        <v>YELLOW GIANT GARDEN THERMOMETER [22928]</v>
      </c>
    </row>
    <row r="2129" spans="1:9" x14ac:dyDescent="0.3">
      <c r="A2129" s="1">
        <v>22929</v>
      </c>
      <c r="B2129" t="s">
        <v>4018</v>
      </c>
      <c r="C2129" s="1">
        <v>65</v>
      </c>
      <c r="D2129" s="1">
        <v>3</v>
      </c>
      <c r="E2129" s="1">
        <v>2.875</v>
      </c>
      <c r="F2129" s="1">
        <v>8</v>
      </c>
      <c r="G2129" s="1">
        <v>1459.75</v>
      </c>
      <c r="H2129" s="1" t="s">
        <v>8</v>
      </c>
      <c r="I2129" t="str">
        <f t="shared" si="33"/>
        <v>SCHOOL DESK AND CHAIR [22929]</v>
      </c>
    </row>
    <row r="2130" spans="1:9" x14ac:dyDescent="0.3">
      <c r="A2130" s="1">
        <v>22930</v>
      </c>
      <c r="B2130" t="s">
        <v>4017</v>
      </c>
      <c r="C2130" s="1">
        <v>2.68</v>
      </c>
      <c r="D2130" s="1">
        <v>61</v>
      </c>
      <c r="E2130" s="2">
        <v>85.230769230769198</v>
      </c>
      <c r="F2130" s="1">
        <v>13</v>
      </c>
      <c r="G2130" s="1">
        <v>2846.8</v>
      </c>
      <c r="H2130" s="1" t="s">
        <v>9</v>
      </c>
      <c r="I2130" t="str">
        <f t="shared" si="33"/>
        <v>BAKING MOULD HEART MILK CHOCOLATE [22930]</v>
      </c>
    </row>
    <row r="2131" spans="1:9" x14ac:dyDescent="0.3">
      <c r="A2131" s="1">
        <v>22931</v>
      </c>
      <c r="B2131" t="s">
        <v>4016</v>
      </c>
      <c r="C2131" s="1">
        <v>2.5499999999999998</v>
      </c>
      <c r="D2131" s="1">
        <v>23</v>
      </c>
      <c r="E2131" s="2">
        <v>62.538461538461497</v>
      </c>
      <c r="F2131" s="1">
        <v>13</v>
      </c>
      <c r="G2131" s="1">
        <v>1963.3</v>
      </c>
      <c r="H2131" s="1" t="s">
        <v>9</v>
      </c>
      <c r="I2131" t="str">
        <f t="shared" si="33"/>
        <v>BAKING MOULD HEART WHITE CHOCOLATE [22931]</v>
      </c>
    </row>
    <row r="2132" spans="1:9" x14ac:dyDescent="0.3">
      <c r="A2132" s="1">
        <v>22932</v>
      </c>
      <c r="B2132" t="s">
        <v>4015</v>
      </c>
      <c r="C2132" s="1">
        <v>2.5499999999999998</v>
      </c>
      <c r="D2132" s="1">
        <v>18</v>
      </c>
      <c r="E2132" s="2">
        <v>63.142857142857103</v>
      </c>
      <c r="F2132" s="1">
        <v>13</v>
      </c>
      <c r="G2132" s="2">
        <v>2000.8799999999901</v>
      </c>
      <c r="H2132" s="1" t="s">
        <v>9</v>
      </c>
      <c r="I2132" t="str">
        <f t="shared" si="33"/>
        <v>BAKING MOULD TOFFEE CUP  CHOCOLATE [22932]</v>
      </c>
    </row>
    <row r="2133" spans="1:9" x14ac:dyDescent="0.3">
      <c r="A2133" s="1">
        <v>22933</v>
      </c>
      <c r="B2133" t="s">
        <v>4014</v>
      </c>
      <c r="C2133" s="1">
        <v>2.95</v>
      </c>
      <c r="D2133" s="1">
        <v>3</v>
      </c>
      <c r="E2133" s="2">
        <v>85.454545454545396</v>
      </c>
      <c r="F2133" s="1">
        <v>11</v>
      </c>
      <c r="G2133" s="1">
        <v>2585.92</v>
      </c>
      <c r="H2133" s="1" t="s">
        <v>8</v>
      </c>
      <c r="I2133" t="str">
        <f t="shared" si="33"/>
        <v>BAKING MOULD EASTER EGG MILK CHOC [22933]</v>
      </c>
    </row>
    <row r="2134" spans="1:9" x14ac:dyDescent="0.3">
      <c r="A2134" s="1">
        <v>22934</v>
      </c>
      <c r="B2134" t="s">
        <v>4013</v>
      </c>
      <c r="C2134" s="1">
        <v>2.95</v>
      </c>
      <c r="D2134" s="1">
        <v>23.5</v>
      </c>
      <c r="E2134" s="1">
        <v>58.9</v>
      </c>
      <c r="F2134" s="1">
        <v>10</v>
      </c>
      <c r="G2134" s="1">
        <v>1707.47</v>
      </c>
      <c r="H2134" s="1" t="s">
        <v>9</v>
      </c>
      <c r="I2134" t="str">
        <f t="shared" si="33"/>
        <v>BAKING MOULD EASTER EGG WHITE CHOC [22934]</v>
      </c>
    </row>
    <row r="2135" spans="1:9" x14ac:dyDescent="0.3">
      <c r="A2135" s="1">
        <v>22935</v>
      </c>
      <c r="B2135" t="s">
        <v>4012</v>
      </c>
      <c r="C2135" s="1">
        <v>3.05</v>
      </c>
      <c r="D2135" s="1">
        <v>21</v>
      </c>
      <c r="E2135" s="2">
        <v>53.076923076923002</v>
      </c>
      <c r="F2135" s="1">
        <v>13</v>
      </c>
      <c r="G2135" s="1">
        <v>2066.8200000000002</v>
      </c>
      <c r="H2135" s="1" t="s">
        <v>9</v>
      </c>
      <c r="I2135" t="str">
        <f t="shared" si="33"/>
        <v>BAKING MOULD ROSE MILK CHOCOLATE [22935]</v>
      </c>
    </row>
    <row r="2136" spans="1:9" x14ac:dyDescent="0.3">
      <c r="A2136" s="1">
        <v>22936</v>
      </c>
      <c r="B2136" t="s">
        <v>4011</v>
      </c>
      <c r="C2136" s="1">
        <v>3.49</v>
      </c>
      <c r="D2136" s="1">
        <v>11</v>
      </c>
      <c r="E2136" s="2">
        <v>21.4615384615384</v>
      </c>
      <c r="F2136" s="1">
        <v>13</v>
      </c>
      <c r="G2136" s="1">
        <v>895.97</v>
      </c>
      <c r="H2136" s="1" t="s">
        <v>9</v>
      </c>
      <c r="I2136" t="str">
        <f t="shared" si="33"/>
        <v>BAKING MOULD ROSE WHITE CHOCOLATE [22936]</v>
      </c>
    </row>
    <row r="2137" spans="1:9" x14ac:dyDescent="0.3">
      <c r="A2137" s="1">
        <v>22937</v>
      </c>
      <c r="B2137" t="s">
        <v>4010</v>
      </c>
      <c r="C2137" s="1">
        <v>2.5499999999999998</v>
      </c>
      <c r="D2137" s="1">
        <v>34</v>
      </c>
      <c r="E2137" s="1">
        <v>64.8</v>
      </c>
      <c r="F2137" s="1">
        <v>13</v>
      </c>
      <c r="G2137" s="2">
        <v>2563.2399999999998</v>
      </c>
      <c r="H2137" s="1" t="s">
        <v>9</v>
      </c>
      <c r="I2137" t="str">
        <f t="shared" si="33"/>
        <v>BAKING MOULD CHOCOLATE CUP CAKES [22937]</v>
      </c>
    </row>
    <row r="2138" spans="1:9" x14ac:dyDescent="0.3">
      <c r="A2138" s="1">
        <v>22938</v>
      </c>
      <c r="B2138" t="s">
        <v>4009</v>
      </c>
      <c r="C2138" s="2">
        <v>1.88499999999999</v>
      </c>
      <c r="D2138" s="1">
        <v>184</v>
      </c>
      <c r="E2138" s="1">
        <v>230.4375</v>
      </c>
      <c r="F2138" s="1">
        <v>16</v>
      </c>
      <c r="G2138" s="1">
        <v>6891.25</v>
      </c>
      <c r="H2138" s="1" t="s">
        <v>10</v>
      </c>
      <c r="I2138" t="str">
        <f t="shared" si="33"/>
        <v>CUPCAKE LACE PAPER SET 6 [22938]</v>
      </c>
    </row>
    <row r="2139" spans="1:9" x14ac:dyDescent="0.3">
      <c r="A2139" s="1">
        <v>22939</v>
      </c>
      <c r="B2139" t="s">
        <v>4008</v>
      </c>
      <c r="C2139" s="1">
        <v>5.2</v>
      </c>
      <c r="D2139" s="1">
        <v>40</v>
      </c>
      <c r="E2139" s="1">
        <v>41.176470588235297</v>
      </c>
      <c r="F2139" s="1">
        <v>16</v>
      </c>
      <c r="G2139" s="1">
        <v>3502.54</v>
      </c>
      <c r="H2139" s="1" t="s">
        <v>9</v>
      </c>
      <c r="I2139" t="str">
        <f t="shared" si="33"/>
        <v>APRON APPLE DELIGHT [22939]</v>
      </c>
    </row>
    <row r="2140" spans="1:9" x14ac:dyDescent="0.3">
      <c r="A2140" s="1">
        <v>22940</v>
      </c>
      <c r="B2140" t="s">
        <v>4007</v>
      </c>
      <c r="C2140" s="1">
        <v>4.24</v>
      </c>
      <c r="D2140" s="1">
        <v>144.5</v>
      </c>
      <c r="E2140" s="1">
        <v>218.1875</v>
      </c>
      <c r="F2140" s="1">
        <v>16</v>
      </c>
      <c r="G2140" s="1">
        <v>15282.81</v>
      </c>
      <c r="H2140" s="1" t="s">
        <v>10</v>
      </c>
      <c r="I2140" t="str">
        <f t="shared" si="33"/>
        <v>FELTCRAFT CHRISTMAS FAIRY [22940]</v>
      </c>
    </row>
    <row r="2141" spans="1:9" x14ac:dyDescent="0.3">
      <c r="A2141" s="1">
        <v>22941</v>
      </c>
      <c r="B2141" t="s">
        <v>4006</v>
      </c>
      <c r="C2141" s="1">
        <v>8.82</v>
      </c>
      <c r="D2141" s="1">
        <v>162</v>
      </c>
      <c r="E2141" s="2">
        <v>217.916666666666</v>
      </c>
      <c r="F2141" s="1">
        <v>12</v>
      </c>
      <c r="G2141" s="1">
        <v>21727.58</v>
      </c>
      <c r="H2141" s="1" t="s">
        <v>10</v>
      </c>
      <c r="I2141" t="str">
        <f t="shared" si="33"/>
        <v>CHRISTMAS LIGHTS 10 REINDEER [22941]</v>
      </c>
    </row>
    <row r="2142" spans="1:9" x14ac:dyDescent="0.3">
      <c r="A2142" s="1">
        <v>22942</v>
      </c>
      <c r="B2142" t="s">
        <v>4005</v>
      </c>
      <c r="C2142" s="2">
        <v>8.4049999999999994</v>
      </c>
      <c r="D2142" s="1">
        <v>135.5</v>
      </c>
      <c r="E2142" s="1">
        <v>152.625</v>
      </c>
      <c r="F2142" s="1">
        <v>8</v>
      </c>
      <c r="G2142" s="1">
        <v>9466.41</v>
      </c>
      <c r="H2142" s="1" t="s">
        <v>10</v>
      </c>
      <c r="I2142" t="str">
        <f t="shared" si="33"/>
        <v>CHRISTMAS LIGHTS 10 SANTAS [22942]</v>
      </c>
    </row>
    <row r="2143" spans="1:9" x14ac:dyDescent="0.3">
      <c r="A2143" s="1">
        <v>22943</v>
      </c>
      <c r="B2143" t="s">
        <v>4004</v>
      </c>
      <c r="C2143" s="1">
        <v>5.6</v>
      </c>
      <c r="D2143" s="1">
        <v>18</v>
      </c>
      <c r="E2143" s="2">
        <v>158.73333333333301</v>
      </c>
      <c r="F2143" s="1">
        <v>15</v>
      </c>
      <c r="G2143" s="1">
        <v>11696.64</v>
      </c>
      <c r="H2143" s="1" t="s">
        <v>9</v>
      </c>
      <c r="I2143" t="str">
        <f t="shared" si="33"/>
        <v>CHRISTMAS LIGHTS 10 VINTAGE BAUBLES [22943]</v>
      </c>
    </row>
    <row r="2144" spans="1:9" x14ac:dyDescent="0.3">
      <c r="A2144" s="1">
        <v>22944</v>
      </c>
      <c r="B2144" t="s">
        <v>4003</v>
      </c>
      <c r="C2144" s="1">
        <v>1.155</v>
      </c>
      <c r="D2144" s="1">
        <v>303</v>
      </c>
      <c r="E2144" s="1">
        <v>483.5</v>
      </c>
      <c r="F2144" s="1">
        <v>10</v>
      </c>
      <c r="G2144" s="1">
        <v>3468.81</v>
      </c>
      <c r="H2144" s="1" t="s">
        <v>10</v>
      </c>
      <c r="I2144" t="str">
        <f t="shared" si="33"/>
        <v>CHRISTMAS METAL POSTCARD WITH BELLS [22944]</v>
      </c>
    </row>
    <row r="2145" spans="1:9" x14ac:dyDescent="0.3">
      <c r="A2145" s="1">
        <v>22945</v>
      </c>
      <c r="B2145" t="s">
        <v>4002</v>
      </c>
      <c r="C2145" s="1">
        <v>0.85</v>
      </c>
      <c r="D2145" s="1">
        <v>562</v>
      </c>
      <c r="E2145" s="2">
        <v>569.69230769230705</v>
      </c>
      <c r="F2145" s="1">
        <v>13</v>
      </c>
      <c r="G2145" s="1">
        <v>6739.5</v>
      </c>
      <c r="H2145" s="1" t="s">
        <v>10</v>
      </c>
      <c r="I2145" t="str">
        <f t="shared" si="33"/>
        <v>CHRISTMAS METAL TAGS ASSORTED [22945]</v>
      </c>
    </row>
    <row r="2146" spans="1:9" x14ac:dyDescent="0.3">
      <c r="A2146" s="1">
        <v>22946</v>
      </c>
      <c r="B2146" t="s">
        <v>4001</v>
      </c>
      <c r="C2146" s="1">
        <v>15.535</v>
      </c>
      <c r="D2146" s="1">
        <v>42</v>
      </c>
      <c r="E2146" s="2">
        <v>69.714285714285694</v>
      </c>
      <c r="F2146" s="1">
        <v>14</v>
      </c>
      <c r="G2146" s="1">
        <v>15060.57</v>
      </c>
      <c r="H2146" s="1" t="s">
        <v>9</v>
      </c>
      <c r="I2146" t="str">
        <f t="shared" si="33"/>
        <v>WOODEN ADVENT CALENDAR CREAM [22946]</v>
      </c>
    </row>
    <row r="2147" spans="1:9" x14ac:dyDescent="0.3">
      <c r="A2147" s="1">
        <v>22947</v>
      </c>
      <c r="B2147" t="s">
        <v>4000</v>
      </c>
      <c r="C2147" s="2">
        <v>15.2549999999999</v>
      </c>
      <c r="D2147" s="1">
        <v>47.5</v>
      </c>
      <c r="E2147" s="1">
        <v>101.1</v>
      </c>
      <c r="F2147" s="1">
        <v>10</v>
      </c>
      <c r="G2147" s="1">
        <v>12704.15</v>
      </c>
      <c r="H2147" s="1" t="s">
        <v>9</v>
      </c>
      <c r="I2147" t="str">
        <f t="shared" si="33"/>
        <v>WOODEN ADVENT CALENDAR RED [22947]</v>
      </c>
    </row>
    <row r="2148" spans="1:9" x14ac:dyDescent="0.3">
      <c r="A2148" s="1">
        <v>22948</v>
      </c>
      <c r="B2148" t="s">
        <v>3999</v>
      </c>
      <c r="C2148" s="1">
        <v>0.89500000000000002</v>
      </c>
      <c r="D2148" s="1">
        <v>121</v>
      </c>
      <c r="E2148" s="1">
        <v>134.6875</v>
      </c>
      <c r="F2148" s="1">
        <v>16</v>
      </c>
      <c r="G2148" s="1">
        <v>2164.69</v>
      </c>
      <c r="H2148" s="1" t="s">
        <v>10</v>
      </c>
      <c r="I2148" t="str">
        <f t="shared" si="33"/>
        <v>METAL DECORATION NAUGHTY CHILDREN [22948]</v>
      </c>
    </row>
    <row r="2149" spans="1:9" x14ac:dyDescent="0.3">
      <c r="A2149" s="1">
        <v>22949</v>
      </c>
      <c r="B2149" t="s">
        <v>3998</v>
      </c>
      <c r="C2149" s="1">
        <v>1.5</v>
      </c>
      <c r="D2149" s="1">
        <v>56.5</v>
      </c>
      <c r="E2149" s="2">
        <v>111.666666666666</v>
      </c>
      <c r="F2149" s="1">
        <v>16</v>
      </c>
      <c r="G2149" s="1">
        <v>2858.19</v>
      </c>
      <c r="H2149" s="1" t="s">
        <v>9</v>
      </c>
      <c r="I2149" t="str">
        <f t="shared" si="33"/>
        <v>36 DOILIES DOLLY GIRL [22949]</v>
      </c>
    </row>
    <row r="2150" spans="1:9" x14ac:dyDescent="0.3">
      <c r="A2150" s="1">
        <v>22950</v>
      </c>
      <c r="B2150" t="s">
        <v>3997</v>
      </c>
      <c r="C2150" s="1">
        <v>1.43</v>
      </c>
      <c r="D2150" s="1">
        <v>432</v>
      </c>
      <c r="E2150" s="1">
        <v>641</v>
      </c>
      <c r="F2150" s="1">
        <v>9</v>
      </c>
      <c r="G2150" s="1">
        <v>11452.64</v>
      </c>
      <c r="H2150" s="1" t="s">
        <v>10</v>
      </c>
      <c r="I2150" t="str">
        <f t="shared" si="33"/>
        <v>36 DOILIES VINTAGE CHRISTMAS [22950]</v>
      </c>
    </row>
    <row r="2151" spans="1:9" x14ac:dyDescent="0.3">
      <c r="A2151" s="1">
        <v>22951</v>
      </c>
      <c r="B2151" t="s">
        <v>3996</v>
      </c>
      <c r="C2151" s="1">
        <v>0.55000000000000004</v>
      </c>
      <c r="D2151" s="1">
        <v>618</v>
      </c>
      <c r="E2151" s="1">
        <v>578.57894736842104</v>
      </c>
      <c r="F2151" s="1">
        <v>16</v>
      </c>
      <c r="G2151" s="1">
        <v>5785.97</v>
      </c>
      <c r="H2151" s="1" t="s">
        <v>10</v>
      </c>
      <c r="I2151" t="str">
        <f t="shared" si="33"/>
        <v>60 CAKE CASES DOLLY GIRL DESIGN [22951]</v>
      </c>
    </row>
    <row r="2152" spans="1:9" x14ac:dyDescent="0.3">
      <c r="A2152" s="1">
        <v>22952</v>
      </c>
      <c r="B2152" t="s">
        <v>3995</v>
      </c>
      <c r="C2152" s="1">
        <v>0.55000000000000004</v>
      </c>
      <c r="D2152" s="1">
        <v>1008</v>
      </c>
      <c r="E2152" s="2">
        <v>1735.4736842105201</v>
      </c>
      <c r="F2152" s="1">
        <v>13</v>
      </c>
      <c r="G2152" s="1">
        <v>19222.37</v>
      </c>
      <c r="H2152" s="1" t="s">
        <v>10</v>
      </c>
      <c r="I2152" t="str">
        <f t="shared" si="33"/>
        <v>60 CAKE CASES VINTAGE CHRISTMAS [22952]</v>
      </c>
    </row>
    <row r="2153" spans="1:9" x14ac:dyDescent="0.3">
      <c r="A2153" s="1">
        <v>22953</v>
      </c>
      <c r="B2153" t="s">
        <v>3994</v>
      </c>
      <c r="C2153" s="1">
        <v>1.25</v>
      </c>
      <c r="D2153" s="1">
        <v>28.5</v>
      </c>
      <c r="E2153" s="1">
        <v>47.5</v>
      </c>
      <c r="F2153" s="1">
        <v>14</v>
      </c>
      <c r="G2153" s="1">
        <v>948.55</v>
      </c>
      <c r="H2153" s="1" t="s">
        <v>9</v>
      </c>
      <c r="I2153" t="str">
        <f t="shared" si="33"/>
        <v>BIRTHDAY BANNER TAPE [22953]</v>
      </c>
    </row>
    <row r="2154" spans="1:9" x14ac:dyDescent="0.3">
      <c r="A2154" s="1">
        <v>22954</v>
      </c>
      <c r="B2154" t="s">
        <v>3993</v>
      </c>
      <c r="C2154" s="1">
        <v>1.25</v>
      </c>
      <c r="D2154" s="1">
        <v>16</v>
      </c>
      <c r="E2154" s="1">
        <v>17</v>
      </c>
      <c r="F2154" s="1">
        <v>13</v>
      </c>
      <c r="G2154" s="1">
        <v>293.89</v>
      </c>
      <c r="H2154" s="1" t="s">
        <v>9</v>
      </c>
      <c r="I2154" t="str">
        <f t="shared" si="33"/>
        <v>HEN PARTY BANNER TAPE [22954]</v>
      </c>
    </row>
    <row r="2155" spans="1:9" x14ac:dyDescent="0.3">
      <c r="A2155" s="1">
        <v>22955</v>
      </c>
      <c r="B2155" t="s">
        <v>3992</v>
      </c>
      <c r="C2155" s="1">
        <v>2.1</v>
      </c>
      <c r="D2155" s="1">
        <v>57</v>
      </c>
      <c r="E2155" s="2">
        <v>103.428571428571</v>
      </c>
      <c r="F2155" s="1">
        <v>14</v>
      </c>
      <c r="G2155" s="2">
        <v>2885.2599999999902</v>
      </c>
      <c r="H2155" s="1" t="s">
        <v>9</v>
      </c>
      <c r="I2155" t="str">
        <f t="shared" si="33"/>
        <v>36 FOIL STAR CAKE CASES [22955]</v>
      </c>
    </row>
    <row r="2156" spans="1:9" x14ac:dyDescent="0.3">
      <c r="A2156" s="1">
        <v>22956</v>
      </c>
      <c r="B2156" t="s">
        <v>3991</v>
      </c>
      <c r="C2156" s="1">
        <v>2.0049999999999999</v>
      </c>
      <c r="D2156" s="1">
        <v>142</v>
      </c>
      <c r="E2156" s="2">
        <v>178.142857142857</v>
      </c>
      <c r="F2156" s="1">
        <v>14</v>
      </c>
      <c r="G2156" s="1">
        <v>4878.8999999999996</v>
      </c>
      <c r="H2156" s="1" t="s">
        <v>10</v>
      </c>
      <c r="I2156" t="str">
        <f t="shared" si="33"/>
        <v>36 FOIL HEART CAKE CASES [22956]</v>
      </c>
    </row>
    <row r="2157" spans="1:9" x14ac:dyDescent="0.3">
      <c r="A2157" s="1">
        <v>22957</v>
      </c>
      <c r="B2157" t="s">
        <v>3990</v>
      </c>
      <c r="C2157" s="1">
        <v>2.95</v>
      </c>
      <c r="D2157" s="1">
        <v>339</v>
      </c>
      <c r="E2157" s="2">
        <v>295.83333333333297</v>
      </c>
      <c r="F2157" s="1">
        <v>6</v>
      </c>
      <c r="G2157" s="1">
        <v>5014.6499999999996</v>
      </c>
      <c r="H2157" s="1" t="s">
        <v>10</v>
      </c>
      <c r="I2157" t="str">
        <f t="shared" si="33"/>
        <v>SET 3 PAPER VINTAGE CHICK PAPER EGG [22957]</v>
      </c>
    </row>
    <row r="2158" spans="1:9" x14ac:dyDescent="0.3">
      <c r="A2158" s="1">
        <v>22959</v>
      </c>
      <c r="B2158" t="s">
        <v>3989</v>
      </c>
      <c r="C2158" s="1">
        <v>0.42</v>
      </c>
      <c r="D2158" s="1">
        <v>950</v>
      </c>
      <c r="E2158" s="2">
        <v>885.27272727272702</v>
      </c>
      <c r="F2158" s="1">
        <v>10</v>
      </c>
      <c r="G2158" s="1">
        <v>3981.96</v>
      </c>
      <c r="H2158" s="1" t="s">
        <v>10</v>
      </c>
      <c r="I2158" t="str">
        <f t="shared" si="33"/>
        <v>WRAP CHRISTMAS VILLAGE [22959]</v>
      </c>
    </row>
    <row r="2159" spans="1:9" x14ac:dyDescent="0.3">
      <c r="A2159" s="1">
        <v>22960</v>
      </c>
      <c r="B2159" t="s">
        <v>3988</v>
      </c>
      <c r="C2159" s="1">
        <v>4.2050000000000001</v>
      </c>
      <c r="D2159" s="1">
        <v>636.5</v>
      </c>
      <c r="E2159" s="2">
        <v>644.21428571428498</v>
      </c>
      <c r="F2159" s="1">
        <v>14</v>
      </c>
      <c r="G2159" s="1">
        <v>38380.11</v>
      </c>
      <c r="H2159" s="1" t="s">
        <v>10</v>
      </c>
      <c r="I2159" t="str">
        <f t="shared" si="33"/>
        <v>JAM MAKING SET WITH JARS [22960]</v>
      </c>
    </row>
    <row r="2160" spans="1:9" x14ac:dyDescent="0.3">
      <c r="A2160" s="1">
        <v>22961</v>
      </c>
      <c r="B2160" t="s">
        <v>3987</v>
      </c>
      <c r="C2160" s="1">
        <v>1.5</v>
      </c>
      <c r="D2160" s="1">
        <v>1225</v>
      </c>
      <c r="E2160" s="2">
        <v>1150.13333333333</v>
      </c>
      <c r="F2160" s="1">
        <v>15</v>
      </c>
      <c r="G2160" s="1">
        <v>26888.43</v>
      </c>
      <c r="H2160" s="1" t="s">
        <v>10</v>
      </c>
      <c r="I2160" t="str">
        <f t="shared" si="33"/>
        <v>JAM MAKING SET PRINTED [22961]</v>
      </c>
    </row>
    <row r="2161" spans="1:9" x14ac:dyDescent="0.3">
      <c r="A2161" s="1">
        <v>22962</v>
      </c>
      <c r="B2161" t="s">
        <v>3986</v>
      </c>
      <c r="C2161" s="1">
        <v>0.86</v>
      </c>
      <c r="D2161" s="1">
        <v>270.5</v>
      </c>
      <c r="E2161" s="2">
        <v>311.85714285714198</v>
      </c>
      <c r="F2161" s="1">
        <v>14</v>
      </c>
      <c r="G2161" s="1">
        <v>3640.93</v>
      </c>
      <c r="H2161" s="1" t="s">
        <v>10</v>
      </c>
      <c r="I2161" t="str">
        <f t="shared" si="33"/>
        <v>JAM JAR WITH PINK LID [22962]</v>
      </c>
    </row>
    <row r="2162" spans="1:9" x14ac:dyDescent="0.3">
      <c r="A2162" s="1">
        <v>22963</v>
      </c>
      <c r="B2162" t="s">
        <v>3985</v>
      </c>
      <c r="C2162" s="1">
        <v>0.85499999999999998</v>
      </c>
      <c r="D2162" s="1">
        <v>231.5</v>
      </c>
      <c r="E2162" s="1">
        <v>231</v>
      </c>
      <c r="F2162" s="1">
        <v>15</v>
      </c>
      <c r="G2162" s="1">
        <v>3079.41</v>
      </c>
      <c r="H2162" s="1" t="s">
        <v>10</v>
      </c>
      <c r="I2162" t="str">
        <f t="shared" si="33"/>
        <v>JAM JAR WITH BLUE LID [22963]</v>
      </c>
    </row>
    <row r="2163" spans="1:9" x14ac:dyDescent="0.3">
      <c r="A2163" s="1">
        <v>22964</v>
      </c>
      <c r="B2163" t="s">
        <v>3984</v>
      </c>
      <c r="C2163" s="1">
        <v>2.16</v>
      </c>
      <c r="D2163" s="1">
        <v>157.5</v>
      </c>
      <c r="E2163" s="2">
        <v>197.21428571428501</v>
      </c>
      <c r="F2163" s="1">
        <v>14</v>
      </c>
      <c r="G2163" s="1">
        <v>5768.83</v>
      </c>
      <c r="H2163" s="1" t="s">
        <v>10</v>
      </c>
      <c r="I2163" t="str">
        <f t="shared" si="33"/>
        <v>3 PIECE SPACEBOY COOKIE CUTTER SET [22964]</v>
      </c>
    </row>
    <row r="2164" spans="1:9" x14ac:dyDescent="0.3">
      <c r="A2164" s="1">
        <v>22965</v>
      </c>
      <c r="B2164" t="s">
        <v>3983</v>
      </c>
      <c r="C2164" s="1">
        <v>2.12</v>
      </c>
      <c r="D2164" s="1">
        <v>95</v>
      </c>
      <c r="E2164" s="2">
        <v>108.35294117647</v>
      </c>
      <c r="F2164" s="1">
        <v>14</v>
      </c>
      <c r="G2164" s="1">
        <v>3834.04</v>
      </c>
      <c r="H2164" s="1" t="s">
        <v>10</v>
      </c>
      <c r="I2164" t="str">
        <f t="shared" si="33"/>
        <v>3 TRADITIONAl BISCUIT CUTTERS  SET [22965]</v>
      </c>
    </row>
    <row r="2165" spans="1:9" x14ac:dyDescent="0.3">
      <c r="A2165" s="1">
        <v>22966</v>
      </c>
      <c r="B2165" t="s">
        <v>3982</v>
      </c>
      <c r="C2165" s="1">
        <v>1.23</v>
      </c>
      <c r="D2165" s="1">
        <v>608.5</v>
      </c>
      <c r="E2165" s="2">
        <v>587.07142857142799</v>
      </c>
      <c r="F2165" s="1">
        <v>14</v>
      </c>
      <c r="G2165" s="1">
        <v>10131.26</v>
      </c>
      <c r="H2165" s="1" t="s">
        <v>10</v>
      </c>
      <c r="I2165" t="str">
        <f t="shared" si="33"/>
        <v>GINGERBREAD MAN COOKIE CUTTER [22966]</v>
      </c>
    </row>
    <row r="2166" spans="1:9" x14ac:dyDescent="0.3">
      <c r="A2166" s="1">
        <v>22967</v>
      </c>
      <c r="B2166" t="s">
        <v>3981</v>
      </c>
      <c r="C2166" s="1">
        <v>2.95</v>
      </c>
      <c r="D2166" s="1">
        <v>120</v>
      </c>
      <c r="E2166" s="2">
        <v>167.28571428571399</v>
      </c>
      <c r="F2166" s="1">
        <v>7</v>
      </c>
      <c r="G2166" s="1">
        <v>3271.41</v>
      </c>
      <c r="H2166" s="1" t="s">
        <v>10</v>
      </c>
      <c r="I2166" t="str">
        <f t="shared" si="33"/>
        <v>SET 3 SONG BIRD PAPER EGGS ASSORTED [22967]</v>
      </c>
    </row>
    <row r="2167" spans="1:9" x14ac:dyDescent="0.3">
      <c r="A2167" s="1">
        <v>22968</v>
      </c>
      <c r="B2167" t="s">
        <v>3980</v>
      </c>
      <c r="C2167" s="1">
        <v>9.9499999999999993</v>
      </c>
      <c r="D2167" s="1">
        <v>30</v>
      </c>
      <c r="E2167" s="2">
        <v>75.133333333333297</v>
      </c>
      <c r="F2167" s="1">
        <v>15</v>
      </c>
      <c r="G2167" s="1">
        <v>11184.82</v>
      </c>
      <c r="H2167" s="1" t="s">
        <v>9</v>
      </c>
      <c r="I2167" t="str">
        <f t="shared" si="33"/>
        <v>ROSE COTTAGE KEEPSAKE BOX [22968]</v>
      </c>
    </row>
    <row r="2168" spans="1:9" x14ac:dyDescent="0.3">
      <c r="A2168" s="1">
        <v>22969</v>
      </c>
      <c r="B2168" t="s">
        <v>3979</v>
      </c>
      <c r="C2168" s="2">
        <v>1.4849999999999901</v>
      </c>
      <c r="D2168" s="1">
        <v>897</v>
      </c>
      <c r="E2168" s="2">
        <v>1032.92857142857</v>
      </c>
      <c r="F2168" s="1">
        <v>14</v>
      </c>
      <c r="G2168" s="1">
        <v>21501.99</v>
      </c>
      <c r="H2168" s="1" t="s">
        <v>10</v>
      </c>
      <c r="I2168" t="str">
        <f t="shared" si="33"/>
        <v>HOMEMADE JAM SCENTED CANDLES [22969]</v>
      </c>
    </row>
    <row r="2169" spans="1:9" x14ac:dyDescent="0.3">
      <c r="A2169" s="1">
        <v>22970</v>
      </c>
      <c r="B2169" t="s">
        <v>3978</v>
      </c>
      <c r="C2169" s="1">
        <v>2.35</v>
      </c>
      <c r="D2169" s="1">
        <v>302</v>
      </c>
      <c r="E2169" s="2">
        <v>333.38461538461502</v>
      </c>
      <c r="F2169" s="1">
        <v>13</v>
      </c>
      <c r="G2169" s="1">
        <v>10140.6</v>
      </c>
      <c r="H2169" s="1" t="s">
        <v>10</v>
      </c>
      <c r="I2169" t="str">
        <f t="shared" si="33"/>
        <v>LONDON BUS COFFEE MUG [22970]</v>
      </c>
    </row>
    <row r="2170" spans="1:9" x14ac:dyDescent="0.3">
      <c r="A2170" s="1">
        <v>22971</v>
      </c>
      <c r="B2170" t="s">
        <v>3977</v>
      </c>
      <c r="C2170" s="1">
        <v>2.46</v>
      </c>
      <c r="D2170" s="1">
        <v>189</v>
      </c>
      <c r="E2170" s="1">
        <v>187</v>
      </c>
      <c r="F2170" s="1">
        <v>13</v>
      </c>
      <c r="G2170" s="1">
        <v>5849.29</v>
      </c>
      <c r="H2170" s="1" t="s">
        <v>10</v>
      </c>
      <c r="I2170" t="str">
        <f t="shared" si="33"/>
        <v>QUEENS GUARD COFFEE MUG [22971]</v>
      </c>
    </row>
    <row r="2171" spans="1:9" x14ac:dyDescent="0.3">
      <c r="A2171" s="1">
        <v>22972</v>
      </c>
      <c r="B2171" t="s">
        <v>3976</v>
      </c>
      <c r="C2171" s="1">
        <v>1.68</v>
      </c>
      <c r="D2171" s="1">
        <v>88</v>
      </c>
      <c r="E2171" s="1">
        <v>117.625</v>
      </c>
      <c r="F2171" s="1">
        <v>14</v>
      </c>
      <c r="G2171" s="1">
        <v>3219.74</v>
      </c>
      <c r="H2171" s="1" t="s">
        <v>10</v>
      </c>
      <c r="I2171" t="str">
        <f t="shared" si="33"/>
        <v>CHILDREN'S SPACEBOY MUG [22972]</v>
      </c>
    </row>
    <row r="2172" spans="1:9" x14ac:dyDescent="0.3">
      <c r="A2172" s="1">
        <v>22973</v>
      </c>
      <c r="B2172" t="s">
        <v>3975</v>
      </c>
      <c r="C2172" s="1">
        <v>1.68</v>
      </c>
      <c r="D2172" s="1">
        <v>79</v>
      </c>
      <c r="E2172" s="2">
        <v>90.733333333333306</v>
      </c>
      <c r="F2172" s="1">
        <v>14</v>
      </c>
      <c r="G2172" s="1">
        <v>2314.33</v>
      </c>
      <c r="H2172" s="1" t="s">
        <v>10</v>
      </c>
      <c r="I2172" t="str">
        <f t="shared" si="33"/>
        <v>CHILDREN'S CIRCUS PARADE MUG [22973]</v>
      </c>
    </row>
    <row r="2173" spans="1:9" x14ac:dyDescent="0.3">
      <c r="A2173" s="1">
        <v>22974</v>
      </c>
      <c r="B2173" t="s">
        <v>3974</v>
      </c>
      <c r="C2173" s="1">
        <v>1.7</v>
      </c>
      <c r="D2173" s="1">
        <v>91</v>
      </c>
      <c r="E2173" s="2">
        <v>116.85714285714199</v>
      </c>
      <c r="F2173" s="1">
        <v>14</v>
      </c>
      <c r="G2173" s="1">
        <v>2795.81</v>
      </c>
      <c r="H2173" s="1" t="s">
        <v>10</v>
      </c>
      <c r="I2173" t="str">
        <f t="shared" si="33"/>
        <v>CHILDRENS DOLLY GIRL MUG [22974]</v>
      </c>
    </row>
    <row r="2174" spans="1:9" x14ac:dyDescent="0.3">
      <c r="A2174" s="1">
        <v>22975</v>
      </c>
      <c r="B2174" t="s">
        <v>3973</v>
      </c>
      <c r="C2174" s="2">
        <v>1.325</v>
      </c>
      <c r="D2174" s="1">
        <v>80.5</v>
      </c>
      <c r="E2174" s="2">
        <v>88.928571428571402</v>
      </c>
      <c r="F2174" s="1">
        <v>14</v>
      </c>
      <c r="G2174" s="1">
        <v>1679.66</v>
      </c>
      <c r="H2174" s="1" t="s">
        <v>10</v>
      </c>
      <c r="I2174" t="str">
        <f t="shared" si="33"/>
        <v>SPACEBOY CHILDRENS EGG CUP [22975]</v>
      </c>
    </row>
    <row r="2175" spans="1:9" x14ac:dyDescent="0.3">
      <c r="A2175" s="1">
        <v>22976</v>
      </c>
      <c r="B2175" t="s">
        <v>3972</v>
      </c>
      <c r="C2175" s="2">
        <v>1.2849999999999999</v>
      </c>
      <c r="D2175" s="1">
        <v>78.5</v>
      </c>
      <c r="E2175" s="1">
        <v>80.5</v>
      </c>
      <c r="F2175" s="1">
        <v>14</v>
      </c>
      <c r="G2175" s="1">
        <v>1465.26</v>
      </c>
      <c r="H2175" s="1" t="s">
        <v>10</v>
      </c>
      <c r="I2175" t="str">
        <f t="shared" si="33"/>
        <v>CIRCUS PARADE CHILDRENS EGG CUP [22976]</v>
      </c>
    </row>
    <row r="2176" spans="1:9" x14ac:dyDescent="0.3">
      <c r="A2176" s="1">
        <v>22977</v>
      </c>
      <c r="B2176" t="s">
        <v>3971</v>
      </c>
      <c r="C2176" s="2">
        <v>1.3049999999999999</v>
      </c>
      <c r="D2176" s="1">
        <v>52.5</v>
      </c>
      <c r="E2176" s="2">
        <v>71.357142857142804</v>
      </c>
      <c r="F2176" s="1">
        <v>14</v>
      </c>
      <c r="G2176" s="1">
        <v>1313.86</v>
      </c>
      <c r="H2176" s="1" t="s">
        <v>9</v>
      </c>
      <c r="I2176" t="str">
        <f t="shared" si="33"/>
        <v>DOLLY GIRL CHILDRENS EGG CUP [22977]</v>
      </c>
    </row>
    <row r="2177" spans="1:9" x14ac:dyDescent="0.3">
      <c r="A2177" s="1">
        <v>22978</v>
      </c>
      <c r="B2177" t="s">
        <v>3970</v>
      </c>
      <c r="C2177" s="1">
        <v>3.77</v>
      </c>
      <c r="D2177" s="1">
        <v>143</v>
      </c>
      <c r="E2177" s="1">
        <v>224</v>
      </c>
      <c r="F2177" s="1">
        <v>11</v>
      </c>
      <c r="G2177" s="1">
        <v>9564.98</v>
      </c>
      <c r="H2177" s="1" t="s">
        <v>10</v>
      </c>
      <c r="I2177" t="str">
        <f t="shared" si="33"/>
        <v>PANTRY ROLLING PIN [22978]</v>
      </c>
    </row>
    <row r="2178" spans="1:9" x14ac:dyDescent="0.3">
      <c r="A2178" s="1">
        <v>22979</v>
      </c>
      <c r="B2178" t="s">
        <v>3969</v>
      </c>
      <c r="C2178" s="1">
        <v>1.5249999999999999</v>
      </c>
      <c r="D2178" s="1">
        <v>333</v>
      </c>
      <c r="E2178" s="1">
        <v>409</v>
      </c>
      <c r="F2178" s="1">
        <v>10</v>
      </c>
      <c r="G2178" s="1">
        <v>6391.82</v>
      </c>
      <c r="H2178" s="1" t="s">
        <v>10</v>
      </c>
      <c r="I2178" t="str">
        <f t="shared" si="33"/>
        <v>PANTRY WASHING UP BRUSH [22979]</v>
      </c>
    </row>
    <row r="2179" spans="1:9" x14ac:dyDescent="0.3">
      <c r="A2179" s="1">
        <v>22980</v>
      </c>
      <c r="B2179" t="s">
        <v>3968</v>
      </c>
      <c r="C2179" s="1">
        <v>1.64</v>
      </c>
      <c r="D2179" s="1">
        <v>173</v>
      </c>
      <c r="E2179" s="2">
        <v>214.81818181818099</v>
      </c>
      <c r="F2179" s="1">
        <v>11</v>
      </c>
      <c r="G2179" s="1">
        <v>3910.01</v>
      </c>
      <c r="H2179" s="1" t="s">
        <v>10</v>
      </c>
      <c r="I2179" t="str">
        <f t="shared" ref="I2179:I2242" si="34">B2179&amp;" ["&amp;A2179&amp;"]"</f>
        <v>PANTRY SCRUBBING BRUSH [22980]</v>
      </c>
    </row>
    <row r="2180" spans="1:9" x14ac:dyDescent="0.3">
      <c r="A2180" s="1">
        <v>22981</v>
      </c>
      <c r="B2180" t="s">
        <v>3967</v>
      </c>
      <c r="C2180" s="1">
        <v>1.6</v>
      </c>
      <c r="D2180" s="1">
        <v>30.5</v>
      </c>
      <c r="E2180" s="1">
        <v>47.1</v>
      </c>
      <c r="F2180" s="1">
        <v>10</v>
      </c>
      <c r="G2180" s="1">
        <v>704.13</v>
      </c>
      <c r="H2180" s="1" t="s">
        <v>9</v>
      </c>
      <c r="I2180" t="str">
        <f t="shared" si="34"/>
        <v>PANTRY APPLE CORER [22981]</v>
      </c>
    </row>
    <row r="2181" spans="1:9" x14ac:dyDescent="0.3">
      <c r="A2181" s="1">
        <v>22982</v>
      </c>
      <c r="B2181" t="s">
        <v>3966</v>
      </c>
      <c r="C2181" s="1">
        <v>1.34</v>
      </c>
      <c r="D2181" s="1">
        <v>82.5</v>
      </c>
      <c r="E2181" s="1">
        <v>115.4</v>
      </c>
      <c r="F2181" s="1">
        <v>10</v>
      </c>
      <c r="G2181" s="1">
        <v>1543.77</v>
      </c>
      <c r="H2181" s="1" t="s">
        <v>10</v>
      </c>
      <c r="I2181" t="str">
        <f t="shared" si="34"/>
        <v>PANTRY PASTRY BRUSH [22982]</v>
      </c>
    </row>
    <row r="2182" spans="1:9" x14ac:dyDescent="0.3">
      <c r="A2182" s="1">
        <v>22983</v>
      </c>
      <c r="B2182" t="s">
        <v>3965</v>
      </c>
      <c r="C2182" s="1">
        <v>0.43</v>
      </c>
      <c r="D2182" s="1">
        <v>376</v>
      </c>
      <c r="E2182" s="2">
        <v>393.82352941176401</v>
      </c>
      <c r="F2182" s="1">
        <v>16</v>
      </c>
      <c r="G2182" s="1">
        <v>2843.55</v>
      </c>
      <c r="H2182" s="1" t="s">
        <v>10</v>
      </c>
      <c r="I2182" t="str">
        <f t="shared" si="34"/>
        <v>CARD, BILLBOARD FONT [22983]</v>
      </c>
    </row>
    <row r="2183" spans="1:9" x14ac:dyDescent="0.3">
      <c r="A2183" s="1">
        <v>22984</v>
      </c>
      <c r="B2183" t="s">
        <v>3964</v>
      </c>
      <c r="C2183" s="1">
        <v>0.42</v>
      </c>
      <c r="D2183" s="1">
        <v>208</v>
      </c>
      <c r="E2183" s="1">
        <v>197</v>
      </c>
      <c r="F2183" s="1">
        <v>16</v>
      </c>
      <c r="G2183" s="1">
        <v>1370.73</v>
      </c>
      <c r="H2183" s="1" t="s">
        <v>10</v>
      </c>
      <c r="I2183" t="str">
        <f t="shared" si="34"/>
        <v>CARD, GINGHAM ROSE [22984]</v>
      </c>
    </row>
    <row r="2184" spans="1:9" x14ac:dyDescent="0.3">
      <c r="A2184" s="1">
        <v>22985</v>
      </c>
      <c r="B2184" t="s">
        <v>3963</v>
      </c>
      <c r="C2184" s="1">
        <v>0.42</v>
      </c>
      <c r="D2184" s="1">
        <v>175</v>
      </c>
      <c r="E2184" s="2">
        <v>248.52631578947299</v>
      </c>
      <c r="F2184" s="1">
        <v>16</v>
      </c>
      <c r="G2184" s="1">
        <v>1895.24</v>
      </c>
      <c r="H2184" s="1" t="s">
        <v>10</v>
      </c>
      <c r="I2184" t="str">
        <f t="shared" si="34"/>
        <v>WRAP, BILLBOARD FONTS DESIGN [22985]</v>
      </c>
    </row>
    <row r="2185" spans="1:9" x14ac:dyDescent="0.3">
      <c r="A2185" s="1">
        <v>22986</v>
      </c>
      <c r="B2185" t="s">
        <v>3962</v>
      </c>
      <c r="C2185" s="1">
        <v>0.42</v>
      </c>
      <c r="D2185" s="1">
        <v>350</v>
      </c>
      <c r="E2185" s="2">
        <v>340.88235294117601</v>
      </c>
      <c r="F2185" s="1">
        <v>16</v>
      </c>
      <c r="G2185" s="1">
        <v>2389.9</v>
      </c>
      <c r="H2185" s="1" t="s">
        <v>10</v>
      </c>
      <c r="I2185" t="str">
        <f t="shared" si="34"/>
        <v>GINGHAM ROSE WRAP [22986]</v>
      </c>
    </row>
    <row r="2186" spans="1:9" x14ac:dyDescent="0.3">
      <c r="A2186" s="1">
        <v>22987</v>
      </c>
      <c r="B2186" t="s">
        <v>3961</v>
      </c>
      <c r="C2186" s="1">
        <v>0.42</v>
      </c>
      <c r="D2186" s="1">
        <v>25</v>
      </c>
      <c r="E2186" s="1">
        <v>31.5</v>
      </c>
      <c r="F2186" s="1">
        <v>8</v>
      </c>
      <c r="G2186" s="1">
        <v>105.84</v>
      </c>
      <c r="H2186" s="1" t="s">
        <v>9</v>
      </c>
      <c r="I2186" t="str">
        <f t="shared" si="34"/>
        <v>WRAP , SUMMER ROSE DESIGN [22987]</v>
      </c>
    </row>
    <row r="2187" spans="1:9" x14ac:dyDescent="0.3">
      <c r="A2187" s="1">
        <v>22988</v>
      </c>
      <c r="B2187" t="s">
        <v>3960</v>
      </c>
      <c r="C2187" s="1">
        <v>1.2</v>
      </c>
      <c r="D2187" s="1">
        <v>753</v>
      </c>
      <c r="E2187" s="2">
        <v>720.23076923076906</v>
      </c>
      <c r="F2187" s="1">
        <v>13</v>
      </c>
      <c r="G2187" s="1">
        <v>11238.45</v>
      </c>
      <c r="H2187" s="1" t="s">
        <v>10</v>
      </c>
      <c r="I2187" t="str">
        <f t="shared" si="34"/>
        <v>SOLDIERS EGG CUP [22988]</v>
      </c>
    </row>
    <row r="2188" spans="1:9" x14ac:dyDescent="0.3">
      <c r="A2188" s="1">
        <v>22989</v>
      </c>
      <c r="B2188" t="s">
        <v>3959</v>
      </c>
      <c r="C2188" s="1">
        <v>3.27</v>
      </c>
      <c r="D2188" s="1">
        <v>215</v>
      </c>
      <c r="E2188" s="2">
        <v>255.54545454545399</v>
      </c>
      <c r="F2188" s="1">
        <v>11</v>
      </c>
      <c r="G2188" s="1">
        <v>8999.27</v>
      </c>
      <c r="H2188" s="1" t="s">
        <v>10</v>
      </c>
      <c r="I2188" t="str">
        <f t="shared" si="34"/>
        <v>SET 2 PANTRY DESIGN TEA TOWELS [22989]</v>
      </c>
    </row>
    <row r="2189" spans="1:9" x14ac:dyDescent="0.3">
      <c r="A2189" s="1">
        <v>22990</v>
      </c>
      <c r="B2189" t="s">
        <v>3958</v>
      </c>
      <c r="C2189" s="1">
        <v>4.95</v>
      </c>
      <c r="D2189" s="1">
        <v>35</v>
      </c>
      <c r="E2189" s="2">
        <v>57.545454545454497</v>
      </c>
      <c r="F2189" s="1">
        <v>11</v>
      </c>
      <c r="G2189" s="1">
        <v>2917.43</v>
      </c>
      <c r="H2189" s="1" t="s">
        <v>9</v>
      </c>
      <c r="I2189" t="str">
        <f t="shared" si="34"/>
        <v>COTTON APRON PANTRY DESIGN [22990]</v>
      </c>
    </row>
    <row r="2190" spans="1:9" x14ac:dyDescent="0.3">
      <c r="A2190" s="1">
        <v>22991</v>
      </c>
      <c r="B2190" t="s">
        <v>3957</v>
      </c>
      <c r="C2190" s="1">
        <v>1.95</v>
      </c>
      <c r="D2190" s="1">
        <v>273</v>
      </c>
      <c r="E2190" s="2">
        <v>353.36363636363598</v>
      </c>
      <c r="F2190" s="1">
        <v>11</v>
      </c>
      <c r="G2190" s="1">
        <v>7604.89</v>
      </c>
      <c r="H2190" s="1" t="s">
        <v>10</v>
      </c>
      <c r="I2190" t="str">
        <f t="shared" si="34"/>
        <v>GIRAFFE WOODEN RULER [22991]</v>
      </c>
    </row>
    <row r="2191" spans="1:9" x14ac:dyDescent="0.3">
      <c r="A2191" s="1">
        <v>22992</v>
      </c>
      <c r="B2191" t="s">
        <v>3956</v>
      </c>
      <c r="C2191" s="1">
        <v>1.95</v>
      </c>
      <c r="D2191" s="1">
        <v>330</v>
      </c>
      <c r="E2191" s="2">
        <v>475.72727272727201</v>
      </c>
      <c r="F2191" s="1">
        <v>11</v>
      </c>
      <c r="G2191" s="1">
        <v>10373.99</v>
      </c>
      <c r="H2191" s="1" t="s">
        <v>10</v>
      </c>
      <c r="I2191" t="str">
        <f t="shared" si="34"/>
        <v>REVOLVER WOODEN RULER [22992]</v>
      </c>
    </row>
    <row r="2192" spans="1:9" x14ac:dyDescent="0.3">
      <c r="A2192" s="1">
        <v>22993</v>
      </c>
      <c r="B2192" t="s">
        <v>3955</v>
      </c>
      <c r="C2192" s="1">
        <v>1.26</v>
      </c>
      <c r="D2192" s="1">
        <v>1185</v>
      </c>
      <c r="E2192" s="2">
        <v>1149.9090909090901</v>
      </c>
      <c r="F2192" s="1">
        <v>11</v>
      </c>
      <c r="G2192" s="1">
        <v>16478.48</v>
      </c>
      <c r="H2192" s="1" t="s">
        <v>10</v>
      </c>
      <c r="I2192" t="str">
        <f t="shared" si="34"/>
        <v>SET OF 4 PANTRY JELLY MOULDS [22993]</v>
      </c>
    </row>
    <row r="2193" spans="1:9" x14ac:dyDescent="0.3">
      <c r="A2193" s="1">
        <v>22994</v>
      </c>
      <c r="B2193" t="s">
        <v>3954</v>
      </c>
      <c r="C2193" s="1">
        <v>0.44</v>
      </c>
      <c r="D2193" s="1">
        <v>170</v>
      </c>
      <c r="E2193" s="2">
        <v>199.45454545454501</v>
      </c>
      <c r="F2193" s="1">
        <v>11</v>
      </c>
      <c r="G2193" s="1">
        <v>956.94</v>
      </c>
      <c r="H2193" s="1" t="s">
        <v>10</v>
      </c>
      <c r="I2193" t="str">
        <f t="shared" si="34"/>
        <v>TRAVEL CARD WALLET RETROSPOT [22994]</v>
      </c>
    </row>
    <row r="2194" spans="1:9" x14ac:dyDescent="0.3">
      <c r="A2194" s="1">
        <v>22995</v>
      </c>
      <c r="B2194" t="s">
        <v>3953</v>
      </c>
      <c r="C2194" s="1">
        <v>0.44</v>
      </c>
      <c r="D2194" s="1">
        <v>213</v>
      </c>
      <c r="E2194" s="2">
        <v>216.45454545454501</v>
      </c>
      <c r="F2194" s="1">
        <v>11</v>
      </c>
      <c r="G2194" s="2">
        <v>1058.6399999999901</v>
      </c>
      <c r="H2194" s="1" t="s">
        <v>10</v>
      </c>
      <c r="I2194" t="str">
        <f t="shared" si="34"/>
        <v>TRAVEL CARD WALLET SUKI [22995]</v>
      </c>
    </row>
    <row r="2195" spans="1:9" x14ac:dyDescent="0.3">
      <c r="A2195" s="1">
        <v>22996</v>
      </c>
      <c r="B2195" t="s">
        <v>3952</v>
      </c>
      <c r="C2195" s="1">
        <v>0.44</v>
      </c>
      <c r="D2195" s="1">
        <v>463</v>
      </c>
      <c r="E2195" s="2">
        <v>436.45454545454498</v>
      </c>
      <c r="F2195" s="1">
        <v>11</v>
      </c>
      <c r="G2195" s="1">
        <v>2094.9299999999998</v>
      </c>
      <c r="H2195" s="1" t="s">
        <v>10</v>
      </c>
      <c r="I2195" t="str">
        <f t="shared" si="34"/>
        <v>TRAVEL CARD WALLET VINTAGE TICKET [22996]</v>
      </c>
    </row>
    <row r="2196" spans="1:9" x14ac:dyDescent="0.3">
      <c r="A2196" s="1">
        <v>22997</v>
      </c>
      <c r="B2196" t="s">
        <v>3951</v>
      </c>
      <c r="C2196" s="1">
        <v>0.43</v>
      </c>
      <c r="D2196" s="1">
        <v>217</v>
      </c>
      <c r="E2196" s="2">
        <v>231.363636363636</v>
      </c>
      <c r="F2196" s="1">
        <v>11</v>
      </c>
      <c r="G2196" s="1">
        <v>1094.93</v>
      </c>
      <c r="H2196" s="1" t="s">
        <v>10</v>
      </c>
      <c r="I2196" t="str">
        <f t="shared" si="34"/>
        <v>TRAVEL CARD WALLET UNION JACK [22997]</v>
      </c>
    </row>
    <row r="2197" spans="1:9" x14ac:dyDescent="0.3">
      <c r="A2197" s="1">
        <v>22998</v>
      </c>
      <c r="B2197" t="s">
        <v>3950</v>
      </c>
      <c r="C2197" s="1">
        <v>0.42</v>
      </c>
      <c r="D2197" s="1">
        <v>1385</v>
      </c>
      <c r="E2197" s="2">
        <v>1124.1818181818101</v>
      </c>
      <c r="F2197" s="1">
        <v>11</v>
      </c>
      <c r="G2197" s="1">
        <v>5262.82</v>
      </c>
      <c r="H2197" s="1" t="s">
        <v>10</v>
      </c>
      <c r="I2197" t="str">
        <f t="shared" si="34"/>
        <v>TRAVEL CARD WALLET KEEP CALM [22998]</v>
      </c>
    </row>
    <row r="2198" spans="1:9" x14ac:dyDescent="0.3">
      <c r="A2198" s="1">
        <v>22999</v>
      </c>
      <c r="B2198" t="s">
        <v>3949</v>
      </c>
      <c r="C2198" s="1">
        <v>0.42</v>
      </c>
      <c r="D2198" s="1">
        <v>227</v>
      </c>
      <c r="E2198" s="2">
        <v>263.09090909090901</v>
      </c>
      <c r="F2198" s="1">
        <v>11</v>
      </c>
      <c r="G2198" s="1">
        <v>1252.5899999999999</v>
      </c>
      <c r="H2198" s="1" t="s">
        <v>10</v>
      </c>
      <c r="I2198" t="str">
        <f t="shared" si="34"/>
        <v>TRAVEL CARD WALLET RETRO PETALS [22999]</v>
      </c>
    </row>
    <row r="2199" spans="1:9" x14ac:dyDescent="0.3">
      <c r="A2199" s="1">
        <v>23000</v>
      </c>
      <c r="B2199" t="s">
        <v>3948</v>
      </c>
      <c r="C2199" s="1">
        <v>0.43</v>
      </c>
      <c r="D2199" s="1">
        <v>302</v>
      </c>
      <c r="E2199" s="2">
        <v>288.09090909090901</v>
      </c>
      <c r="F2199" s="1">
        <v>11</v>
      </c>
      <c r="G2199" s="1">
        <v>1368.28</v>
      </c>
      <c r="H2199" s="1" t="s">
        <v>10</v>
      </c>
      <c r="I2199" t="str">
        <f t="shared" si="34"/>
        <v>TRAVEL CARD WALLET TRANSPORT [23000]</v>
      </c>
    </row>
    <row r="2200" spans="1:9" x14ac:dyDescent="0.3">
      <c r="A2200" s="1">
        <v>23002</v>
      </c>
      <c r="B2200" t="s">
        <v>3947</v>
      </c>
      <c r="C2200" s="1">
        <v>0.43</v>
      </c>
      <c r="D2200" s="1">
        <v>176</v>
      </c>
      <c r="E2200" s="2">
        <v>192.636363636363</v>
      </c>
      <c r="F2200" s="1">
        <v>11</v>
      </c>
      <c r="G2200" s="1">
        <v>914.37</v>
      </c>
      <c r="H2200" s="1" t="s">
        <v>10</v>
      </c>
      <c r="I2200" t="str">
        <f t="shared" si="34"/>
        <v>TRAVEL CARD WALLET SKULLS [23002]</v>
      </c>
    </row>
    <row r="2201" spans="1:9" x14ac:dyDescent="0.3">
      <c r="A2201" s="1">
        <v>23003</v>
      </c>
      <c r="B2201" t="s">
        <v>3946</v>
      </c>
      <c r="C2201" s="1">
        <v>0.42</v>
      </c>
      <c r="D2201" s="1">
        <v>77</v>
      </c>
      <c r="E2201" s="1">
        <v>108.4</v>
      </c>
      <c r="F2201" s="1">
        <v>5</v>
      </c>
      <c r="G2201" s="2">
        <v>226.2</v>
      </c>
      <c r="H2201" s="1" t="s">
        <v>10</v>
      </c>
      <c r="I2201" t="str">
        <f t="shared" si="34"/>
        <v>TRAVEL CARD WALLET VINTAGE ROSE [23003]</v>
      </c>
    </row>
    <row r="2202" spans="1:9" x14ac:dyDescent="0.3">
      <c r="A2202" s="1">
        <v>23004</v>
      </c>
      <c r="B2202" t="s">
        <v>3945</v>
      </c>
      <c r="C2202" s="1">
        <v>0.45</v>
      </c>
      <c r="D2202" s="1">
        <v>172</v>
      </c>
      <c r="E2202" s="1">
        <v>182</v>
      </c>
      <c r="F2202" s="1">
        <v>11</v>
      </c>
      <c r="G2202" s="1">
        <v>903.16</v>
      </c>
      <c r="H2202" s="1" t="s">
        <v>10</v>
      </c>
      <c r="I2202" t="str">
        <f t="shared" si="34"/>
        <v>TRAVEL CARD WALLET PANTRY [23004]</v>
      </c>
    </row>
    <row r="2203" spans="1:9" x14ac:dyDescent="0.3">
      <c r="A2203" s="1">
        <v>23005</v>
      </c>
      <c r="B2203" t="s">
        <v>3944</v>
      </c>
      <c r="C2203" s="1">
        <v>0.42499999999999999</v>
      </c>
      <c r="D2203" s="1">
        <v>578</v>
      </c>
      <c r="E2203" s="1">
        <v>591.625</v>
      </c>
      <c r="F2203" s="1">
        <v>8</v>
      </c>
      <c r="G2203" s="1">
        <v>2126.5500000000002</v>
      </c>
      <c r="H2203" s="1" t="s">
        <v>10</v>
      </c>
      <c r="I2203" t="str">
        <f t="shared" si="34"/>
        <v>TRAVEL CARD WALLET I LOVE LONDON [23005]</v>
      </c>
    </row>
    <row r="2204" spans="1:9" x14ac:dyDescent="0.3">
      <c r="A2204" s="1">
        <v>23006</v>
      </c>
      <c r="B2204" t="s">
        <v>3943</v>
      </c>
      <c r="C2204" s="1">
        <v>0.43</v>
      </c>
      <c r="D2204" s="1">
        <v>170</v>
      </c>
      <c r="E2204" s="2">
        <v>159.81818181818099</v>
      </c>
      <c r="F2204" s="1">
        <v>11</v>
      </c>
      <c r="G2204" s="1">
        <v>762.75</v>
      </c>
      <c r="H2204" s="1" t="s">
        <v>10</v>
      </c>
      <c r="I2204" t="str">
        <f t="shared" si="34"/>
        <v>TRAVEL CARD WALLET FLOWER MEADOW [23006]</v>
      </c>
    </row>
    <row r="2205" spans="1:9" x14ac:dyDescent="0.3">
      <c r="A2205" s="1">
        <v>23007</v>
      </c>
      <c r="B2205" t="s">
        <v>3942</v>
      </c>
      <c r="C2205" s="1">
        <v>15.7</v>
      </c>
      <c r="D2205" s="1">
        <v>46</v>
      </c>
      <c r="E2205" s="1">
        <v>49.8</v>
      </c>
      <c r="F2205" s="1">
        <v>10</v>
      </c>
      <c r="G2205" s="1">
        <v>7741.75</v>
      </c>
      <c r="H2205" s="1" t="s">
        <v>9</v>
      </c>
      <c r="I2205" t="str">
        <f t="shared" si="34"/>
        <v>SPACEBOY BABY GIFT SET [23007]</v>
      </c>
    </row>
    <row r="2206" spans="1:9" x14ac:dyDescent="0.3">
      <c r="A2206" s="1">
        <v>23008</v>
      </c>
      <c r="B2206" t="s">
        <v>3941</v>
      </c>
      <c r="C2206" s="1">
        <v>15.62</v>
      </c>
      <c r="D2206" s="1">
        <v>41</v>
      </c>
      <c r="E2206" s="1">
        <v>43.3</v>
      </c>
      <c r="F2206" s="1">
        <v>10</v>
      </c>
      <c r="G2206" s="1">
        <v>6719.61</v>
      </c>
      <c r="H2206" s="1" t="s">
        <v>9</v>
      </c>
      <c r="I2206" t="str">
        <f t="shared" si="34"/>
        <v>DOLLY GIRL BABY GIFT SET [23008]</v>
      </c>
    </row>
    <row r="2207" spans="1:9" x14ac:dyDescent="0.3">
      <c r="A2207" s="1">
        <v>23009</v>
      </c>
      <c r="B2207" t="s">
        <v>3940</v>
      </c>
      <c r="C2207" s="1">
        <v>15.99</v>
      </c>
      <c r="D2207" s="1">
        <v>21</v>
      </c>
      <c r="E2207" s="1">
        <v>26.3</v>
      </c>
      <c r="F2207" s="1">
        <v>10</v>
      </c>
      <c r="G2207" s="1">
        <v>4082.52</v>
      </c>
      <c r="H2207" s="1" t="s">
        <v>9</v>
      </c>
      <c r="I2207" t="str">
        <f t="shared" si="34"/>
        <v>I LOVE LONDON BABY GIFT SET [23009]</v>
      </c>
    </row>
    <row r="2208" spans="1:9" x14ac:dyDescent="0.3">
      <c r="A2208" s="1">
        <v>23010</v>
      </c>
      <c r="B2208" t="s">
        <v>3939</v>
      </c>
      <c r="C2208" s="2">
        <v>15.434999999999899</v>
      </c>
      <c r="D2208" s="1">
        <v>20</v>
      </c>
      <c r="E2208" s="1">
        <v>31.5</v>
      </c>
      <c r="F2208" s="1">
        <v>10</v>
      </c>
      <c r="G2208" s="2">
        <v>4879.5999999999904</v>
      </c>
      <c r="H2208" s="1" t="s">
        <v>9</v>
      </c>
      <c r="I2208" t="str">
        <f t="shared" si="34"/>
        <v>CIRCUS PARADE BABY GIFT SET [23010]</v>
      </c>
    </row>
    <row r="2209" spans="1:9" x14ac:dyDescent="0.3">
      <c r="A2209" s="1">
        <v>23012</v>
      </c>
      <c r="B2209" t="s">
        <v>3938</v>
      </c>
      <c r="C2209" s="1">
        <v>3.97</v>
      </c>
      <c r="D2209" s="1">
        <v>133</v>
      </c>
      <c r="E2209" s="1">
        <v>153</v>
      </c>
      <c r="F2209" s="1">
        <v>7</v>
      </c>
      <c r="G2209" s="1">
        <v>4197.1099999999997</v>
      </c>
      <c r="H2209" s="1" t="s">
        <v>10</v>
      </c>
      <c r="I2209" t="str">
        <f t="shared" si="34"/>
        <v>GLASS APOTHECARY BOTTLE PERFUME [23012]</v>
      </c>
    </row>
    <row r="2210" spans="1:9" x14ac:dyDescent="0.3">
      <c r="A2210" s="1">
        <v>23013</v>
      </c>
      <c r="B2210" t="s">
        <v>3937</v>
      </c>
      <c r="C2210" s="1">
        <v>3.88</v>
      </c>
      <c r="D2210" s="1">
        <v>121</v>
      </c>
      <c r="E2210" s="1">
        <v>132</v>
      </c>
      <c r="F2210" s="1">
        <v>7</v>
      </c>
      <c r="G2210" s="1">
        <v>3674.16</v>
      </c>
      <c r="H2210" s="1" t="s">
        <v>10</v>
      </c>
      <c r="I2210" t="str">
        <f t="shared" si="34"/>
        <v>GLASS APOTHECARY BOTTLE TONIC [23013]</v>
      </c>
    </row>
    <row r="2211" spans="1:9" x14ac:dyDescent="0.3">
      <c r="A2211" s="1">
        <v>23014</v>
      </c>
      <c r="B2211" t="s">
        <v>3936</v>
      </c>
      <c r="C2211" s="1">
        <v>3.93</v>
      </c>
      <c r="D2211" s="1">
        <v>110</v>
      </c>
      <c r="E2211" s="2">
        <v>122.28571428571399</v>
      </c>
      <c r="F2211" s="1">
        <v>7</v>
      </c>
      <c r="G2211" s="1">
        <v>3419.58</v>
      </c>
      <c r="H2211" s="1" t="s">
        <v>10</v>
      </c>
      <c r="I2211" t="str">
        <f t="shared" si="34"/>
        <v>GLASS APOTHECARY BOTTLE ELIXIR [23014]</v>
      </c>
    </row>
    <row r="2212" spans="1:9" x14ac:dyDescent="0.3">
      <c r="A2212" s="1">
        <v>23015</v>
      </c>
      <c r="B2212" t="s">
        <v>3935</v>
      </c>
      <c r="C2212" s="1">
        <v>8.25</v>
      </c>
      <c r="D2212" s="1">
        <v>4</v>
      </c>
      <c r="E2212" s="1">
        <v>5</v>
      </c>
      <c r="F2212" s="1">
        <v>6</v>
      </c>
      <c r="G2212" s="1">
        <v>338.38</v>
      </c>
      <c r="H2212" s="1" t="s">
        <v>8</v>
      </c>
      <c r="I2212" t="str">
        <f t="shared" si="34"/>
        <v>CORDIAL GLASS JUG [23015]</v>
      </c>
    </row>
    <row r="2213" spans="1:9" x14ac:dyDescent="0.3">
      <c r="A2213" s="1">
        <v>23016</v>
      </c>
      <c r="B2213" t="s">
        <v>3934</v>
      </c>
      <c r="C2213" s="1">
        <v>7.85</v>
      </c>
      <c r="D2213" s="1">
        <v>9</v>
      </c>
      <c r="E2213" s="2">
        <v>10.5714285714285</v>
      </c>
      <c r="F2213" s="1">
        <v>7</v>
      </c>
      <c r="G2213" s="1">
        <v>575.25</v>
      </c>
      <c r="H2213" s="1" t="s">
        <v>8</v>
      </c>
      <c r="I2213" t="str">
        <f t="shared" si="34"/>
        <v>GLASS TWIST BON BON JAR [23016]</v>
      </c>
    </row>
    <row r="2214" spans="1:9" x14ac:dyDescent="0.3">
      <c r="A2214" s="1">
        <v>23017</v>
      </c>
      <c r="B2214" t="s">
        <v>3933</v>
      </c>
      <c r="C2214" s="1">
        <v>11.76</v>
      </c>
      <c r="D2214" s="1">
        <v>10</v>
      </c>
      <c r="E2214" s="2">
        <v>9.5714285714285694</v>
      </c>
      <c r="F2214" s="1">
        <v>7</v>
      </c>
      <c r="G2214" s="1">
        <v>826.28</v>
      </c>
      <c r="H2214" s="1" t="s">
        <v>9</v>
      </c>
      <c r="I2214" t="str">
        <f t="shared" si="34"/>
        <v>APOTHECARY MEASURING JAR [23017]</v>
      </c>
    </row>
    <row r="2215" spans="1:9" x14ac:dyDescent="0.3">
      <c r="A2215" s="1">
        <v>23018</v>
      </c>
      <c r="B2215" t="s">
        <v>3932</v>
      </c>
      <c r="C2215" s="1">
        <v>12.21</v>
      </c>
      <c r="D2215" s="1">
        <v>9</v>
      </c>
      <c r="E2215" s="1">
        <v>8.5</v>
      </c>
      <c r="F2215" s="1">
        <v>6</v>
      </c>
      <c r="G2215" s="1">
        <v>612.16</v>
      </c>
      <c r="H2215" s="1" t="s">
        <v>8</v>
      </c>
      <c r="I2215" t="str">
        <f t="shared" si="34"/>
        <v>LARGE APOTHECARY MEASURING JAR [23018]</v>
      </c>
    </row>
    <row r="2216" spans="1:9" x14ac:dyDescent="0.3">
      <c r="A2216" s="1">
        <v>23019</v>
      </c>
      <c r="B2216" t="s">
        <v>3931</v>
      </c>
      <c r="C2216" s="1">
        <v>7.85</v>
      </c>
      <c r="D2216" s="1">
        <v>12</v>
      </c>
      <c r="E2216" s="2">
        <v>11.5714285714285</v>
      </c>
      <c r="F2216" s="1">
        <v>7</v>
      </c>
      <c r="G2216" s="1">
        <v>629.04999999999995</v>
      </c>
      <c r="H2216" s="1" t="s">
        <v>9</v>
      </c>
      <c r="I2216" t="str">
        <f t="shared" si="34"/>
        <v>SMALL APOTHECARY MEASURING JAR [23019]</v>
      </c>
    </row>
    <row r="2217" spans="1:9" x14ac:dyDescent="0.3">
      <c r="A2217" s="1">
        <v>23020</v>
      </c>
      <c r="B2217" t="s">
        <v>3930</v>
      </c>
      <c r="C2217" s="2">
        <v>12.315</v>
      </c>
      <c r="D2217" s="1">
        <v>19</v>
      </c>
      <c r="E2217" s="1">
        <v>18</v>
      </c>
      <c r="F2217" s="1">
        <v>7</v>
      </c>
      <c r="G2217" s="1">
        <v>2191.84</v>
      </c>
      <c r="H2217" s="1" t="s">
        <v>9</v>
      </c>
      <c r="I2217" t="str">
        <f t="shared" si="34"/>
        <v>GLASS  SONGBIRD STORAGE JAR [23020]</v>
      </c>
    </row>
    <row r="2218" spans="1:9" x14ac:dyDescent="0.3">
      <c r="A2218" s="1">
        <v>23021</v>
      </c>
      <c r="B2218" t="s">
        <v>3929</v>
      </c>
      <c r="C2218" s="1">
        <v>4.1500000000000004</v>
      </c>
      <c r="D2218" s="1">
        <v>9</v>
      </c>
      <c r="E2218" s="2">
        <v>17.1428571428571</v>
      </c>
      <c r="F2218" s="1">
        <v>7</v>
      </c>
      <c r="G2218" s="1">
        <v>500.82</v>
      </c>
      <c r="H2218" s="1" t="s">
        <v>8</v>
      </c>
      <c r="I2218" t="str">
        <f t="shared" si="34"/>
        <v>GLASS BONNE JAM JAR [23021]</v>
      </c>
    </row>
    <row r="2219" spans="1:9" x14ac:dyDescent="0.3">
      <c r="A2219" s="1">
        <v>23022</v>
      </c>
      <c r="B2219" t="s">
        <v>3928</v>
      </c>
      <c r="C2219" s="1">
        <v>1.94</v>
      </c>
      <c r="D2219" s="1">
        <v>48</v>
      </c>
      <c r="E2219" s="2">
        <v>60.285714285714199</v>
      </c>
      <c r="F2219" s="1">
        <v>7</v>
      </c>
      <c r="G2219" s="1">
        <v>808.16</v>
      </c>
      <c r="H2219" s="1" t="s">
        <v>9</v>
      </c>
      <c r="I2219" t="str">
        <f t="shared" si="34"/>
        <v>SMALL BONNE JAM JAR  T-LIGHT HOLDER [23022]</v>
      </c>
    </row>
    <row r="2220" spans="1:9" x14ac:dyDescent="0.3">
      <c r="A2220" s="1">
        <v>23023</v>
      </c>
      <c r="B2220" t="s">
        <v>3927</v>
      </c>
      <c r="C2220" s="1">
        <v>1.65</v>
      </c>
      <c r="D2220" s="1">
        <v>43</v>
      </c>
      <c r="E2220" s="2">
        <v>39.142857142857103</v>
      </c>
      <c r="F2220" s="1">
        <v>7</v>
      </c>
      <c r="G2220" s="1">
        <v>437.82</v>
      </c>
      <c r="H2220" s="1" t="s">
        <v>9</v>
      </c>
      <c r="I2220" t="str">
        <f t="shared" si="34"/>
        <v>RIDGED BONNE JAM JAR T-LIGHT HOLDER [23023]</v>
      </c>
    </row>
    <row r="2221" spans="1:9" x14ac:dyDescent="0.3">
      <c r="A2221" s="1">
        <v>23024</v>
      </c>
      <c r="B2221" t="s">
        <v>3926</v>
      </c>
      <c r="C2221" s="2">
        <v>2.78</v>
      </c>
      <c r="D2221" s="1">
        <v>30</v>
      </c>
      <c r="E2221" s="1">
        <v>42.5</v>
      </c>
      <c r="F2221" s="1">
        <v>6</v>
      </c>
      <c r="G2221" s="1">
        <v>667.85</v>
      </c>
      <c r="H2221" s="1" t="s">
        <v>9</v>
      </c>
      <c r="I2221" t="str">
        <f t="shared" si="34"/>
        <v>LARGE BONNE JAM JAR  T-LIGHT HOLDER [23024]</v>
      </c>
    </row>
    <row r="2222" spans="1:9" x14ac:dyDescent="0.3">
      <c r="A2222" s="1">
        <v>23025</v>
      </c>
      <c r="B2222" t="s">
        <v>3925</v>
      </c>
      <c r="C2222" s="1">
        <v>2.08</v>
      </c>
      <c r="D2222" s="1">
        <v>46</v>
      </c>
      <c r="E2222" s="1">
        <v>50</v>
      </c>
      <c r="F2222" s="1">
        <v>7</v>
      </c>
      <c r="G2222" s="1">
        <v>760.8</v>
      </c>
      <c r="H2222" s="1" t="s">
        <v>9</v>
      </c>
      <c r="I2222" t="str">
        <f t="shared" si="34"/>
        <v>DRAWER KNOB VINTAGE GLASS BALL [23025]</v>
      </c>
    </row>
    <row r="2223" spans="1:9" x14ac:dyDescent="0.3">
      <c r="A2223" s="1">
        <v>23026</v>
      </c>
      <c r="B2223" t="s">
        <v>3924</v>
      </c>
      <c r="C2223" s="1">
        <v>2.2000000000000002</v>
      </c>
      <c r="D2223" s="1">
        <v>69</v>
      </c>
      <c r="E2223" s="2">
        <v>79.428571428571402</v>
      </c>
      <c r="F2223" s="1">
        <v>7</v>
      </c>
      <c r="G2223" s="1">
        <v>1198.96</v>
      </c>
      <c r="H2223" s="1" t="s">
        <v>10</v>
      </c>
      <c r="I2223" t="str">
        <f t="shared" si="34"/>
        <v>DRAWER KNOB VINTAGE GLASS STAR [23026]</v>
      </c>
    </row>
    <row r="2224" spans="1:9" x14ac:dyDescent="0.3">
      <c r="A2224" s="1">
        <v>23027</v>
      </c>
      <c r="B2224" t="s">
        <v>3923</v>
      </c>
      <c r="C2224" s="1">
        <v>2.08</v>
      </c>
      <c r="D2224" s="1">
        <v>31</v>
      </c>
      <c r="E2224" s="2">
        <v>42.142857142857103</v>
      </c>
      <c r="F2224" s="1">
        <v>7</v>
      </c>
      <c r="G2224" s="1">
        <v>627.95000000000005</v>
      </c>
      <c r="H2224" s="1" t="s">
        <v>9</v>
      </c>
      <c r="I2224" t="str">
        <f t="shared" si="34"/>
        <v>DRAWER KNOB VINTAGE GLASS HEXAGON [23027]</v>
      </c>
    </row>
    <row r="2225" spans="1:9" x14ac:dyDescent="0.3">
      <c r="A2225" s="1">
        <v>23028</v>
      </c>
      <c r="B2225" t="s">
        <v>3922</v>
      </c>
      <c r="C2225" s="1">
        <v>1.66</v>
      </c>
      <c r="D2225" s="1">
        <v>182.5</v>
      </c>
      <c r="E2225" s="1">
        <v>171.125</v>
      </c>
      <c r="F2225" s="1">
        <v>6</v>
      </c>
      <c r="G2225" s="1">
        <v>2377.13</v>
      </c>
      <c r="H2225" s="1" t="s">
        <v>10</v>
      </c>
      <c r="I2225" t="str">
        <f t="shared" si="34"/>
        <v>DOORKNOB CRACKED GLAZE BLUE [23028]</v>
      </c>
    </row>
    <row r="2226" spans="1:9" x14ac:dyDescent="0.3">
      <c r="A2226" s="1">
        <v>23029</v>
      </c>
      <c r="B2226" t="s">
        <v>3921</v>
      </c>
      <c r="C2226" s="1">
        <v>1.65</v>
      </c>
      <c r="D2226" s="1">
        <v>171</v>
      </c>
      <c r="E2226" s="2">
        <v>150.222222222222</v>
      </c>
      <c r="F2226" s="1">
        <v>7</v>
      </c>
      <c r="G2226" s="1">
        <v>2303.92</v>
      </c>
      <c r="H2226" s="1" t="s">
        <v>10</v>
      </c>
      <c r="I2226" t="str">
        <f t="shared" si="34"/>
        <v>DOORKNOB CRACKED GLAZE GREEN [23029]</v>
      </c>
    </row>
    <row r="2227" spans="1:9" x14ac:dyDescent="0.3">
      <c r="A2227" s="1">
        <v>23031</v>
      </c>
      <c r="B2227" t="s">
        <v>3920</v>
      </c>
      <c r="C2227" s="1">
        <v>1.66</v>
      </c>
      <c r="D2227" s="1">
        <v>158</v>
      </c>
      <c r="E2227" s="1">
        <v>142</v>
      </c>
      <c r="F2227" s="1">
        <v>7</v>
      </c>
      <c r="G2227" s="1">
        <v>2152.3000000000002</v>
      </c>
      <c r="H2227" s="1" t="s">
        <v>10</v>
      </c>
      <c r="I2227" t="str">
        <f t="shared" si="34"/>
        <v>DOORKNOB CRACKED GLAZE PINK [23031]</v>
      </c>
    </row>
    <row r="2228" spans="1:9" x14ac:dyDescent="0.3">
      <c r="A2228" s="1">
        <v>23032</v>
      </c>
      <c r="B2228" t="s">
        <v>3919</v>
      </c>
      <c r="C2228" s="1">
        <v>1.65</v>
      </c>
      <c r="D2228" s="1">
        <v>166</v>
      </c>
      <c r="E2228" s="2">
        <v>258.666666666666</v>
      </c>
      <c r="F2228" s="1">
        <v>6</v>
      </c>
      <c r="G2228" s="1">
        <v>3853.68</v>
      </c>
      <c r="H2228" s="1" t="s">
        <v>10</v>
      </c>
      <c r="I2228" t="str">
        <f t="shared" si="34"/>
        <v>DOORKNOB CRACKED GLAZE IVORY [23032]</v>
      </c>
    </row>
    <row r="2229" spans="1:9" x14ac:dyDescent="0.3">
      <c r="A2229" s="1">
        <v>23033</v>
      </c>
      <c r="B2229" t="s">
        <v>3918</v>
      </c>
      <c r="C2229" s="1">
        <v>1.45</v>
      </c>
      <c r="D2229" s="1">
        <v>86</v>
      </c>
      <c r="E2229" s="1">
        <v>102</v>
      </c>
      <c r="F2229" s="1">
        <v>7</v>
      </c>
      <c r="G2229" s="1">
        <v>1058.9000000000001</v>
      </c>
      <c r="H2229" s="1" t="s">
        <v>10</v>
      </c>
      <c r="I2229" t="str">
        <f t="shared" si="34"/>
        <v>DRAWER KNOB CERAMIC RED [23033]</v>
      </c>
    </row>
    <row r="2230" spans="1:9" x14ac:dyDescent="0.3">
      <c r="A2230" s="1">
        <v>23034</v>
      </c>
      <c r="B2230" t="s">
        <v>3917</v>
      </c>
      <c r="C2230" s="1">
        <v>1.47</v>
      </c>
      <c r="D2230" s="1">
        <v>129</v>
      </c>
      <c r="E2230" s="2">
        <v>139.85714285714201</v>
      </c>
      <c r="F2230" s="1">
        <v>7</v>
      </c>
      <c r="G2230" s="1">
        <v>1448.67</v>
      </c>
      <c r="H2230" s="1" t="s">
        <v>10</v>
      </c>
      <c r="I2230" t="str">
        <f t="shared" si="34"/>
        <v>DRAWER KNOB CERAMIC BLACK [23034]</v>
      </c>
    </row>
    <row r="2231" spans="1:9" x14ac:dyDescent="0.3">
      <c r="A2231" s="1">
        <v>23035</v>
      </c>
      <c r="B2231" t="s">
        <v>3916</v>
      </c>
      <c r="C2231" s="1">
        <v>1.48</v>
      </c>
      <c r="D2231" s="1">
        <v>284.5</v>
      </c>
      <c r="E2231" s="1">
        <v>273.875</v>
      </c>
      <c r="F2231" s="1">
        <v>7</v>
      </c>
      <c r="G2231" s="2">
        <v>3199.99</v>
      </c>
      <c r="H2231" s="1" t="s">
        <v>10</v>
      </c>
      <c r="I2231" t="str">
        <f t="shared" si="34"/>
        <v>DRAWER KNOB CERAMIC IVORY [23035]</v>
      </c>
    </row>
    <row r="2232" spans="1:9" x14ac:dyDescent="0.3">
      <c r="A2232" s="1">
        <v>23036</v>
      </c>
      <c r="B2232" t="s">
        <v>3915</v>
      </c>
      <c r="C2232" s="1">
        <v>1.25</v>
      </c>
      <c r="D2232" s="1">
        <v>13</v>
      </c>
      <c r="E2232" s="2">
        <v>26.285714285714199</v>
      </c>
      <c r="F2232" s="1">
        <v>7</v>
      </c>
      <c r="G2232" s="2">
        <v>232.42</v>
      </c>
      <c r="H2232" s="1" t="s">
        <v>9</v>
      </c>
      <c r="I2232" t="str">
        <f t="shared" si="34"/>
        <v>T-LIGHT HOLDER SILVER PETIT FOUR [23036]</v>
      </c>
    </row>
    <row r="2233" spans="1:9" x14ac:dyDescent="0.3">
      <c r="A2233" s="1">
        <v>23037</v>
      </c>
      <c r="B2233" t="s">
        <v>3914</v>
      </c>
      <c r="C2233" s="1">
        <v>1.65</v>
      </c>
      <c r="D2233" s="1">
        <v>25</v>
      </c>
      <c r="E2233" s="1">
        <v>28</v>
      </c>
      <c r="F2233" s="1">
        <v>7</v>
      </c>
      <c r="G2233" s="2">
        <v>325.159999999999</v>
      </c>
      <c r="H2233" s="1" t="s">
        <v>9</v>
      </c>
      <c r="I2233" t="str">
        <f t="shared" si="34"/>
        <v>CANDLE HOLDER SILVER MADELINE [23037]</v>
      </c>
    </row>
    <row r="2234" spans="1:9" x14ac:dyDescent="0.3">
      <c r="A2234" s="1">
        <v>23038</v>
      </c>
      <c r="B2234" t="s">
        <v>3913</v>
      </c>
      <c r="C2234" s="1">
        <v>1.63</v>
      </c>
      <c r="D2234" s="1">
        <v>3</v>
      </c>
      <c r="E2234" s="1">
        <v>8.8000000000000007</v>
      </c>
      <c r="F2234" s="1">
        <v>5</v>
      </c>
      <c r="G2234" s="1">
        <v>42.92</v>
      </c>
      <c r="H2234" s="1" t="s">
        <v>8</v>
      </c>
      <c r="I2234" t="str">
        <f t="shared" si="34"/>
        <v>T-LIGHT HOLDER SILVER SAUCER [23038]</v>
      </c>
    </row>
    <row r="2235" spans="1:9" x14ac:dyDescent="0.3">
      <c r="A2235" s="1">
        <v>23039</v>
      </c>
      <c r="B2235" t="s">
        <v>3912</v>
      </c>
      <c r="C2235" s="1">
        <v>1.95</v>
      </c>
      <c r="D2235" s="1">
        <v>12</v>
      </c>
      <c r="E2235" s="2">
        <v>28.428571428571399</v>
      </c>
      <c r="F2235" s="1">
        <v>7</v>
      </c>
      <c r="G2235" s="1">
        <v>399.71</v>
      </c>
      <c r="H2235" s="1" t="s">
        <v>9</v>
      </c>
      <c r="I2235" t="str">
        <f t="shared" si="34"/>
        <v>T-LIGHT HOLDER SILVER HEART HANDLE [23039]</v>
      </c>
    </row>
    <row r="2236" spans="1:9" x14ac:dyDescent="0.3">
      <c r="A2236" s="1">
        <v>23040</v>
      </c>
      <c r="B2236" t="s">
        <v>3911</v>
      </c>
      <c r="C2236" s="1">
        <v>5.75</v>
      </c>
      <c r="D2236" s="1">
        <v>6</v>
      </c>
      <c r="E2236" s="1">
        <v>23</v>
      </c>
      <c r="F2236" s="1">
        <v>9</v>
      </c>
      <c r="G2236" s="1">
        <v>1394.03</v>
      </c>
      <c r="H2236" s="1" t="s">
        <v>8</v>
      </c>
      <c r="I2236" t="str">
        <f t="shared" si="34"/>
        <v>PAPER LANTERN 9 POINT SNOW STAR [23040]</v>
      </c>
    </row>
    <row r="2237" spans="1:9" x14ac:dyDescent="0.3">
      <c r="A2237" s="1">
        <v>23041</v>
      </c>
      <c r="B2237" t="s">
        <v>3911</v>
      </c>
      <c r="C2237" s="1">
        <v>4.1500000000000004</v>
      </c>
      <c r="D2237" s="1">
        <v>10</v>
      </c>
      <c r="E2237" s="2">
        <v>20.923076923076898</v>
      </c>
      <c r="F2237" s="1">
        <v>9</v>
      </c>
      <c r="G2237" s="1">
        <v>1178.48</v>
      </c>
      <c r="H2237" s="1" t="s">
        <v>9</v>
      </c>
      <c r="I2237" t="str">
        <f t="shared" si="34"/>
        <v>PAPER LANTERN 9 POINT SNOW STAR [23041]</v>
      </c>
    </row>
    <row r="2238" spans="1:9" x14ac:dyDescent="0.3">
      <c r="A2238" s="1">
        <v>23042</v>
      </c>
      <c r="B2238" t="s">
        <v>3910</v>
      </c>
      <c r="C2238" s="1">
        <v>6.65</v>
      </c>
      <c r="D2238" s="1">
        <v>6</v>
      </c>
      <c r="E2238" s="2">
        <v>11.4444444444444</v>
      </c>
      <c r="F2238" s="1">
        <v>9</v>
      </c>
      <c r="G2238" s="1">
        <v>711.51</v>
      </c>
      <c r="H2238" s="1" t="s">
        <v>8</v>
      </c>
      <c r="I2238" t="str">
        <f t="shared" si="34"/>
        <v>PAPER LANTERN 7 POINT SNOW STAR [23042]</v>
      </c>
    </row>
    <row r="2239" spans="1:9" x14ac:dyDescent="0.3">
      <c r="A2239" s="1">
        <v>23043</v>
      </c>
      <c r="B2239" t="s">
        <v>3909</v>
      </c>
      <c r="C2239" s="1">
        <v>6.25</v>
      </c>
      <c r="D2239" s="1">
        <v>6</v>
      </c>
      <c r="E2239" s="2">
        <v>11.5714285714285</v>
      </c>
      <c r="F2239" s="1">
        <v>6</v>
      </c>
      <c r="G2239" s="1">
        <v>543.51</v>
      </c>
      <c r="H2239" s="1" t="s">
        <v>8</v>
      </c>
      <c r="I2239" t="str">
        <f t="shared" si="34"/>
        <v>PAPER LANTERN 9 POINT HOLLY STAR 40 [23043]</v>
      </c>
    </row>
    <row r="2240" spans="1:9" x14ac:dyDescent="0.3">
      <c r="A2240" s="1">
        <v>23044</v>
      </c>
      <c r="B2240" t="s">
        <v>3908</v>
      </c>
      <c r="C2240" s="1">
        <v>4.1500000000000004</v>
      </c>
      <c r="D2240" s="1">
        <v>9</v>
      </c>
      <c r="E2240" s="1">
        <v>10.1</v>
      </c>
      <c r="F2240" s="1">
        <v>8</v>
      </c>
      <c r="G2240" s="2">
        <v>423.289999999999</v>
      </c>
      <c r="H2240" s="1" t="s">
        <v>8</v>
      </c>
      <c r="I2240" t="str">
        <f t="shared" si="34"/>
        <v>PAPER LANTERN 9 POINT HOLLY STAR 23 [23044]</v>
      </c>
    </row>
    <row r="2241" spans="1:9" x14ac:dyDescent="0.3">
      <c r="A2241" s="1">
        <v>23045</v>
      </c>
      <c r="B2241" t="s">
        <v>3907</v>
      </c>
      <c r="C2241" s="1">
        <v>4.1500000000000004</v>
      </c>
      <c r="D2241" s="1">
        <v>6.5</v>
      </c>
      <c r="E2241" s="1">
        <v>14.75</v>
      </c>
      <c r="F2241" s="1">
        <v>7</v>
      </c>
      <c r="G2241" s="1">
        <v>497.98</v>
      </c>
      <c r="H2241" s="1" t="s">
        <v>8</v>
      </c>
      <c r="I2241" t="str">
        <f t="shared" si="34"/>
        <v>PAPER LANTERN 5 POINT STAR MOON 30 [23045]</v>
      </c>
    </row>
    <row r="2242" spans="1:9" x14ac:dyDescent="0.3">
      <c r="A2242" s="1">
        <v>23046</v>
      </c>
      <c r="B2242" t="s">
        <v>3906</v>
      </c>
      <c r="C2242" s="1">
        <v>6.65</v>
      </c>
      <c r="D2242" s="1">
        <v>18</v>
      </c>
      <c r="E2242" s="2">
        <v>49.857142857142797</v>
      </c>
      <c r="F2242" s="1">
        <v>7</v>
      </c>
      <c r="G2242" s="1">
        <v>2111.4899999999998</v>
      </c>
      <c r="H2242" s="1" t="s">
        <v>9</v>
      </c>
      <c r="I2242" t="str">
        <f t="shared" si="34"/>
        <v>PAPER LANTERN 9 POINT DELUXE STAR [23046]</v>
      </c>
    </row>
    <row r="2243" spans="1:9" x14ac:dyDescent="0.3">
      <c r="A2243" s="1">
        <v>23047</v>
      </c>
      <c r="B2243" t="s">
        <v>3905</v>
      </c>
      <c r="C2243" s="1">
        <v>5.75</v>
      </c>
      <c r="D2243" s="1">
        <v>5</v>
      </c>
      <c r="E2243" s="1">
        <v>5.8</v>
      </c>
      <c r="F2243" s="1">
        <v>7</v>
      </c>
      <c r="G2243" s="1">
        <v>333.5</v>
      </c>
      <c r="H2243" s="1" t="s">
        <v>8</v>
      </c>
      <c r="I2243" t="str">
        <f t="shared" ref="I2243:I2306" si="35">B2243&amp;" ["&amp;A2243&amp;"]"</f>
        <v>PAPER LANTERN 5 POINT SEQUIN STAR [23047]</v>
      </c>
    </row>
    <row r="2244" spans="1:9" x14ac:dyDescent="0.3">
      <c r="A2244" s="1">
        <v>23048</v>
      </c>
      <c r="B2244" t="s">
        <v>3904</v>
      </c>
      <c r="C2244" s="1">
        <v>4.1900000000000004</v>
      </c>
      <c r="D2244" s="1">
        <v>36</v>
      </c>
      <c r="E2244" s="2">
        <v>64.1111111111111</v>
      </c>
      <c r="F2244" s="1">
        <v>9</v>
      </c>
      <c r="G2244" s="1">
        <v>2368.37</v>
      </c>
      <c r="H2244" s="1" t="s">
        <v>9</v>
      </c>
      <c r="I2244" t="str">
        <f t="shared" si="35"/>
        <v>SET OF 10 LANTERNS FAIRY LIGHT STAR [23048]</v>
      </c>
    </row>
    <row r="2245" spans="1:9" x14ac:dyDescent="0.3">
      <c r="A2245" s="1">
        <v>23049</v>
      </c>
      <c r="B2245" t="s">
        <v>3903</v>
      </c>
      <c r="C2245" s="2">
        <v>8.5599999999999898</v>
      </c>
      <c r="D2245" s="1">
        <v>43</v>
      </c>
      <c r="E2245" s="1">
        <v>45.6</v>
      </c>
      <c r="F2245" s="1">
        <v>10</v>
      </c>
      <c r="G2245" s="1">
        <v>3896.84</v>
      </c>
      <c r="H2245" s="1" t="s">
        <v>9</v>
      </c>
      <c r="I2245" t="str">
        <f t="shared" si="35"/>
        <v>RECYCLED ACAPULCO MAT RED [23049]</v>
      </c>
    </row>
    <row r="2246" spans="1:9" x14ac:dyDescent="0.3">
      <c r="A2246" s="1">
        <v>23050</v>
      </c>
      <c r="B2246" t="s">
        <v>3902</v>
      </c>
      <c r="C2246" s="1">
        <v>8.52</v>
      </c>
      <c r="D2246" s="1">
        <v>48.5</v>
      </c>
      <c r="E2246" s="1">
        <v>49.7</v>
      </c>
      <c r="F2246" s="1">
        <v>10</v>
      </c>
      <c r="G2246" s="1">
        <v>4286.55</v>
      </c>
      <c r="H2246" s="1" t="s">
        <v>9</v>
      </c>
      <c r="I2246" t="str">
        <f t="shared" si="35"/>
        <v>RECYCLED ACAPULCO MAT GREEN [23050]</v>
      </c>
    </row>
    <row r="2247" spans="1:9" x14ac:dyDescent="0.3">
      <c r="A2247" s="1">
        <v>23051</v>
      </c>
      <c r="B2247" t="s">
        <v>3901</v>
      </c>
      <c r="C2247" s="1">
        <v>8.7349999999999994</v>
      </c>
      <c r="D2247" s="1">
        <v>34</v>
      </c>
      <c r="E2247" s="1">
        <v>36.5</v>
      </c>
      <c r="F2247" s="1">
        <v>10</v>
      </c>
      <c r="G2247" s="1">
        <v>3223.49</v>
      </c>
      <c r="H2247" s="1" t="s">
        <v>9</v>
      </c>
      <c r="I2247" t="str">
        <f t="shared" si="35"/>
        <v>RECYCLED ACAPULCO MAT BLUE [23051]</v>
      </c>
    </row>
    <row r="2248" spans="1:9" x14ac:dyDescent="0.3">
      <c r="A2248" s="1">
        <v>23052</v>
      </c>
      <c r="B2248" t="s">
        <v>3900</v>
      </c>
      <c r="C2248" s="1">
        <v>9.25</v>
      </c>
      <c r="D2248" s="1">
        <v>71.5</v>
      </c>
      <c r="E2248" s="1">
        <v>65.400000000000006</v>
      </c>
      <c r="F2248" s="1">
        <v>10</v>
      </c>
      <c r="G2248" s="1">
        <v>5949.34</v>
      </c>
      <c r="H2248" s="1" t="s">
        <v>10</v>
      </c>
      <c r="I2248" t="str">
        <f t="shared" si="35"/>
        <v>RECYCLED ACAPULCO MAT TURQUOISE [23052]</v>
      </c>
    </row>
    <row r="2249" spans="1:9" x14ac:dyDescent="0.3">
      <c r="A2249" s="1">
        <v>23053</v>
      </c>
      <c r="B2249" t="s">
        <v>3899</v>
      </c>
      <c r="C2249" s="1">
        <v>8.99</v>
      </c>
      <c r="D2249" s="1">
        <v>28.5</v>
      </c>
      <c r="E2249" s="1">
        <v>36.4</v>
      </c>
      <c r="F2249" s="1">
        <v>10</v>
      </c>
      <c r="G2249" s="2">
        <v>3254.3199999999902</v>
      </c>
      <c r="H2249" s="1" t="s">
        <v>9</v>
      </c>
      <c r="I2249" t="str">
        <f t="shared" si="35"/>
        <v>RECYCLED ACAPULCO MAT PINK [23053]</v>
      </c>
    </row>
    <row r="2250" spans="1:9" x14ac:dyDescent="0.3">
      <c r="A2250" s="1">
        <v>23054</v>
      </c>
      <c r="B2250" t="s">
        <v>3898</v>
      </c>
      <c r="C2250" s="1">
        <v>8.8550000000000004</v>
      </c>
      <c r="D2250" s="1">
        <v>29</v>
      </c>
      <c r="E2250" s="1">
        <v>29.5</v>
      </c>
      <c r="F2250" s="1">
        <v>10</v>
      </c>
      <c r="G2250" s="1">
        <v>2604.9299999999998</v>
      </c>
      <c r="H2250" s="1" t="s">
        <v>9</v>
      </c>
      <c r="I2250" t="str">
        <f t="shared" si="35"/>
        <v>RECYCLED ACAPULCO MAT LAVENDER [23054]</v>
      </c>
    </row>
    <row r="2251" spans="1:9" x14ac:dyDescent="0.3">
      <c r="A2251" s="1">
        <v>23055</v>
      </c>
      <c r="B2251" t="s">
        <v>3897</v>
      </c>
      <c r="C2251" s="1">
        <v>6.25</v>
      </c>
      <c r="D2251" s="1">
        <v>14</v>
      </c>
      <c r="E2251" s="2">
        <v>59.285714285714199</v>
      </c>
      <c r="F2251" s="1">
        <v>7</v>
      </c>
      <c r="G2251" s="1">
        <v>1136.47</v>
      </c>
      <c r="H2251" s="1" t="s">
        <v>9</v>
      </c>
      <c r="I2251" t="str">
        <f t="shared" si="35"/>
        <v>IVORY CHANDELIER T-LIGHT HOLDER [23055]</v>
      </c>
    </row>
    <row r="2252" spans="1:9" x14ac:dyDescent="0.3">
      <c r="A2252" s="1">
        <v>23056</v>
      </c>
      <c r="B2252" t="s">
        <v>3896</v>
      </c>
      <c r="C2252" s="1">
        <v>6.25</v>
      </c>
      <c r="D2252" s="1">
        <v>10</v>
      </c>
      <c r="E2252" s="1">
        <v>90.125</v>
      </c>
      <c r="F2252" s="1">
        <v>7</v>
      </c>
      <c r="G2252" s="1">
        <v>2633.2</v>
      </c>
      <c r="H2252" s="1" t="s">
        <v>9</v>
      </c>
      <c r="I2252" t="str">
        <f t="shared" si="35"/>
        <v>FLOWERS CHANDELIER T-LIGHT HOLDER [23056]</v>
      </c>
    </row>
    <row r="2253" spans="1:9" x14ac:dyDescent="0.3">
      <c r="A2253" s="1">
        <v>23057</v>
      </c>
      <c r="B2253" t="s">
        <v>3895</v>
      </c>
      <c r="C2253" s="1">
        <v>4.95</v>
      </c>
      <c r="D2253" s="1">
        <v>18</v>
      </c>
      <c r="E2253" s="2">
        <v>48.363636363636303</v>
      </c>
      <c r="F2253" s="1">
        <v>7</v>
      </c>
      <c r="G2253" s="1">
        <v>1523.72</v>
      </c>
      <c r="H2253" s="1" t="s">
        <v>9</v>
      </c>
      <c r="I2253" t="str">
        <f t="shared" si="35"/>
        <v>BEADED CHANDELIER T-LIGHT HOLDER [23057]</v>
      </c>
    </row>
    <row r="2254" spans="1:9" x14ac:dyDescent="0.3">
      <c r="A2254" s="1">
        <v>23058</v>
      </c>
      <c r="B2254" t="s">
        <v>3894</v>
      </c>
      <c r="C2254" s="1">
        <v>0.91500000000000004</v>
      </c>
      <c r="D2254" s="1">
        <v>62.5</v>
      </c>
      <c r="E2254" s="1">
        <v>122.5</v>
      </c>
      <c r="F2254" s="1">
        <v>4</v>
      </c>
      <c r="G2254" s="1">
        <v>430.86</v>
      </c>
      <c r="H2254" s="1" t="s">
        <v>10</v>
      </c>
      <c r="I2254" t="str">
        <f t="shared" si="35"/>
        <v>CHRISTMAS HANGING SNOWFLAKE [23058]</v>
      </c>
    </row>
    <row r="2255" spans="1:9" x14ac:dyDescent="0.3">
      <c r="A2255" s="1">
        <v>23060</v>
      </c>
      <c r="B2255" t="s">
        <v>3893</v>
      </c>
      <c r="C2255" s="1">
        <v>2.08</v>
      </c>
      <c r="D2255" s="1">
        <v>22</v>
      </c>
      <c r="E2255" s="2">
        <v>27.6666666666666</v>
      </c>
      <c r="F2255" s="1">
        <v>9</v>
      </c>
      <c r="G2255" s="1">
        <v>528.16999999999996</v>
      </c>
      <c r="H2255" s="1" t="s">
        <v>9</v>
      </c>
      <c r="I2255" t="str">
        <f t="shared" si="35"/>
        <v>HEART BEADED TRELLIS DECORATION [23060]</v>
      </c>
    </row>
    <row r="2256" spans="1:9" x14ac:dyDescent="0.3">
      <c r="A2256" s="1">
        <v>23061</v>
      </c>
      <c r="B2256" t="s">
        <v>3892</v>
      </c>
      <c r="C2256" s="1">
        <v>1.31</v>
      </c>
      <c r="D2256" s="1">
        <v>86</v>
      </c>
      <c r="E2256" s="2">
        <v>92.272727272727195</v>
      </c>
      <c r="F2256" s="1">
        <v>9</v>
      </c>
      <c r="G2256" s="1">
        <v>1332.68</v>
      </c>
      <c r="H2256" s="1" t="s">
        <v>10</v>
      </c>
      <c r="I2256" t="str">
        <f t="shared" si="35"/>
        <v>VINTAGE EMBOSSED HEART [23061]</v>
      </c>
    </row>
    <row r="2257" spans="1:9" x14ac:dyDescent="0.3">
      <c r="A2257" s="1">
        <v>23064</v>
      </c>
      <c r="B2257" t="s">
        <v>3891</v>
      </c>
      <c r="C2257" s="1">
        <v>46.31</v>
      </c>
      <c r="D2257" s="1">
        <v>6</v>
      </c>
      <c r="E2257" s="2">
        <v>17.285714285714199</v>
      </c>
      <c r="F2257" s="1">
        <v>7</v>
      </c>
      <c r="G2257" s="1">
        <v>2717.56</v>
      </c>
      <c r="H2257" s="1" t="s">
        <v>8</v>
      </c>
      <c r="I2257" t="str">
        <f t="shared" si="35"/>
        <v>CINDERELLA CHANDELIER [23064]</v>
      </c>
    </row>
    <row r="2258" spans="1:9" x14ac:dyDescent="0.3">
      <c r="A2258" s="1">
        <v>23065</v>
      </c>
      <c r="B2258" t="s">
        <v>3890</v>
      </c>
      <c r="C2258" s="1">
        <v>12.5</v>
      </c>
      <c r="D2258" s="1">
        <v>28</v>
      </c>
      <c r="E2258" s="1">
        <v>34.125</v>
      </c>
      <c r="F2258" s="1">
        <v>7</v>
      </c>
      <c r="G2258" s="1">
        <v>3427.44</v>
      </c>
      <c r="H2258" s="1" t="s">
        <v>9</v>
      </c>
      <c r="I2258" t="str">
        <f t="shared" si="35"/>
        <v>LARGE DECO JEWELLERY STAND [23065]</v>
      </c>
    </row>
    <row r="2259" spans="1:9" x14ac:dyDescent="0.3">
      <c r="A2259" s="1">
        <v>23066</v>
      </c>
      <c r="B2259" t="s">
        <v>3889</v>
      </c>
      <c r="C2259" s="1">
        <v>8.41</v>
      </c>
      <c r="D2259" s="1">
        <v>25</v>
      </c>
      <c r="E2259" s="1">
        <v>32.375</v>
      </c>
      <c r="F2259" s="1">
        <v>7</v>
      </c>
      <c r="G2259" s="1">
        <v>2137.81</v>
      </c>
      <c r="H2259" s="1" t="s">
        <v>9</v>
      </c>
      <c r="I2259" t="str">
        <f t="shared" si="35"/>
        <v>SMALL DECO JEWELLERY STAND [23066]</v>
      </c>
    </row>
    <row r="2260" spans="1:9" x14ac:dyDescent="0.3">
      <c r="A2260" s="1">
        <v>23067</v>
      </c>
      <c r="B2260" t="s">
        <v>3888</v>
      </c>
      <c r="C2260" s="1">
        <v>4.1500000000000004</v>
      </c>
      <c r="D2260" s="1">
        <v>25</v>
      </c>
      <c r="E2260" s="2">
        <v>32.6666666666666</v>
      </c>
      <c r="F2260" s="1">
        <v>9</v>
      </c>
      <c r="G2260" s="1">
        <v>1236.6600000000001</v>
      </c>
      <c r="H2260" s="1" t="s">
        <v>9</v>
      </c>
      <c r="I2260" t="str">
        <f t="shared" si="35"/>
        <v>HANGING ENGRAVED METAL HEART [23067]</v>
      </c>
    </row>
    <row r="2261" spans="1:9" x14ac:dyDescent="0.3">
      <c r="A2261" s="1">
        <v>23068</v>
      </c>
      <c r="B2261" t="s">
        <v>3887</v>
      </c>
      <c r="C2261" s="1">
        <v>2.4900000000000002</v>
      </c>
      <c r="D2261" s="1">
        <v>58.5</v>
      </c>
      <c r="E2261" s="2">
        <v>67.4166666666666</v>
      </c>
      <c r="F2261" s="1">
        <v>9</v>
      </c>
      <c r="G2261" s="1">
        <v>1966.93</v>
      </c>
      <c r="H2261" s="1" t="s">
        <v>9</v>
      </c>
      <c r="I2261" t="str">
        <f t="shared" si="35"/>
        <v>ALUMINIUM STAMPED HEART [23068]</v>
      </c>
    </row>
    <row r="2262" spans="1:9" x14ac:dyDescent="0.3">
      <c r="A2262" s="1">
        <v>23069</v>
      </c>
      <c r="B2262" t="s">
        <v>3886</v>
      </c>
      <c r="C2262" s="1">
        <v>6.25</v>
      </c>
      <c r="D2262" s="1">
        <v>12</v>
      </c>
      <c r="E2262" s="2">
        <v>9.7777777777777697</v>
      </c>
      <c r="F2262" s="1">
        <v>9</v>
      </c>
      <c r="G2262" s="1">
        <v>556.21</v>
      </c>
      <c r="H2262" s="1" t="s">
        <v>9</v>
      </c>
      <c r="I2262" t="str">
        <f t="shared" si="35"/>
        <v>EDWARDIAN PHOTO FRAME [23069]</v>
      </c>
    </row>
    <row r="2263" spans="1:9" x14ac:dyDescent="0.3">
      <c r="A2263" s="1">
        <v>23070</v>
      </c>
      <c r="B2263" t="s">
        <v>3885</v>
      </c>
      <c r="C2263" s="1">
        <v>4.375</v>
      </c>
      <c r="D2263" s="1">
        <v>21</v>
      </c>
      <c r="E2263" s="1">
        <v>20</v>
      </c>
      <c r="F2263" s="1">
        <v>8</v>
      </c>
      <c r="G2263" s="1">
        <v>709.54</v>
      </c>
      <c r="H2263" s="1" t="s">
        <v>9</v>
      </c>
      <c r="I2263" t="str">
        <f t="shared" si="35"/>
        <v>EDWARDIAN HEART PHOTO FRAME [23070]</v>
      </c>
    </row>
    <row r="2264" spans="1:9" x14ac:dyDescent="0.3">
      <c r="A2264" s="1">
        <v>23071</v>
      </c>
      <c r="B2264" t="s">
        <v>3884</v>
      </c>
      <c r="C2264" s="1">
        <v>12.5</v>
      </c>
      <c r="D2264" s="1">
        <v>3</v>
      </c>
      <c r="E2264" s="1">
        <v>8.8000000000000007</v>
      </c>
      <c r="F2264" s="1">
        <v>5</v>
      </c>
      <c r="G2264" s="1">
        <v>517.6</v>
      </c>
      <c r="H2264" s="1" t="s">
        <v>8</v>
      </c>
      <c r="I2264" t="str">
        <f t="shared" si="35"/>
        <v>MARIE ANTOIENETT TRINKET BOX GOLD [23071]</v>
      </c>
    </row>
    <row r="2265" spans="1:9" x14ac:dyDescent="0.3">
      <c r="A2265" s="1">
        <v>23072</v>
      </c>
      <c r="B2265" t="s">
        <v>3883</v>
      </c>
      <c r="C2265" s="1">
        <v>14.58</v>
      </c>
      <c r="D2265" s="1">
        <v>4</v>
      </c>
      <c r="E2265" s="1">
        <v>6.2</v>
      </c>
      <c r="F2265" s="1">
        <v>5</v>
      </c>
      <c r="G2265" s="1">
        <v>462.26</v>
      </c>
      <c r="H2265" s="1" t="s">
        <v>8</v>
      </c>
      <c r="I2265" t="str">
        <f t="shared" si="35"/>
        <v>MARIE ANTOINETTE TRINKET BOX SILVER [23072]</v>
      </c>
    </row>
    <row r="2266" spans="1:9" x14ac:dyDescent="0.3">
      <c r="A2266" s="1">
        <v>23073</v>
      </c>
      <c r="B2266" t="s">
        <v>3882</v>
      </c>
      <c r="C2266" s="1">
        <v>12.5</v>
      </c>
      <c r="D2266" s="1">
        <v>15</v>
      </c>
      <c r="E2266" s="2">
        <v>15.8888888888888</v>
      </c>
      <c r="F2266" s="1">
        <v>9</v>
      </c>
      <c r="G2266" s="1">
        <v>1706.5</v>
      </c>
      <c r="H2266" s="1" t="s">
        <v>9</v>
      </c>
      <c r="I2266" t="str">
        <f t="shared" si="35"/>
        <v>GEORGIAN TRINKET BOX [23073]</v>
      </c>
    </row>
    <row r="2267" spans="1:9" x14ac:dyDescent="0.3">
      <c r="A2267" s="1">
        <v>23074</v>
      </c>
      <c r="B2267" t="s">
        <v>3881</v>
      </c>
      <c r="C2267" s="1">
        <v>2.2599999999999998</v>
      </c>
      <c r="D2267" s="1">
        <v>56</v>
      </c>
      <c r="E2267" s="1">
        <v>61.5</v>
      </c>
      <c r="F2267" s="1">
        <v>4</v>
      </c>
      <c r="G2267" s="1">
        <v>547.27</v>
      </c>
      <c r="H2267" s="1" t="s">
        <v>9</v>
      </c>
      <c r="I2267" t="str">
        <f t="shared" si="35"/>
        <v>EMBOSSED HEART TRINKET BOX [23074]</v>
      </c>
    </row>
    <row r="2268" spans="1:9" x14ac:dyDescent="0.3">
      <c r="A2268" s="1">
        <v>23075</v>
      </c>
      <c r="B2268" t="s">
        <v>3880</v>
      </c>
      <c r="C2268" s="1">
        <v>4.1500000000000004</v>
      </c>
      <c r="D2268" s="1">
        <v>20</v>
      </c>
      <c r="E2268" s="2">
        <v>36.307692307692299</v>
      </c>
      <c r="F2268" s="1">
        <v>9</v>
      </c>
      <c r="G2268" s="1">
        <v>1960.3</v>
      </c>
      <c r="H2268" s="1" t="s">
        <v>9</v>
      </c>
      <c r="I2268" t="str">
        <f t="shared" si="35"/>
        <v>DOUBLE CERAMIC PARLOUR HOOK [23075]</v>
      </c>
    </row>
    <row r="2269" spans="1:9" x14ac:dyDescent="0.3">
      <c r="A2269" s="1">
        <v>23076</v>
      </c>
      <c r="B2269" t="s">
        <v>3879</v>
      </c>
      <c r="C2269" s="1">
        <v>1.25</v>
      </c>
      <c r="D2269" s="1">
        <v>805.5</v>
      </c>
      <c r="E2269" s="1">
        <v>807.6</v>
      </c>
      <c r="F2269" s="1">
        <v>10</v>
      </c>
      <c r="G2269" s="1">
        <v>9935.76</v>
      </c>
      <c r="H2269" s="1" t="s">
        <v>10</v>
      </c>
      <c r="I2269" t="str">
        <f t="shared" si="35"/>
        <v>ICE CREAM SUNDAE LIP GLOSS [23076]</v>
      </c>
    </row>
    <row r="2270" spans="1:9" x14ac:dyDescent="0.3">
      <c r="A2270" s="1">
        <v>23077</v>
      </c>
      <c r="B2270" t="s">
        <v>3878</v>
      </c>
      <c r="C2270" s="1">
        <v>1.22</v>
      </c>
      <c r="D2270" s="1">
        <v>804.5</v>
      </c>
      <c r="E2270" s="1">
        <v>1039.5</v>
      </c>
      <c r="F2270" s="1">
        <v>10</v>
      </c>
      <c r="G2270" s="1">
        <v>13695.77</v>
      </c>
      <c r="H2270" s="1" t="s">
        <v>10</v>
      </c>
      <c r="I2270" t="str">
        <f t="shared" si="35"/>
        <v>DOUGHNUT LIP GLOSS [23077]</v>
      </c>
    </row>
    <row r="2271" spans="1:9" x14ac:dyDescent="0.3">
      <c r="A2271" s="1">
        <v>23078</v>
      </c>
      <c r="B2271" t="s">
        <v>3877</v>
      </c>
      <c r="C2271" s="1">
        <v>1.25</v>
      </c>
      <c r="D2271" s="1">
        <v>723</v>
      </c>
      <c r="E2271" s="1">
        <v>683.1</v>
      </c>
      <c r="F2271" s="1">
        <v>10</v>
      </c>
      <c r="G2271" s="1">
        <v>8553.34</v>
      </c>
      <c r="H2271" s="1" t="s">
        <v>10</v>
      </c>
      <c r="I2271" t="str">
        <f t="shared" si="35"/>
        <v>ICE CREAM PEN LIP GLOSS [23078]</v>
      </c>
    </row>
    <row r="2272" spans="1:9" x14ac:dyDescent="0.3">
      <c r="A2272" s="1">
        <v>23079</v>
      </c>
      <c r="B2272" t="s">
        <v>3876</v>
      </c>
      <c r="C2272" s="1">
        <v>8.9499999999999993</v>
      </c>
      <c r="D2272" s="1">
        <v>24</v>
      </c>
      <c r="E2272" s="2">
        <v>27.8888888888888</v>
      </c>
      <c r="F2272" s="1">
        <v>8</v>
      </c>
      <c r="G2272" s="1">
        <v>2225.4499999999998</v>
      </c>
      <c r="H2272" s="1" t="s">
        <v>9</v>
      </c>
      <c r="I2272" t="str">
        <f t="shared" si="35"/>
        <v>TOADSTOOL BEDSIDE LIGHT [23079]</v>
      </c>
    </row>
    <row r="2273" spans="1:9" x14ac:dyDescent="0.3">
      <c r="A2273" s="1">
        <v>23080</v>
      </c>
      <c r="B2273" t="s">
        <v>3875</v>
      </c>
      <c r="C2273" s="1">
        <v>8.41</v>
      </c>
      <c r="D2273" s="1">
        <v>89.5</v>
      </c>
      <c r="E2273" s="1">
        <v>134.25</v>
      </c>
      <c r="F2273" s="1">
        <v>8</v>
      </c>
      <c r="G2273" s="2">
        <v>9117.6199999999899</v>
      </c>
      <c r="H2273" s="1" t="s">
        <v>10</v>
      </c>
      <c r="I2273" t="str">
        <f t="shared" si="35"/>
        <v>RED METAL BOX TOP SECRET [23080]</v>
      </c>
    </row>
    <row r="2274" spans="1:9" x14ac:dyDescent="0.3">
      <c r="A2274" s="1">
        <v>23081</v>
      </c>
      <c r="B2274" t="s">
        <v>3874</v>
      </c>
      <c r="C2274" s="2">
        <v>8.21999999999999</v>
      </c>
      <c r="D2274" s="1">
        <v>35.5</v>
      </c>
      <c r="E2274" s="1">
        <v>48.3</v>
      </c>
      <c r="F2274" s="1">
        <v>8</v>
      </c>
      <c r="G2274" s="1">
        <v>4038.25</v>
      </c>
      <c r="H2274" s="1" t="s">
        <v>9</v>
      </c>
      <c r="I2274" t="str">
        <f t="shared" si="35"/>
        <v>GREEN METAL BOX ARMY SUPPLIES [23081]</v>
      </c>
    </row>
    <row r="2275" spans="1:9" x14ac:dyDescent="0.3">
      <c r="A2275" s="1">
        <v>23082</v>
      </c>
      <c r="B2275" t="s">
        <v>3873</v>
      </c>
      <c r="C2275" s="2">
        <v>3.6949999999999998</v>
      </c>
      <c r="D2275" s="1">
        <v>278</v>
      </c>
      <c r="E2275" s="1">
        <v>291</v>
      </c>
      <c r="F2275" s="1">
        <v>8</v>
      </c>
      <c r="G2275" s="1">
        <v>8558.76</v>
      </c>
      <c r="H2275" s="1" t="s">
        <v>10</v>
      </c>
      <c r="I2275" t="str">
        <f t="shared" si="35"/>
        <v>SET 6 PAPER TABLE LANTERN HEARTS [23082]</v>
      </c>
    </row>
    <row r="2276" spans="1:9" x14ac:dyDescent="0.3">
      <c r="A2276" s="1">
        <v>23083</v>
      </c>
      <c r="B2276" t="s">
        <v>3872</v>
      </c>
      <c r="C2276" s="1">
        <v>3.7250000000000001</v>
      </c>
      <c r="D2276" s="1">
        <v>128</v>
      </c>
      <c r="E2276" s="1">
        <v>241.5</v>
      </c>
      <c r="F2276" s="1">
        <v>8</v>
      </c>
      <c r="G2276" s="1">
        <v>7250.9</v>
      </c>
      <c r="H2276" s="1" t="s">
        <v>10</v>
      </c>
      <c r="I2276" t="str">
        <f t="shared" si="35"/>
        <v>SET 6 PAPER TABLE LANTERN STARS [23083]</v>
      </c>
    </row>
    <row r="2277" spans="1:9" x14ac:dyDescent="0.3">
      <c r="A2277" s="1">
        <v>23084</v>
      </c>
      <c r="B2277" t="s">
        <v>3871</v>
      </c>
      <c r="C2277" s="1">
        <v>2.13</v>
      </c>
      <c r="D2277" s="1">
        <v>1780</v>
      </c>
      <c r="E2277" s="1">
        <v>3842.375</v>
      </c>
      <c r="F2277" s="1">
        <v>8</v>
      </c>
      <c r="G2277" s="1">
        <v>66870.03</v>
      </c>
      <c r="H2277" s="1" t="s">
        <v>10</v>
      </c>
      <c r="I2277" t="str">
        <f t="shared" si="35"/>
        <v>RABBIT NIGHT LIGHT [23084]</v>
      </c>
    </row>
    <row r="2278" spans="1:9" x14ac:dyDescent="0.3">
      <c r="A2278" s="1">
        <v>23085</v>
      </c>
      <c r="B2278" t="s">
        <v>3870</v>
      </c>
      <c r="C2278" s="1">
        <v>10.130000000000001</v>
      </c>
      <c r="D2278" s="1">
        <v>36</v>
      </c>
      <c r="E2278" s="2">
        <v>53.714285714285701</v>
      </c>
      <c r="F2278" s="1">
        <v>7</v>
      </c>
      <c r="G2278" s="1">
        <v>3583.23</v>
      </c>
      <c r="H2278" s="1" t="s">
        <v>9</v>
      </c>
      <c r="I2278" t="str">
        <f t="shared" si="35"/>
        <v>ANTIQUE SILVER BAUBLE LAMP [23085]</v>
      </c>
    </row>
    <row r="2279" spans="1:9" x14ac:dyDescent="0.3">
      <c r="A2279" s="1">
        <v>23086</v>
      </c>
      <c r="B2279" t="s">
        <v>3869</v>
      </c>
      <c r="C2279" s="1">
        <v>1.25</v>
      </c>
      <c r="D2279" s="1">
        <v>104</v>
      </c>
      <c r="E2279" s="2">
        <v>136.111111111111</v>
      </c>
      <c r="F2279" s="1">
        <v>8</v>
      </c>
      <c r="G2279" s="1">
        <v>1451.43</v>
      </c>
      <c r="H2279" s="1" t="s">
        <v>10</v>
      </c>
      <c r="I2279" t="str">
        <f t="shared" si="35"/>
        <v>ZINC  STAR T-LIGHT HOLDER [23086]</v>
      </c>
    </row>
    <row r="2280" spans="1:9" x14ac:dyDescent="0.3">
      <c r="A2280" s="1">
        <v>23087</v>
      </c>
      <c r="B2280" t="s">
        <v>3868</v>
      </c>
      <c r="C2280" s="1">
        <v>1.3</v>
      </c>
      <c r="D2280" s="1">
        <v>85.5</v>
      </c>
      <c r="E2280" s="1">
        <v>108.5</v>
      </c>
      <c r="F2280" s="1">
        <v>8</v>
      </c>
      <c r="G2280" s="1">
        <v>1090.6600000000001</v>
      </c>
      <c r="H2280" s="1" t="s">
        <v>10</v>
      </c>
      <c r="I2280" t="str">
        <f t="shared" si="35"/>
        <v>ZINC  HEART T-LIGHT HOLDER [23087]</v>
      </c>
    </row>
    <row r="2281" spans="1:9" x14ac:dyDescent="0.3">
      <c r="A2281" s="1">
        <v>23088</v>
      </c>
      <c r="B2281" t="s">
        <v>3867</v>
      </c>
      <c r="C2281" s="1">
        <v>1.29</v>
      </c>
      <c r="D2281" s="1">
        <v>81.5</v>
      </c>
      <c r="E2281" s="1">
        <v>99.375</v>
      </c>
      <c r="F2281" s="1">
        <v>8</v>
      </c>
      <c r="G2281" s="1">
        <v>1033.28</v>
      </c>
      <c r="H2281" s="1" t="s">
        <v>10</v>
      </c>
      <c r="I2281" t="str">
        <f t="shared" si="35"/>
        <v>ZINC HEART FLOWER T-LIGHT HOLDER [23088]</v>
      </c>
    </row>
    <row r="2282" spans="1:9" x14ac:dyDescent="0.3">
      <c r="A2282" s="1">
        <v>23089</v>
      </c>
      <c r="B2282" t="s">
        <v>3866</v>
      </c>
      <c r="C2282" s="1">
        <v>1.825</v>
      </c>
      <c r="D2282" s="1">
        <v>312</v>
      </c>
      <c r="E2282" s="1">
        <v>294.25</v>
      </c>
      <c r="F2282" s="1">
        <v>8</v>
      </c>
      <c r="G2282" s="1">
        <v>4215.78</v>
      </c>
      <c r="H2282" s="1" t="s">
        <v>10</v>
      </c>
      <c r="I2282" t="str">
        <f t="shared" si="35"/>
        <v>GLASS BON BON JAR [23089]</v>
      </c>
    </row>
    <row r="2283" spans="1:9" x14ac:dyDescent="0.3">
      <c r="A2283" s="1">
        <v>23090</v>
      </c>
      <c r="B2283" t="s">
        <v>3865</v>
      </c>
      <c r="C2283" s="1">
        <v>0.82499999999999996</v>
      </c>
      <c r="D2283" s="1">
        <v>243</v>
      </c>
      <c r="E2283" s="1">
        <v>279.625</v>
      </c>
      <c r="F2283" s="1">
        <v>8</v>
      </c>
      <c r="G2283" s="1">
        <v>1870.03</v>
      </c>
      <c r="H2283" s="1" t="s">
        <v>10</v>
      </c>
      <c r="I2283" t="str">
        <f t="shared" si="35"/>
        <v>VINTAGE GLASS T-LIGHT HOLDER [23090]</v>
      </c>
    </row>
    <row r="2284" spans="1:9" x14ac:dyDescent="0.3">
      <c r="A2284" s="1">
        <v>23091</v>
      </c>
      <c r="B2284" t="s">
        <v>3864</v>
      </c>
      <c r="C2284" s="1">
        <v>6.25</v>
      </c>
      <c r="D2284" s="1">
        <v>41.5</v>
      </c>
      <c r="E2284" s="1">
        <v>58</v>
      </c>
      <c r="F2284" s="1">
        <v>7</v>
      </c>
      <c r="G2284" s="1">
        <v>3656.32</v>
      </c>
      <c r="H2284" s="1" t="s">
        <v>9</v>
      </c>
      <c r="I2284" t="str">
        <f t="shared" si="35"/>
        <v>METAL HERB GERDEN CONTAINER [23091]</v>
      </c>
    </row>
    <row r="2285" spans="1:9" x14ac:dyDescent="0.3">
      <c r="A2285" s="1">
        <v>23092</v>
      </c>
      <c r="B2285" t="s">
        <v>3863</v>
      </c>
      <c r="C2285" s="1">
        <v>7.9050000000000002</v>
      </c>
      <c r="D2285" s="1">
        <v>56.5</v>
      </c>
      <c r="E2285" s="1">
        <v>65.375</v>
      </c>
      <c r="F2285" s="1">
        <v>8</v>
      </c>
      <c r="G2285" s="1">
        <v>3757.78</v>
      </c>
      <c r="H2285" s="1" t="s">
        <v>9</v>
      </c>
      <c r="I2285" t="str">
        <f t="shared" si="35"/>
        <v>LARGE ANTIQUE WHITE PHOTO FRAME [23092]</v>
      </c>
    </row>
    <row r="2286" spans="1:9" x14ac:dyDescent="0.3">
      <c r="A2286" s="1">
        <v>23093</v>
      </c>
      <c r="B2286" t="s">
        <v>3862</v>
      </c>
      <c r="C2286" s="1">
        <v>2.5499999999999998</v>
      </c>
      <c r="D2286" s="1">
        <v>102</v>
      </c>
      <c r="E2286" s="1">
        <v>117.375</v>
      </c>
      <c r="F2286" s="1">
        <v>8</v>
      </c>
      <c r="G2286" s="1">
        <v>2239.2399999999998</v>
      </c>
      <c r="H2286" s="1" t="s">
        <v>10</v>
      </c>
      <c r="I2286" t="str">
        <f t="shared" si="35"/>
        <v>SMALL PARISIENNE HEART PHOTO FRAME [23093]</v>
      </c>
    </row>
    <row r="2287" spans="1:9" x14ac:dyDescent="0.3">
      <c r="A2287" s="1">
        <v>23094</v>
      </c>
      <c r="B2287" t="s">
        <v>3861</v>
      </c>
      <c r="C2287" s="1">
        <v>12.5</v>
      </c>
      <c r="D2287" s="1">
        <v>22</v>
      </c>
      <c r="E2287" s="2">
        <v>21.714285714285701</v>
      </c>
      <c r="F2287" s="1">
        <v>7</v>
      </c>
      <c r="G2287" s="1">
        <v>1924.92</v>
      </c>
      <c r="H2287" s="1" t="s">
        <v>9</v>
      </c>
      <c r="I2287" t="str">
        <f t="shared" si="35"/>
        <v>LE GRAND TRAY CHIC SET [23094]</v>
      </c>
    </row>
    <row r="2288" spans="1:9" x14ac:dyDescent="0.3">
      <c r="A2288" s="1">
        <v>23096</v>
      </c>
      <c r="B2288" t="s">
        <v>3860</v>
      </c>
      <c r="C2288" s="1">
        <v>1.7</v>
      </c>
      <c r="D2288" s="1">
        <v>130</v>
      </c>
      <c r="E2288" s="1">
        <v>129.125</v>
      </c>
      <c r="F2288" s="1">
        <v>8</v>
      </c>
      <c r="G2288" s="1">
        <v>1736.69</v>
      </c>
      <c r="H2288" s="1" t="s">
        <v>10</v>
      </c>
      <c r="I2288" t="str">
        <f t="shared" si="35"/>
        <v>PETIT TRAY CHIC [23096]</v>
      </c>
    </row>
    <row r="2289" spans="1:9" x14ac:dyDescent="0.3">
      <c r="A2289" s="1">
        <v>23099</v>
      </c>
      <c r="B2289" t="s">
        <v>3859</v>
      </c>
      <c r="C2289" s="1">
        <v>6.65</v>
      </c>
      <c r="D2289" s="1">
        <v>13.5</v>
      </c>
      <c r="E2289" s="1">
        <v>17.125</v>
      </c>
      <c r="F2289" s="1">
        <v>8</v>
      </c>
      <c r="G2289" s="1">
        <v>925.35</v>
      </c>
      <c r="H2289" s="1" t="s">
        <v>9</v>
      </c>
      <c r="I2289" t="str">
        <f t="shared" si="35"/>
        <v>FRENCH CARRIAGE LANTERN [23099]</v>
      </c>
    </row>
    <row r="2290" spans="1:9" x14ac:dyDescent="0.3">
      <c r="A2290" s="1">
        <v>23100</v>
      </c>
      <c r="B2290" t="s">
        <v>3858</v>
      </c>
      <c r="C2290" s="2">
        <v>1.2649999999999999</v>
      </c>
      <c r="D2290" s="1">
        <v>188.5</v>
      </c>
      <c r="E2290" s="1">
        <v>270.75</v>
      </c>
      <c r="F2290" s="1">
        <v>8</v>
      </c>
      <c r="G2290" s="1">
        <v>2739.38</v>
      </c>
      <c r="H2290" s="1" t="s">
        <v>10</v>
      </c>
      <c r="I2290" t="str">
        <f t="shared" si="35"/>
        <v>SILVER BELLS TABLE DECORATION [23100]</v>
      </c>
    </row>
    <row r="2291" spans="1:9" x14ac:dyDescent="0.3">
      <c r="A2291" s="1">
        <v>23101</v>
      </c>
      <c r="B2291" t="s">
        <v>3857</v>
      </c>
      <c r="C2291" s="1">
        <v>0.80500000000000005</v>
      </c>
      <c r="D2291" s="1">
        <v>152.5</v>
      </c>
      <c r="E2291" s="1">
        <v>253.875</v>
      </c>
      <c r="F2291" s="1">
        <v>8</v>
      </c>
      <c r="G2291" s="1">
        <v>1739.63</v>
      </c>
      <c r="H2291" s="1" t="s">
        <v>10</v>
      </c>
      <c r="I2291" t="str">
        <f t="shared" si="35"/>
        <v>SILVER STARS TABLE DECORATION [23101]</v>
      </c>
    </row>
    <row r="2292" spans="1:9" x14ac:dyDescent="0.3">
      <c r="A2292" s="1">
        <v>23102</v>
      </c>
      <c r="B2292" t="s">
        <v>3856</v>
      </c>
      <c r="C2292" s="1">
        <v>0.84</v>
      </c>
      <c r="D2292" s="1">
        <v>155</v>
      </c>
      <c r="E2292" s="1">
        <v>159.25</v>
      </c>
      <c r="F2292" s="1">
        <v>8</v>
      </c>
      <c r="G2292" s="1">
        <v>1075.03</v>
      </c>
      <c r="H2292" s="1" t="s">
        <v>10</v>
      </c>
      <c r="I2292" t="str">
        <f t="shared" si="35"/>
        <v>SILVER HEARTS TABLE DECORATION [23102]</v>
      </c>
    </row>
    <row r="2293" spans="1:9" x14ac:dyDescent="0.3">
      <c r="A2293" s="1">
        <v>23103</v>
      </c>
      <c r="B2293" t="s">
        <v>3855</v>
      </c>
      <c r="C2293" s="1">
        <v>1.665</v>
      </c>
      <c r="D2293" s="1">
        <v>205.5</v>
      </c>
      <c r="E2293" s="2">
        <v>339.33333333333297</v>
      </c>
      <c r="F2293" s="1">
        <v>8</v>
      </c>
      <c r="G2293" s="1">
        <v>6846.16</v>
      </c>
      <c r="H2293" s="1" t="s">
        <v>10</v>
      </c>
      <c r="I2293" t="str">
        <f t="shared" si="35"/>
        <v>BELL HEART DECORATION [23103]</v>
      </c>
    </row>
    <row r="2294" spans="1:9" x14ac:dyDescent="0.3">
      <c r="A2294" s="1">
        <v>23104</v>
      </c>
      <c r="B2294" t="s">
        <v>3854</v>
      </c>
      <c r="C2294" s="1">
        <v>12.5</v>
      </c>
      <c r="D2294" s="1">
        <v>7</v>
      </c>
      <c r="E2294" s="2">
        <v>13.1111111111111</v>
      </c>
      <c r="F2294" s="1">
        <v>8</v>
      </c>
      <c r="G2294" s="1">
        <v>1405.42</v>
      </c>
      <c r="H2294" s="1" t="s">
        <v>8</v>
      </c>
      <c r="I2294" t="str">
        <f t="shared" si="35"/>
        <v>IVORY CAFE HANGING LAMP [23104]</v>
      </c>
    </row>
    <row r="2295" spans="1:9" x14ac:dyDescent="0.3">
      <c r="A2295" s="1">
        <v>23106</v>
      </c>
      <c r="B2295" t="s">
        <v>3853</v>
      </c>
      <c r="C2295" s="1">
        <v>2.89</v>
      </c>
      <c r="D2295" s="1">
        <v>34</v>
      </c>
      <c r="E2295" s="1">
        <v>33.5</v>
      </c>
      <c r="F2295" s="1">
        <v>7</v>
      </c>
      <c r="G2295" s="1">
        <v>797.42</v>
      </c>
      <c r="H2295" s="1" t="s">
        <v>9</v>
      </c>
      <c r="I2295" t="str">
        <f t="shared" si="35"/>
        <v>ZINC HEARTS PLANT POT HOLDER [23106]</v>
      </c>
    </row>
    <row r="2296" spans="1:9" x14ac:dyDescent="0.3">
      <c r="A2296" s="1">
        <v>23107</v>
      </c>
      <c r="B2296" t="s">
        <v>3852</v>
      </c>
      <c r="C2296" s="1">
        <v>2.97</v>
      </c>
      <c r="D2296" s="1">
        <v>37</v>
      </c>
      <c r="E2296" s="2">
        <v>39.8888888888888</v>
      </c>
      <c r="F2296" s="1">
        <v>8</v>
      </c>
      <c r="G2296" s="1">
        <v>1009.51</v>
      </c>
      <c r="H2296" s="1" t="s">
        <v>9</v>
      </c>
      <c r="I2296" t="str">
        <f t="shared" si="35"/>
        <v>WHITE HEARTS WIRE PLANT POT HOLDER [23107]</v>
      </c>
    </row>
    <row r="2297" spans="1:9" x14ac:dyDescent="0.3">
      <c r="A2297" s="1">
        <v>23108</v>
      </c>
      <c r="B2297" t="s">
        <v>3851</v>
      </c>
      <c r="C2297" s="1">
        <v>5.8949999999999996</v>
      </c>
      <c r="D2297" s="1">
        <v>271</v>
      </c>
      <c r="E2297" s="1">
        <v>277.375</v>
      </c>
      <c r="F2297" s="1">
        <v>8</v>
      </c>
      <c r="G2297" s="1">
        <v>13290.52</v>
      </c>
      <c r="H2297" s="1" t="s">
        <v>10</v>
      </c>
      <c r="I2297" t="str">
        <f t="shared" si="35"/>
        <v>SET OF 10 LED DOLLY LIGHTS [23108]</v>
      </c>
    </row>
    <row r="2298" spans="1:9" x14ac:dyDescent="0.3">
      <c r="A2298" s="1">
        <v>23109</v>
      </c>
      <c r="B2298" t="s">
        <v>3850</v>
      </c>
      <c r="C2298" s="1">
        <v>2.89</v>
      </c>
      <c r="D2298" s="1">
        <v>168</v>
      </c>
      <c r="E2298" s="2">
        <v>198.833333333333</v>
      </c>
      <c r="F2298" s="1">
        <v>8</v>
      </c>
      <c r="G2298" s="2">
        <v>6835.0199999999904</v>
      </c>
      <c r="H2298" s="1" t="s">
        <v>10</v>
      </c>
      <c r="I2298" t="str">
        <f t="shared" si="35"/>
        <v>LED TEA LIGHTS [23109]</v>
      </c>
    </row>
    <row r="2299" spans="1:9" x14ac:dyDescent="0.3">
      <c r="A2299" s="1">
        <v>23110</v>
      </c>
      <c r="B2299" t="s">
        <v>3849</v>
      </c>
      <c r="C2299" s="1">
        <v>5.9950000000000001</v>
      </c>
      <c r="D2299" s="1">
        <v>94</v>
      </c>
      <c r="E2299" s="1">
        <v>87.5</v>
      </c>
      <c r="F2299" s="1">
        <v>8</v>
      </c>
      <c r="G2299" s="1">
        <v>4147.18</v>
      </c>
      <c r="H2299" s="1" t="s">
        <v>10</v>
      </c>
      <c r="I2299" t="str">
        <f t="shared" si="35"/>
        <v>PARISIENNE KEY CABINET [23110]</v>
      </c>
    </row>
    <row r="2300" spans="1:9" x14ac:dyDescent="0.3">
      <c r="A2300" s="1">
        <v>23111</v>
      </c>
      <c r="B2300" t="s">
        <v>3848</v>
      </c>
      <c r="C2300" s="1">
        <v>12.545</v>
      </c>
      <c r="D2300" s="1">
        <v>38</v>
      </c>
      <c r="E2300" s="1">
        <v>39</v>
      </c>
      <c r="F2300" s="1">
        <v>8</v>
      </c>
      <c r="G2300" s="2">
        <v>3839.24</v>
      </c>
      <c r="H2300" s="1" t="s">
        <v>9</v>
      </c>
      <c r="I2300" t="str">
        <f t="shared" si="35"/>
        <v>PARISIENNE SEWING BOX [23111]</v>
      </c>
    </row>
    <row r="2301" spans="1:9" x14ac:dyDescent="0.3">
      <c r="A2301" s="1">
        <v>23112</v>
      </c>
      <c r="B2301" t="s">
        <v>3847</v>
      </c>
      <c r="C2301" s="1">
        <v>8.17</v>
      </c>
      <c r="D2301" s="1">
        <v>64.5</v>
      </c>
      <c r="E2301" s="1">
        <v>68.25</v>
      </c>
      <c r="F2301" s="1">
        <v>8</v>
      </c>
      <c r="G2301" s="1">
        <v>4507.08</v>
      </c>
      <c r="H2301" s="1" t="s">
        <v>10</v>
      </c>
      <c r="I2301" t="str">
        <f t="shared" si="35"/>
        <v>PARISIENNE CURIO CABINET [23112]</v>
      </c>
    </row>
    <row r="2302" spans="1:9" x14ac:dyDescent="0.3">
      <c r="A2302" s="1">
        <v>23113</v>
      </c>
      <c r="B2302" t="s">
        <v>3846</v>
      </c>
      <c r="C2302" s="1">
        <v>5.4050000000000002</v>
      </c>
      <c r="D2302" s="1">
        <v>82.5</v>
      </c>
      <c r="E2302" s="1">
        <v>288.5</v>
      </c>
      <c r="F2302" s="1">
        <v>4</v>
      </c>
      <c r="G2302" s="1">
        <v>5868.5</v>
      </c>
      <c r="H2302" s="1" t="s">
        <v>10</v>
      </c>
      <c r="I2302" t="str">
        <f t="shared" si="35"/>
        <v>PANTRY CHOPPING BOARD [23113]</v>
      </c>
    </row>
    <row r="2303" spans="1:9" x14ac:dyDescent="0.3">
      <c r="A2303" s="1">
        <v>23114</v>
      </c>
      <c r="B2303" t="s">
        <v>3845</v>
      </c>
      <c r="C2303" s="1">
        <v>4.95</v>
      </c>
      <c r="D2303" s="1">
        <v>30</v>
      </c>
      <c r="E2303" s="1">
        <v>37.25</v>
      </c>
      <c r="F2303" s="1">
        <v>4</v>
      </c>
      <c r="G2303" s="1">
        <v>737.95</v>
      </c>
      <c r="H2303" s="1" t="s">
        <v>9</v>
      </c>
      <c r="I2303" t="str">
        <f t="shared" si="35"/>
        <v>VINTAGE LEAF CHOPPING BOARD [23114]</v>
      </c>
    </row>
    <row r="2304" spans="1:9" x14ac:dyDescent="0.3">
      <c r="A2304" s="1">
        <v>23115</v>
      </c>
      <c r="B2304" t="s">
        <v>3844</v>
      </c>
      <c r="C2304" s="1">
        <v>5.0449999999999999</v>
      </c>
      <c r="D2304" s="1">
        <v>36.5</v>
      </c>
      <c r="E2304" s="1">
        <v>38</v>
      </c>
      <c r="F2304" s="1">
        <v>4</v>
      </c>
      <c r="G2304" s="2">
        <v>770.31999999999903</v>
      </c>
      <c r="H2304" s="1" t="s">
        <v>9</v>
      </c>
      <c r="I2304" t="str">
        <f t="shared" si="35"/>
        <v>RED APPLES CHOPPING BOARD [23115]</v>
      </c>
    </row>
    <row r="2305" spans="1:9" x14ac:dyDescent="0.3">
      <c r="A2305" s="1">
        <v>23116</v>
      </c>
      <c r="B2305" t="s">
        <v>3843</v>
      </c>
      <c r="C2305" s="1">
        <v>5.5049999999999999</v>
      </c>
      <c r="D2305" s="1">
        <v>11.5</v>
      </c>
      <c r="E2305" s="1">
        <v>19</v>
      </c>
      <c r="F2305" s="1">
        <v>4</v>
      </c>
      <c r="G2305" s="1">
        <v>382.44</v>
      </c>
      <c r="H2305" s="1" t="s">
        <v>9</v>
      </c>
      <c r="I2305" t="str">
        <f t="shared" si="35"/>
        <v>VEGETABLE GARDEN CHOPPING BOARD [23116]</v>
      </c>
    </row>
    <row r="2306" spans="1:9" x14ac:dyDescent="0.3">
      <c r="A2306" s="1">
        <v>23117</v>
      </c>
      <c r="B2306" t="s">
        <v>3842</v>
      </c>
      <c r="C2306" s="1">
        <v>5.22</v>
      </c>
      <c r="D2306" s="1">
        <v>23.5</v>
      </c>
      <c r="E2306" s="1">
        <v>23.25</v>
      </c>
      <c r="F2306" s="1">
        <v>4</v>
      </c>
      <c r="G2306" s="2">
        <v>501.229999999999</v>
      </c>
      <c r="H2306" s="1" t="s">
        <v>9</v>
      </c>
      <c r="I2306" t="str">
        <f t="shared" si="35"/>
        <v>POPPY FIELDS CHOPPING BOARD [23117]</v>
      </c>
    </row>
    <row r="2307" spans="1:9" x14ac:dyDescent="0.3">
      <c r="A2307" s="1">
        <v>23118</v>
      </c>
      <c r="B2307" t="s">
        <v>3841</v>
      </c>
      <c r="C2307" s="2">
        <v>7.7649999999999997</v>
      </c>
      <c r="D2307" s="1">
        <v>91</v>
      </c>
      <c r="E2307" s="1">
        <v>101.625</v>
      </c>
      <c r="F2307" s="1">
        <v>8</v>
      </c>
      <c r="G2307" s="1">
        <v>6102.18</v>
      </c>
      <c r="H2307" s="1" t="s">
        <v>10</v>
      </c>
      <c r="I2307" t="str">
        <f t="shared" ref="I2307:I2370" si="36">B2307&amp;" ["&amp;A2307&amp;"]"</f>
        <v>PARISIENNE JEWELLERY DRAWER [23118]</v>
      </c>
    </row>
    <row r="2308" spans="1:9" x14ac:dyDescent="0.3">
      <c r="A2308" s="1">
        <v>23119</v>
      </c>
      <c r="B2308" t="s">
        <v>3840</v>
      </c>
      <c r="C2308" s="1">
        <v>0.64</v>
      </c>
      <c r="D2308" s="1">
        <v>177</v>
      </c>
      <c r="E2308" s="1">
        <v>326</v>
      </c>
      <c r="F2308" s="1">
        <v>7</v>
      </c>
      <c r="G2308" s="1">
        <v>1401.7</v>
      </c>
      <c r="H2308" s="1" t="s">
        <v>10</v>
      </c>
      <c r="I2308" t="str">
        <f t="shared" si="36"/>
        <v>PACK OF 6 LARGE FRUIT STRAWS [23119]</v>
      </c>
    </row>
    <row r="2309" spans="1:9" x14ac:dyDescent="0.3">
      <c r="A2309" s="1">
        <v>23120</v>
      </c>
      <c r="B2309" t="s">
        <v>3839</v>
      </c>
      <c r="C2309" s="1">
        <v>0.42</v>
      </c>
      <c r="D2309" s="1">
        <v>155</v>
      </c>
      <c r="E2309" s="2">
        <v>240.71428571428501</v>
      </c>
      <c r="F2309" s="1">
        <v>7</v>
      </c>
      <c r="G2309" s="1">
        <v>682.39</v>
      </c>
      <c r="H2309" s="1" t="s">
        <v>10</v>
      </c>
      <c r="I2309" t="str">
        <f t="shared" si="36"/>
        <v>PACK OF 6 SMALL FRUIT STRAWS [23120]</v>
      </c>
    </row>
    <row r="2310" spans="1:9" x14ac:dyDescent="0.3">
      <c r="A2310" s="1">
        <v>23121</v>
      </c>
      <c r="B2310" t="s">
        <v>3838</v>
      </c>
      <c r="C2310" s="1">
        <v>0.42</v>
      </c>
      <c r="D2310" s="1">
        <v>208</v>
      </c>
      <c r="E2310" s="2">
        <v>357.28571428571399</v>
      </c>
      <c r="F2310" s="1">
        <v>7</v>
      </c>
      <c r="G2310" s="2">
        <v>1000.4399999999901</v>
      </c>
      <c r="H2310" s="1" t="s">
        <v>10</v>
      </c>
      <c r="I2310" t="str">
        <f t="shared" si="36"/>
        <v>PACK OF 6 COCKTAIL PARASOL STRAWS [23121]</v>
      </c>
    </row>
    <row r="2311" spans="1:9" x14ac:dyDescent="0.3">
      <c r="A2311" s="1">
        <v>23122</v>
      </c>
      <c r="B2311" t="s">
        <v>3837</v>
      </c>
      <c r="C2311" s="1">
        <v>0.82</v>
      </c>
      <c r="D2311" s="1">
        <v>196</v>
      </c>
      <c r="E2311" s="2">
        <v>321.57142857142799</v>
      </c>
      <c r="F2311" s="1">
        <v>7</v>
      </c>
      <c r="G2311" s="1">
        <v>1726.09</v>
      </c>
      <c r="H2311" s="1" t="s">
        <v>10</v>
      </c>
      <c r="I2311" t="str">
        <f t="shared" si="36"/>
        <v>PARTY CHARMS 50 PIECES [23122]</v>
      </c>
    </row>
    <row r="2312" spans="1:9" x14ac:dyDescent="0.3">
      <c r="A2312" s="1">
        <v>23123</v>
      </c>
      <c r="B2312" t="s">
        <v>3836</v>
      </c>
      <c r="C2312" s="1">
        <v>0.85</v>
      </c>
      <c r="D2312" s="1">
        <v>111</v>
      </c>
      <c r="E2312" s="2">
        <v>133.57142857142799</v>
      </c>
      <c r="F2312" s="1">
        <v>7</v>
      </c>
      <c r="G2312" s="2">
        <v>759.56999999999903</v>
      </c>
      <c r="H2312" s="1" t="s">
        <v>10</v>
      </c>
      <c r="I2312" t="str">
        <f t="shared" si="36"/>
        <v>COCKTAIL SWORDS 50 PIECES [23123]</v>
      </c>
    </row>
    <row r="2313" spans="1:9" x14ac:dyDescent="0.3">
      <c r="A2313" s="1">
        <v>23124</v>
      </c>
      <c r="B2313" t="s">
        <v>3835</v>
      </c>
      <c r="C2313" s="1">
        <v>1.615</v>
      </c>
      <c r="D2313" s="1">
        <v>44.5</v>
      </c>
      <c r="E2313" s="1">
        <v>94.5</v>
      </c>
      <c r="F2313" s="1">
        <v>6</v>
      </c>
      <c r="G2313" s="1">
        <v>751.38</v>
      </c>
      <c r="H2313" s="1" t="s">
        <v>9</v>
      </c>
      <c r="I2313" t="str">
        <f t="shared" si="36"/>
        <v>18PC WOODEN CUTLERY SET DISPOSABLE [23124]</v>
      </c>
    </row>
    <row r="2314" spans="1:9" x14ac:dyDescent="0.3">
      <c r="A2314" s="1">
        <v>23125</v>
      </c>
      <c r="B2314" t="s">
        <v>3834</v>
      </c>
      <c r="C2314" s="1">
        <v>1.5249999999999999</v>
      </c>
      <c r="D2314" s="1">
        <v>27</v>
      </c>
      <c r="E2314" s="1">
        <v>76.5</v>
      </c>
      <c r="F2314" s="1">
        <v>6</v>
      </c>
      <c r="G2314" s="1">
        <v>574.88</v>
      </c>
      <c r="H2314" s="1" t="s">
        <v>9</v>
      </c>
      <c r="I2314" t="str">
        <f t="shared" si="36"/>
        <v>6PC WOOD PLATE SET DISPOSABLE [23125]</v>
      </c>
    </row>
    <row r="2315" spans="1:9" x14ac:dyDescent="0.3">
      <c r="A2315" s="1">
        <v>23126</v>
      </c>
      <c r="B2315" t="s">
        <v>3833</v>
      </c>
      <c r="C2315" s="2">
        <v>4.9849999999999897</v>
      </c>
      <c r="D2315" s="1">
        <v>54.5</v>
      </c>
      <c r="E2315" s="1">
        <v>69.3125</v>
      </c>
      <c r="F2315" s="1">
        <v>10</v>
      </c>
      <c r="G2315" s="1">
        <v>5532.04</v>
      </c>
      <c r="H2315" s="1" t="s">
        <v>9</v>
      </c>
      <c r="I2315" t="str">
        <f t="shared" si="36"/>
        <v>DOLLCRAFT GIRL AMELIE [23126]</v>
      </c>
    </row>
    <row r="2316" spans="1:9" x14ac:dyDescent="0.3">
      <c r="A2316" s="1">
        <v>23127</v>
      </c>
      <c r="B2316" t="s">
        <v>3832</v>
      </c>
      <c r="C2316" s="1">
        <v>4.95</v>
      </c>
      <c r="D2316" s="1">
        <v>51</v>
      </c>
      <c r="E2316" s="2">
        <v>56.615384615384599</v>
      </c>
      <c r="F2316" s="1">
        <v>10</v>
      </c>
      <c r="G2316" s="1">
        <v>3759</v>
      </c>
      <c r="H2316" s="1" t="s">
        <v>9</v>
      </c>
      <c r="I2316" t="str">
        <f t="shared" si="36"/>
        <v>DOLLCRAFT GIRL NICOLE [23127]</v>
      </c>
    </row>
    <row r="2317" spans="1:9" x14ac:dyDescent="0.3">
      <c r="A2317" s="1">
        <v>23128</v>
      </c>
      <c r="B2317" t="s">
        <v>3831</v>
      </c>
      <c r="C2317" s="1">
        <v>4.95</v>
      </c>
      <c r="D2317" s="1">
        <v>30</v>
      </c>
      <c r="E2317" s="2">
        <v>34.461538461538403</v>
      </c>
      <c r="F2317" s="1">
        <v>10</v>
      </c>
      <c r="G2317" s="1">
        <v>2258.66</v>
      </c>
      <c r="H2317" s="1" t="s">
        <v>9</v>
      </c>
      <c r="I2317" t="str">
        <f t="shared" si="36"/>
        <v>DOLLCRAFT BOY JEAN-PAUL [23128]</v>
      </c>
    </row>
    <row r="2318" spans="1:9" x14ac:dyDescent="0.3">
      <c r="A2318" s="1">
        <v>23129</v>
      </c>
      <c r="B2318" t="s">
        <v>3830</v>
      </c>
      <c r="C2318" s="1">
        <v>4.1500000000000004</v>
      </c>
      <c r="D2318" s="1">
        <v>25.5</v>
      </c>
      <c r="E2318" s="1">
        <v>118.75</v>
      </c>
      <c r="F2318" s="1">
        <v>8</v>
      </c>
      <c r="G2318" s="1">
        <v>3999.5</v>
      </c>
      <c r="H2318" s="1" t="s">
        <v>9</v>
      </c>
      <c r="I2318" t="str">
        <f t="shared" si="36"/>
        <v>HEART SHAPED HOLLY WREATH [23129]</v>
      </c>
    </row>
    <row r="2319" spans="1:9" x14ac:dyDescent="0.3">
      <c r="A2319" s="1">
        <v>23130</v>
      </c>
      <c r="B2319" t="s">
        <v>3829</v>
      </c>
      <c r="C2319" s="1">
        <v>4.1500000000000004</v>
      </c>
      <c r="D2319" s="1">
        <v>47.5</v>
      </c>
      <c r="E2319" s="1">
        <v>96.2</v>
      </c>
      <c r="F2319" s="1">
        <v>8</v>
      </c>
      <c r="G2319" s="1">
        <v>3988.98</v>
      </c>
      <c r="H2319" s="1" t="s">
        <v>9</v>
      </c>
      <c r="I2319" t="str">
        <f t="shared" si="36"/>
        <v>MISELTOE HEART WREATH [23130]</v>
      </c>
    </row>
    <row r="2320" spans="1:9" x14ac:dyDescent="0.3">
      <c r="A2320" s="1">
        <v>23131</v>
      </c>
      <c r="B2320" t="s">
        <v>3828</v>
      </c>
      <c r="C2320" s="1">
        <v>4.1500000000000004</v>
      </c>
      <c r="D2320" s="1">
        <v>66.5</v>
      </c>
      <c r="E2320" s="1">
        <v>78.5</v>
      </c>
      <c r="F2320" s="1">
        <v>9</v>
      </c>
      <c r="G2320" s="1">
        <v>3835.98</v>
      </c>
      <c r="H2320" s="1" t="s">
        <v>10</v>
      </c>
      <c r="I2320" t="str">
        <f t="shared" si="36"/>
        <v>MISTLETOE HEART WREATH CREAM [23131]</v>
      </c>
    </row>
    <row r="2321" spans="1:9" x14ac:dyDescent="0.3">
      <c r="A2321" s="1">
        <v>23132</v>
      </c>
      <c r="B2321" t="s">
        <v>3827</v>
      </c>
      <c r="C2321" s="1">
        <v>5.48</v>
      </c>
      <c r="D2321" s="1">
        <v>94</v>
      </c>
      <c r="E2321" s="2">
        <v>113.333333333333</v>
      </c>
      <c r="F2321" s="1">
        <v>9</v>
      </c>
      <c r="G2321" s="1">
        <v>5138.6000000000004</v>
      </c>
      <c r="H2321" s="1" t="s">
        <v>10</v>
      </c>
      <c r="I2321" t="str">
        <f t="shared" si="36"/>
        <v>SMALL IVORY HEART WALL ORGANISER [23132]</v>
      </c>
    </row>
    <row r="2322" spans="1:9" x14ac:dyDescent="0.3">
      <c r="A2322" s="1">
        <v>23133</v>
      </c>
      <c r="B2322" t="s">
        <v>3826</v>
      </c>
      <c r="C2322" s="1">
        <v>7.99</v>
      </c>
      <c r="D2322" s="1">
        <v>59</v>
      </c>
      <c r="E2322" s="2">
        <v>86.8888888888888</v>
      </c>
      <c r="F2322" s="1">
        <v>9</v>
      </c>
      <c r="G2322" s="2">
        <v>5525.4</v>
      </c>
      <c r="H2322" s="1" t="s">
        <v>9</v>
      </c>
      <c r="I2322" t="str">
        <f t="shared" si="36"/>
        <v>LARGE IVORY HEART WALL ORGANISER [23133]</v>
      </c>
    </row>
    <row r="2323" spans="1:9" x14ac:dyDescent="0.3">
      <c r="A2323" s="1">
        <v>23134</v>
      </c>
      <c r="B2323" t="s">
        <v>3825</v>
      </c>
      <c r="C2323" s="2">
        <v>6.81</v>
      </c>
      <c r="D2323" s="1">
        <v>120.5</v>
      </c>
      <c r="E2323" s="1">
        <v>177.5</v>
      </c>
      <c r="F2323" s="1">
        <v>6</v>
      </c>
      <c r="G2323" s="1">
        <v>6431.11</v>
      </c>
      <c r="H2323" s="1" t="s">
        <v>10</v>
      </c>
      <c r="I2323" t="str">
        <f t="shared" si="36"/>
        <v>LARGE ZINC HEART WALL ORGANISER [23134]</v>
      </c>
    </row>
    <row r="2324" spans="1:9" x14ac:dyDescent="0.3">
      <c r="A2324" s="1">
        <v>23135</v>
      </c>
      <c r="B2324" t="s">
        <v>3824</v>
      </c>
      <c r="C2324" s="1">
        <v>3.85</v>
      </c>
      <c r="D2324" s="1">
        <v>58</v>
      </c>
      <c r="E2324" s="2">
        <v>171.222222222222</v>
      </c>
      <c r="F2324" s="1">
        <v>9</v>
      </c>
      <c r="G2324" s="1">
        <v>5416.18</v>
      </c>
      <c r="H2324" s="1" t="s">
        <v>9</v>
      </c>
      <c r="I2324" t="str">
        <f t="shared" si="36"/>
        <v>SMALL ZINC HEART WALL ORGANISER [23135]</v>
      </c>
    </row>
    <row r="2325" spans="1:9" x14ac:dyDescent="0.3">
      <c r="A2325" s="1">
        <v>23136</v>
      </c>
      <c r="B2325" t="s">
        <v>3823</v>
      </c>
      <c r="C2325" s="1">
        <v>3.75</v>
      </c>
      <c r="D2325" s="1">
        <v>12</v>
      </c>
      <c r="E2325" s="1">
        <v>15</v>
      </c>
      <c r="F2325" s="1">
        <v>9</v>
      </c>
      <c r="G2325" s="1">
        <v>511.89</v>
      </c>
      <c r="H2325" s="1" t="s">
        <v>9</v>
      </c>
      <c r="I2325" t="str">
        <f t="shared" si="36"/>
        <v>IVORY WIRE SWEETHEART LETTER TRAY [23136]</v>
      </c>
    </row>
    <row r="2326" spans="1:9" x14ac:dyDescent="0.3">
      <c r="A2326" s="1">
        <v>23137</v>
      </c>
      <c r="B2326" t="s">
        <v>3822</v>
      </c>
      <c r="C2326" s="1">
        <v>3.75</v>
      </c>
      <c r="D2326" s="1">
        <v>8</v>
      </c>
      <c r="E2326" s="2">
        <v>9.2222222222222197</v>
      </c>
      <c r="F2326" s="1">
        <v>9</v>
      </c>
      <c r="G2326" s="1">
        <v>275.62</v>
      </c>
      <c r="H2326" s="1" t="s">
        <v>8</v>
      </c>
      <c r="I2326" t="str">
        <f t="shared" si="36"/>
        <v>ZINC WIRE SWEETHEART LETTER TRAY [23137]</v>
      </c>
    </row>
    <row r="2327" spans="1:9" x14ac:dyDescent="0.3">
      <c r="A2327" s="1">
        <v>23138</v>
      </c>
      <c r="B2327" t="s">
        <v>3821</v>
      </c>
      <c r="C2327" s="1">
        <v>1.45</v>
      </c>
      <c r="D2327" s="1">
        <v>82</v>
      </c>
      <c r="E2327" s="1">
        <v>109.625</v>
      </c>
      <c r="F2327" s="1">
        <v>8</v>
      </c>
      <c r="G2327" s="1">
        <v>1224.93</v>
      </c>
      <c r="H2327" s="1" t="s">
        <v>10</v>
      </c>
      <c r="I2327" t="str">
        <f t="shared" si="36"/>
        <v>SINGLE WIRE HOOK IVORY HEART [23138]</v>
      </c>
    </row>
    <row r="2328" spans="1:9" x14ac:dyDescent="0.3">
      <c r="A2328" s="1">
        <v>23139</v>
      </c>
      <c r="B2328" t="s">
        <v>3820</v>
      </c>
      <c r="C2328" s="1">
        <v>1.45</v>
      </c>
      <c r="D2328" s="1">
        <v>15</v>
      </c>
      <c r="E2328" s="1">
        <v>47.75</v>
      </c>
      <c r="F2328" s="1">
        <v>8</v>
      </c>
      <c r="G2328" s="1">
        <v>516.22</v>
      </c>
      <c r="H2328" s="1" t="s">
        <v>9</v>
      </c>
      <c r="I2328" t="str">
        <f t="shared" si="36"/>
        <v>SINGLE WIRE HOOK PINK HEART [23139]</v>
      </c>
    </row>
    <row r="2329" spans="1:9" x14ac:dyDescent="0.3">
      <c r="A2329" s="1">
        <v>23140</v>
      </c>
      <c r="B2329" t="s">
        <v>3819</v>
      </c>
      <c r="C2329" s="1">
        <v>4.1500000000000004</v>
      </c>
      <c r="D2329" s="1">
        <v>26.5</v>
      </c>
      <c r="E2329" s="1">
        <v>22.75</v>
      </c>
      <c r="F2329" s="1">
        <v>8</v>
      </c>
      <c r="G2329" s="1">
        <v>766.1</v>
      </c>
      <c r="H2329" s="1" t="s">
        <v>9</v>
      </c>
      <c r="I2329" t="str">
        <f t="shared" si="36"/>
        <v>TRIPLE WIRE HOOK IVORY HEART [23140]</v>
      </c>
    </row>
    <row r="2330" spans="1:9" x14ac:dyDescent="0.3">
      <c r="A2330" s="1">
        <v>23141</v>
      </c>
      <c r="B2330" t="s">
        <v>3818</v>
      </c>
      <c r="C2330" s="1">
        <v>4.1500000000000004</v>
      </c>
      <c r="D2330" s="1">
        <v>10</v>
      </c>
      <c r="E2330" s="2">
        <v>8.2857142857142794</v>
      </c>
      <c r="F2330" s="1">
        <v>7</v>
      </c>
      <c r="G2330" s="1">
        <v>248.82</v>
      </c>
      <c r="H2330" s="1" t="s">
        <v>9</v>
      </c>
      <c r="I2330" t="str">
        <f t="shared" si="36"/>
        <v>TRIPLE WIRE HOOK PINK HEART [23141]</v>
      </c>
    </row>
    <row r="2331" spans="1:9" x14ac:dyDescent="0.3">
      <c r="A2331" s="1">
        <v>23142</v>
      </c>
      <c r="B2331" t="s">
        <v>3817</v>
      </c>
      <c r="C2331" s="1">
        <v>10.4</v>
      </c>
      <c r="D2331" s="1">
        <v>7</v>
      </c>
      <c r="E2331" s="1">
        <v>15.125</v>
      </c>
      <c r="F2331" s="1">
        <v>8</v>
      </c>
      <c r="G2331" s="1">
        <v>1220.82</v>
      </c>
      <c r="H2331" s="1" t="s">
        <v>8</v>
      </c>
      <c r="I2331" t="str">
        <f t="shared" si="36"/>
        <v>IVORY WIRE KITCHEN ORGANISER [23142]</v>
      </c>
    </row>
    <row r="2332" spans="1:9" x14ac:dyDescent="0.3">
      <c r="A2332" s="1">
        <v>23143</v>
      </c>
      <c r="B2332" t="s">
        <v>3816</v>
      </c>
      <c r="C2332" s="1">
        <v>12.48</v>
      </c>
      <c r="D2332" s="1">
        <v>4</v>
      </c>
      <c r="E2332" s="1">
        <v>6</v>
      </c>
      <c r="F2332" s="1">
        <v>5</v>
      </c>
      <c r="G2332" s="1">
        <v>239.97</v>
      </c>
      <c r="H2332" s="1" t="s">
        <v>8</v>
      </c>
      <c r="I2332" t="str">
        <f t="shared" si="36"/>
        <v>ZINC WIRE KITCHEN ORGANISER [23143]</v>
      </c>
    </row>
    <row r="2333" spans="1:9" x14ac:dyDescent="0.3">
      <c r="A2333" s="1">
        <v>23144</v>
      </c>
      <c r="B2333" t="s">
        <v>3815</v>
      </c>
      <c r="C2333" s="1">
        <v>0.81</v>
      </c>
      <c r="D2333" s="1">
        <v>473</v>
      </c>
      <c r="E2333" s="2">
        <v>565.444444444444</v>
      </c>
      <c r="F2333" s="1">
        <v>9</v>
      </c>
      <c r="G2333" s="1">
        <v>4197.83</v>
      </c>
      <c r="H2333" s="1" t="s">
        <v>10</v>
      </c>
      <c r="I2333" t="str">
        <f t="shared" si="36"/>
        <v>ZINC T-LIGHT HOLDER STARS SMALL [23144]</v>
      </c>
    </row>
    <row r="2334" spans="1:9" x14ac:dyDescent="0.3">
      <c r="A2334" s="1">
        <v>23145</v>
      </c>
      <c r="B2334" t="s">
        <v>3814</v>
      </c>
      <c r="C2334" s="1">
        <v>0.95</v>
      </c>
      <c r="D2334" s="1">
        <v>185</v>
      </c>
      <c r="E2334" s="2">
        <v>189.45454545454501</v>
      </c>
      <c r="F2334" s="1">
        <v>9</v>
      </c>
      <c r="G2334" s="1">
        <v>1979.48</v>
      </c>
      <c r="H2334" s="1" t="s">
        <v>10</v>
      </c>
      <c r="I2334" t="str">
        <f t="shared" si="36"/>
        <v>ZINC T-LIGHT HOLDER STAR LARGE [23145]</v>
      </c>
    </row>
    <row r="2335" spans="1:9" x14ac:dyDescent="0.3">
      <c r="A2335" s="1">
        <v>23146</v>
      </c>
      <c r="B2335" t="s">
        <v>3813</v>
      </c>
      <c r="C2335" s="1">
        <v>3.29</v>
      </c>
      <c r="D2335" s="1">
        <v>93</v>
      </c>
      <c r="E2335" s="2">
        <v>88.6666666666666</v>
      </c>
      <c r="F2335" s="1">
        <v>9</v>
      </c>
      <c r="G2335" s="1">
        <v>2645.26</v>
      </c>
      <c r="H2335" s="1" t="s">
        <v>10</v>
      </c>
      <c r="I2335" t="str">
        <f t="shared" si="36"/>
        <v>TRIPLE HOOK ANTIQUE IVORY ROSE [23146]</v>
      </c>
    </row>
    <row r="2336" spans="1:9" x14ac:dyDescent="0.3">
      <c r="A2336" s="1">
        <v>23147</v>
      </c>
      <c r="B2336" t="s">
        <v>3812</v>
      </c>
      <c r="C2336" s="1">
        <v>1.45</v>
      </c>
      <c r="D2336" s="1">
        <v>188</v>
      </c>
      <c r="E2336" s="2">
        <v>207.555555555555</v>
      </c>
      <c r="F2336" s="1">
        <v>9</v>
      </c>
      <c r="G2336" s="2">
        <v>2752.2</v>
      </c>
      <c r="H2336" s="1" t="s">
        <v>10</v>
      </c>
      <c r="I2336" t="str">
        <f t="shared" si="36"/>
        <v>SINGLE ANTIQUE ROSE HOOK IVORY [23147]</v>
      </c>
    </row>
    <row r="2337" spans="1:9" x14ac:dyDescent="0.3">
      <c r="A2337" s="1">
        <v>23148</v>
      </c>
      <c r="B2337" t="s">
        <v>3811</v>
      </c>
      <c r="C2337" s="1">
        <v>0.84</v>
      </c>
      <c r="D2337" s="1">
        <v>190.5</v>
      </c>
      <c r="E2337" s="1">
        <v>213.9</v>
      </c>
      <c r="F2337" s="1">
        <v>9</v>
      </c>
      <c r="G2337" s="1">
        <v>1816.31</v>
      </c>
      <c r="H2337" s="1" t="s">
        <v>10</v>
      </c>
      <c r="I2337" t="str">
        <f t="shared" si="36"/>
        <v>MINIATURE ANTIQUE ROSE HOOK IVORY [23148]</v>
      </c>
    </row>
    <row r="2338" spans="1:9" x14ac:dyDescent="0.3">
      <c r="A2338" s="1">
        <v>23149</v>
      </c>
      <c r="B2338" t="s">
        <v>3810</v>
      </c>
      <c r="C2338" s="1">
        <v>2.4900000000000002</v>
      </c>
      <c r="D2338" s="1">
        <v>9</v>
      </c>
      <c r="E2338" s="2">
        <v>14.1428571428571</v>
      </c>
      <c r="F2338" s="1">
        <v>7</v>
      </c>
      <c r="G2338" s="1">
        <v>251.45</v>
      </c>
      <c r="H2338" s="1" t="s">
        <v>8</v>
      </c>
      <c r="I2338" t="str">
        <f t="shared" si="36"/>
        <v>ANTIQUE IVORY WIRE BOWL SMALL [23149]</v>
      </c>
    </row>
    <row r="2339" spans="1:9" x14ac:dyDescent="0.3">
      <c r="A2339" s="1">
        <v>23150</v>
      </c>
      <c r="B2339" t="s">
        <v>3809</v>
      </c>
      <c r="C2339" s="1">
        <v>2.59</v>
      </c>
      <c r="D2339" s="1">
        <v>15</v>
      </c>
      <c r="E2339" s="2">
        <v>16.4444444444444</v>
      </c>
      <c r="F2339" s="1">
        <v>9</v>
      </c>
      <c r="G2339" s="1">
        <v>390.75</v>
      </c>
      <c r="H2339" s="1" t="s">
        <v>9</v>
      </c>
      <c r="I2339" t="str">
        <f t="shared" si="36"/>
        <v>IVORY SWEETHEART SOAP DISH [23150]</v>
      </c>
    </row>
    <row r="2340" spans="1:9" x14ac:dyDescent="0.3">
      <c r="A2340" s="1">
        <v>23151</v>
      </c>
      <c r="B2340" t="s">
        <v>3808</v>
      </c>
      <c r="C2340" s="1">
        <v>2.4900000000000002</v>
      </c>
      <c r="D2340" s="1">
        <v>4.5</v>
      </c>
      <c r="E2340" s="1">
        <v>7.625</v>
      </c>
      <c r="F2340" s="1">
        <v>8</v>
      </c>
      <c r="G2340" s="1">
        <v>114.33</v>
      </c>
      <c r="H2340" s="1" t="s">
        <v>8</v>
      </c>
      <c r="I2340" t="str">
        <f t="shared" si="36"/>
        <v>ZINC SWEETHEART SOAP DISH [23151]</v>
      </c>
    </row>
    <row r="2341" spans="1:9" x14ac:dyDescent="0.3">
      <c r="A2341" s="1">
        <v>23152</v>
      </c>
      <c r="B2341" t="s">
        <v>3807</v>
      </c>
      <c r="C2341" s="1">
        <v>3.75</v>
      </c>
      <c r="D2341" s="1">
        <v>56</v>
      </c>
      <c r="E2341" s="2">
        <v>61.5555555555555</v>
      </c>
      <c r="F2341" s="1">
        <v>9</v>
      </c>
      <c r="G2341" s="1">
        <v>2080.65</v>
      </c>
      <c r="H2341" s="1" t="s">
        <v>9</v>
      </c>
      <c r="I2341" t="str">
        <f t="shared" si="36"/>
        <v>IVORY SWEETHEART WIRE LETTER RACK [23152]</v>
      </c>
    </row>
    <row r="2342" spans="1:9" x14ac:dyDescent="0.3">
      <c r="A2342" s="1">
        <v>23153</v>
      </c>
      <c r="B2342" t="s">
        <v>3806</v>
      </c>
      <c r="C2342" s="1">
        <v>3.89</v>
      </c>
      <c r="D2342" s="1">
        <v>35</v>
      </c>
      <c r="E2342" s="2">
        <v>29.2222222222222</v>
      </c>
      <c r="F2342" s="1">
        <v>9</v>
      </c>
      <c r="G2342" s="1">
        <v>1020.69</v>
      </c>
      <c r="H2342" s="1" t="s">
        <v>9</v>
      </c>
      <c r="I2342" t="str">
        <f t="shared" si="36"/>
        <v>ZINC SWEETHEART WIRE LETTER RACK [23153]</v>
      </c>
    </row>
    <row r="2343" spans="1:9" x14ac:dyDescent="0.3">
      <c r="A2343" s="1">
        <v>23154</v>
      </c>
      <c r="B2343" t="s">
        <v>3805</v>
      </c>
      <c r="C2343" s="1">
        <v>2.08</v>
      </c>
      <c r="D2343" s="1">
        <v>256.5</v>
      </c>
      <c r="E2343" s="1">
        <v>270.10000000000002</v>
      </c>
      <c r="F2343" s="1">
        <v>10</v>
      </c>
      <c r="G2343" s="1">
        <v>5842.88</v>
      </c>
      <c r="H2343" s="1" t="s">
        <v>10</v>
      </c>
      <c r="I2343" t="str">
        <f t="shared" si="36"/>
        <v>SET OF 4 JAM JAR MAGNETS [23154]</v>
      </c>
    </row>
    <row r="2344" spans="1:9" x14ac:dyDescent="0.3">
      <c r="A2344" s="1">
        <v>23155</v>
      </c>
      <c r="B2344" t="s">
        <v>3804</v>
      </c>
      <c r="C2344" s="1">
        <v>0.86499999999999999</v>
      </c>
      <c r="D2344" s="1">
        <v>183</v>
      </c>
      <c r="E2344" s="1">
        <v>222.1</v>
      </c>
      <c r="F2344" s="1">
        <v>10</v>
      </c>
      <c r="G2344" s="1">
        <v>1904.77</v>
      </c>
      <c r="H2344" s="1" t="s">
        <v>10</v>
      </c>
      <c r="I2344" t="str">
        <f t="shared" si="36"/>
        <v>KNICKERBOCKERGLORY MAGNET ASSORTED [23155]</v>
      </c>
    </row>
    <row r="2345" spans="1:9" x14ac:dyDescent="0.3">
      <c r="A2345" s="1">
        <v>23156</v>
      </c>
      <c r="B2345" t="s">
        <v>3803</v>
      </c>
      <c r="C2345" s="2">
        <v>2.09499999999999</v>
      </c>
      <c r="D2345" s="1">
        <v>156.5</v>
      </c>
      <c r="E2345" s="1">
        <v>166.5</v>
      </c>
      <c r="F2345" s="1">
        <v>10</v>
      </c>
      <c r="G2345" s="1">
        <v>3423.29</v>
      </c>
      <c r="H2345" s="1" t="s">
        <v>10</v>
      </c>
      <c r="I2345" t="str">
        <f t="shared" si="36"/>
        <v>SET OF 5 MINI GROCERY MAGNETS [23156]</v>
      </c>
    </row>
    <row r="2346" spans="1:9" x14ac:dyDescent="0.3">
      <c r="A2346" s="1">
        <v>23157</v>
      </c>
      <c r="B2346" t="s">
        <v>3802</v>
      </c>
      <c r="C2346" s="1">
        <v>2.06</v>
      </c>
      <c r="D2346" s="1">
        <v>140.5</v>
      </c>
      <c r="E2346" s="1">
        <v>255.7</v>
      </c>
      <c r="F2346" s="1">
        <v>10</v>
      </c>
      <c r="G2346" s="2">
        <v>5143.0599999999904</v>
      </c>
      <c r="H2346" s="1" t="s">
        <v>10</v>
      </c>
      <c r="I2346" t="str">
        <f t="shared" si="36"/>
        <v>SET OF 6 NATIVITY MAGNETS [23157]</v>
      </c>
    </row>
    <row r="2347" spans="1:9" x14ac:dyDescent="0.3">
      <c r="A2347" s="1">
        <v>23158</v>
      </c>
      <c r="B2347" t="s">
        <v>3801</v>
      </c>
      <c r="C2347" s="2">
        <v>2.09499999999999</v>
      </c>
      <c r="D2347" s="1">
        <v>273.5</v>
      </c>
      <c r="E2347" s="1">
        <v>263.3</v>
      </c>
      <c r="F2347" s="1">
        <v>10</v>
      </c>
      <c r="G2347" s="1">
        <v>5513.83</v>
      </c>
      <c r="H2347" s="1" t="s">
        <v>10</v>
      </c>
      <c r="I2347" t="str">
        <f t="shared" si="36"/>
        <v>SET OF 5 LUCKY CAT MAGNETS [23158]</v>
      </c>
    </row>
    <row r="2348" spans="1:9" x14ac:dyDescent="0.3">
      <c r="A2348" s="1">
        <v>23159</v>
      </c>
      <c r="B2348" t="s">
        <v>3800</v>
      </c>
      <c r="C2348" s="1">
        <v>2.1</v>
      </c>
      <c r="D2348" s="1">
        <v>236</v>
      </c>
      <c r="E2348" s="2">
        <v>254.777777777777</v>
      </c>
      <c r="F2348" s="1">
        <v>9</v>
      </c>
      <c r="G2348" s="1">
        <v>4713.5200000000004</v>
      </c>
      <c r="H2348" s="1" t="s">
        <v>10</v>
      </c>
      <c r="I2348" t="str">
        <f t="shared" si="36"/>
        <v>SET OF 5 PANCAKE DAY MAGNETS [23159]</v>
      </c>
    </row>
    <row r="2349" spans="1:9" x14ac:dyDescent="0.3">
      <c r="A2349" s="1">
        <v>23160</v>
      </c>
      <c r="B2349" t="s">
        <v>3799</v>
      </c>
      <c r="C2349" s="1">
        <v>1.26</v>
      </c>
      <c r="D2349" s="1">
        <v>179</v>
      </c>
      <c r="E2349" s="1">
        <v>181.25</v>
      </c>
      <c r="F2349" s="1">
        <v>8</v>
      </c>
      <c r="G2349" s="1">
        <v>1794.48</v>
      </c>
      <c r="H2349" s="1" t="s">
        <v>10</v>
      </c>
      <c r="I2349" t="str">
        <f t="shared" si="36"/>
        <v>REGENCY TEA SPOON [23160]</v>
      </c>
    </row>
    <row r="2350" spans="1:9" x14ac:dyDescent="0.3">
      <c r="A2350" s="1">
        <v>23161</v>
      </c>
      <c r="B2350" t="s">
        <v>3798</v>
      </c>
      <c r="C2350" s="2">
        <v>1.2649999999999999</v>
      </c>
      <c r="D2350" s="1">
        <v>237.5</v>
      </c>
      <c r="E2350" s="1">
        <v>214.375</v>
      </c>
      <c r="F2350" s="1">
        <v>8</v>
      </c>
      <c r="G2350" s="1">
        <v>2145.3000000000002</v>
      </c>
      <c r="H2350" s="1" t="s">
        <v>10</v>
      </c>
      <c r="I2350" t="str">
        <f t="shared" si="36"/>
        <v>REGENCY CAKE FORK [23161]</v>
      </c>
    </row>
    <row r="2351" spans="1:9" x14ac:dyDescent="0.3">
      <c r="A2351" s="1">
        <v>23162</v>
      </c>
      <c r="B2351" t="s">
        <v>3797</v>
      </c>
      <c r="C2351" s="1">
        <v>3.75</v>
      </c>
      <c r="D2351" s="1">
        <v>137</v>
      </c>
      <c r="E2351" s="2">
        <v>156.888888888888</v>
      </c>
      <c r="F2351" s="1">
        <v>9</v>
      </c>
      <c r="G2351" s="1">
        <v>5143.6899999999996</v>
      </c>
      <c r="H2351" s="1" t="s">
        <v>10</v>
      </c>
      <c r="I2351" t="str">
        <f t="shared" si="36"/>
        <v>REGENCY TEA STRAINER [23162]</v>
      </c>
    </row>
    <row r="2352" spans="1:9" x14ac:dyDescent="0.3">
      <c r="A2352" s="1">
        <v>23163</v>
      </c>
      <c r="B2352" t="s">
        <v>3796</v>
      </c>
      <c r="C2352" s="1">
        <v>2.4700000000000002</v>
      </c>
      <c r="D2352" s="1">
        <v>243</v>
      </c>
      <c r="E2352" s="2">
        <v>203.555555555555</v>
      </c>
      <c r="F2352" s="1">
        <v>9</v>
      </c>
      <c r="G2352" s="1">
        <v>4515.22</v>
      </c>
      <c r="H2352" s="1" t="s">
        <v>10</v>
      </c>
      <c r="I2352" t="str">
        <f t="shared" si="36"/>
        <v>REGENCY SUGAR TONGS [23163]</v>
      </c>
    </row>
    <row r="2353" spans="1:9" x14ac:dyDescent="0.3">
      <c r="A2353" s="1">
        <v>23164</v>
      </c>
      <c r="B2353" t="s">
        <v>3795</v>
      </c>
      <c r="C2353" s="1">
        <v>4.8449999999999998</v>
      </c>
      <c r="D2353" s="1">
        <v>67.5</v>
      </c>
      <c r="E2353" s="1">
        <v>72.25</v>
      </c>
      <c r="F2353" s="1">
        <v>8</v>
      </c>
      <c r="G2353" s="1">
        <v>2718.65</v>
      </c>
      <c r="H2353" s="1" t="s">
        <v>10</v>
      </c>
      <c r="I2353" t="str">
        <f t="shared" si="36"/>
        <v>REGENCY CAKE SLICE [23164]</v>
      </c>
    </row>
    <row r="2354" spans="1:9" x14ac:dyDescent="0.3">
      <c r="A2354" s="1">
        <v>23165</v>
      </c>
      <c r="B2354" t="s">
        <v>3794</v>
      </c>
      <c r="C2354" s="1">
        <v>1.635</v>
      </c>
      <c r="D2354" s="1">
        <v>336</v>
      </c>
      <c r="E2354" s="1">
        <v>389.25</v>
      </c>
      <c r="F2354" s="1">
        <v>8</v>
      </c>
      <c r="G2354" s="1">
        <v>5141.0600000000004</v>
      </c>
      <c r="H2354" s="1" t="s">
        <v>10</v>
      </c>
      <c r="I2354" t="str">
        <f t="shared" si="36"/>
        <v>LARGE CERAMIC TOP STORAGE JAR [23165]</v>
      </c>
    </row>
    <row r="2355" spans="1:9" x14ac:dyDescent="0.3">
      <c r="A2355" s="1">
        <v>23166</v>
      </c>
      <c r="B2355" t="s">
        <v>3793</v>
      </c>
      <c r="C2355" s="1">
        <v>1.18</v>
      </c>
      <c r="D2355" s="1">
        <v>427</v>
      </c>
      <c r="E2355" s="2">
        <v>8670.3333333333303</v>
      </c>
      <c r="F2355" s="1">
        <v>9</v>
      </c>
      <c r="G2355" s="2">
        <v>81700.92</v>
      </c>
      <c r="H2355" s="1" t="s">
        <v>10</v>
      </c>
      <c r="I2355" t="str">
        <f t="shared" si="36"/>
        <v>MEDIUM CERAMIC TOP STORAGE JAR [23166]</v>
      </c>
    </row>
    <row r="2356" spans="1:9" x14ac:dyDescent="0.3">
      <c r="A2356" s="1">
        <v>23167</v>
      </c>
      <c r="B2356" t="s">
        <v>3792</v>
      </c>
      <c r="C2356" s="2">
        <v>0.80499999999999905</v>
      </c>
      <c r="D2356" s="1">
        <v>473.5</v>
      </c>
      <c r="E2356" s="1">
        <v>730.875</v>
      </c>
      <c r="F2356" s="1">
        <v>8</v>
      </c>
      <c r="G2356" s="1">
        <v>4476.01</v>
      </c>
      <c r="H2356" s="1" t="s">
        <v>10</v>
      </c>
      <c r="I2356" t="str">
        <f t="shared" si="36"/>
        <v>SMALL CERAMIC TOP STORAGE JAR [23167]</v>
      </c>
    </row>
    <row r="2357" spans="1:9" x14ac:dyDescent="0.3">
      <c r="A2357" s="1">
        <v>23168</v>
      </c>
      <c r="B2357" t="s">
        <v>3791</v>
      </c>
      <c r="C2357" s="1">
        <v>1.41</v>
      </c>
      <c r="D2357" s="1">
        <v>346.5</v>
      </c>
      <c r="E2357" s="1">
        <v>329.1</v>
      </c>
      <c r="F2357" s="1">
        <v>8</v>
      </c>
      <c r="G2357" s="1">
        <v>4558.67</v>
      </c>
      <c r="H2357" s="1" t="s">
        <v>10</v>
      </c>
      <c r="I2357" t="str">
        <f t="shared" si="36"/>
        <v>CLASSIC CAFE SUGAR DISPENSER [23168]</v>
      </c>
    </row>
    <row r="2358" spans="1:9" x14ac:dyDescent="0.3">
      <c r="A2358" s="1">
        <v>23169</v>
      </c>
      <c r="B2358" t="s">
        <v>3790</v>
      </c>
      <c r="C2358" s="2">
        <v>4.1849999999999996</v>
      </c>
      <c r="D2358" s="1">
        <v>89</v>
      </c>
      <c r="E2358" s="2">
        <v>129.666666666666</v>
      </c>
      <c r="F2358" s="1">
        <v>8</v>
      </c>
      <c r="G2358" s="1">
        <v>6662.84</v>
      </c>
      <c r="H2358" s="1" t="s">
        <v>10</v>
      </c>
      <c r="I2358" t="str">
        <f t="shared" si="36"/>
        <v>CLASSIC GLASS COOKIE JAR [23169]</v>
      </c>
    </row>
    <row r="2359" spans="1:9" x14ac:dyDescent="0.3">
      <c r="A2359" s="1">
        <v>23170</v>
      </c>
      <c r="B2359" t="s">
        <v>3789</v>
      </c>
      <c r="C2359" s="1">
        <v>1.64</v>
      </c>
      <c r="D2359" s="1">
        <v>825.5</v>
      </c>
      <c r="E2359" s="1">
        <v>857.125</v>
      </c>
      <c r="F2359" s="1">
        <v>8</v>
      </c>
      <c r="G2359" s="1">
        <v>11097.25</v>
      </c>
      <c r="H2359" s="1" t="s">
        <v>10</v>
      </c>
      <c r="I2359" t="str">
        <f t="shared" si="36"/>
        <v>REGENCY TEA PLATE ROSES [23170]</v>
      </c>
    </row>
    <row r="2360" spans="1:9" x14ac:dyDescent="0.3">
      <c r="A2360" s="1">
        <v>23171</v>
      </c>
      <c r="B2360" t="s">
        <v>3788</v>
      </c>
      <c r="C2360" s="2">
        <v>1.6749999999999901</v>
      </c>
      <c r="D2360" s="1">
        <v>629.5</v>
      </c>
      <c r="E2360" s="1">
        <v>780.875</v>
      </c>
      <c r="F2360" s="1">
        <v>8</v>
      </c>
      <c r="G2360" s="1">
        <v>10051.99</v>
      </c>
      <c r="H2360" s="1" t="s">
        <v>10</v>
      </c>
      <c r="I2360" t="str">
        <f t="shared" si="36"/>
        <v>REGENCY TEA PLATE GREEN [23171]</v>
      </c>
    </row>
    <row r="2361" spans="1:9" x14ac:dyDescent="0.3">
      <c r="A2361" s="1">
        <v>23172</v>
      </c>
      <c r="B2361" t="s">
        <v>3787</v>
      </c>
      <c r="C2361" s="1">
        <v>1.66</v>
      </c>
      <c r="D2361" s="1">
        <v>397.5</v>
      </c>
      <c r="E2361" s="1">
        <v>482.625</v>
      </c>
      <c r="F2361" s="1">
        <v>8</v>
      </c>
      <c r="G2361" s="1">
        <v>6344.41</v>
      </c>
      <c r="H2361" s="1" t="s">
        <v>10</v>
      </c>
      <c r="I2361" t="str">
        <f t="shared" si="36"/>
        <v>REGENCY TEA PLATE PINK [23172]</v>
      </c>
    </row>
    <row r="2362" spans="1:9" x14ac:dyDescent="0.3">
      <c r="A2362" s="1">
        <v>23173</v>
      </c>
      <c r="B2362" t="s">
        <v>3786</v>
      </c>
      <c r="C2362" s="1">
        <v>9.2349999999999994</v>
      </c>
      <c r="D2362" s="1">
        <v>271</v>
      </c>
      <c r="E2362" s="1">
        <v>345.75</v>
      </c>
      <c r="F2362" s="1">
        <v>8</v>
      </c>
      <c r="G2362" s="2">
        <v>24879.129999999899</v>
      </c>
      <c r="H2362" s="1" t="s">
        <v>10</v>
      </c>
      <c r="I2362" t="str">
        <f t="shared" si="36"/>
        <v>REGENCY TEAPOT ROSES [23173]</v>
      </c>
    </row>
    <row r="2363" spans="1:9" x14ac:dyDescent="0.3">
      <c r="A2363" s="1">
        <v>23174</v>
      </c>
      <c r="B2363" t="s">
        <v>3785</v>
      </c>
      <c r="C2363" s="1">
        <v>4.1100000000000003</v>
      </c>
      <c r="D2363" s="1">
        <v>275.5</v>
      </c>
      <c r="E2363" s="1">
        <v>381.875</v>
      </c>
      <c r="F2363" s="1">
        <v>8</v>
      </c>
      <c r="G2363" s="1">
        <v>12342.43</v>
      </c>
      <c r="H2363" s="1" t="s">
        <v>10</v>
      </c>
      <c r="I2363" t="str">
        <f t="shared" si="36"/>
        <v>REGENCY SUGAR BOWL GREEN [23174]</v>
      </c>
    </row>
    <row r="2364" spans="1:9" x14ac:dyDescent="0.3">
      <c r="A2364" s="1">
        <v>23175</v>
      </c>
      <c r="B2364" t="s">
        <v>3784</v>
      </c>
      <c r="C2364" s="1">
        <v>3.105</v>
      </c>
      <c r="D2364" s="1">
        <v>273.5</v>
      </c>
      <c r="E2364" s="1">
        <v>395</v>
      </c>
      <c r="F2364" s="1">
        <v>8</v>
      </c>
      <c r="G2364" s="1">
        <v>9587.15</v>
      </c>
      <c r="H2364" s="1" t="s">
        <v>10</v>
      </c>
      <c r="I2364" t="str">
        <f t="shared" si="36"/>
        <v>REGENCY MILK JUG PINK [23175]</v>
      </c>
    </row>
    <row r="2365" spans="1:9" x14ac:dyDescent="0.3">
      <c r="A2365" s="1">
        <v>23176</v>
      </c>
      <c r="B2365" t="s">
        <v>3783</v>
      </c>
      <c r="C2365" s="1">
        <v>2.2400000000000002</v>
      </c>
      <c r="D2365" s="1">
        <v>183.5</v>
      </c>
      <c r="E2365" s="1">
        <v>216.5</v>
      </c>
      <c r="F2365" s="1">
        <v>10</v>
      </c>
      <c r="G2365" s="1">
        <v>4693.08</v>
      </c>
      <c r="H2365" s="1" t="s">
        <v>10</v>
      </c>
      <c r="I2365" t="str">
        <f t="shared" si="36"/>
        <v>ABC TREASURE BOOK BOX [23176]</v>
      </c>
    </row>
    <row r="2366" spans="1:9" x14ac:dyDescent="0.3">
      <c r="A2366" s="1">
        <v>23177</v>
      </c>
      <c r="B2366" t="s">
        <v>3782</v>
      </c>
      <c r="C2366" s="1">
        <v>2.19</v>
      </c>
      <c r="D2366" s="1">
        <v>238.5</v>
      </c>
      <c r="E2366" s="1">
        <v>253.2</v>
      </c>
      <c r="F2366" s="1">
        <v>10</v>
      </c>
      <c r="G2366" s="1">
        <v>5521.29</v>
      </c>
      <c r="H2366" s="1" t="s">
        <v>10</v>
      </c>
      <c r="I2366" t="str">
        <f t="shared" si="36"/>
        <v>TREASURE ISLAND BOOK BOX [23177]</v>
      </c>
    </row>
    <row r="2367" spans="1:9" x14ac:dyDescent="0.3">
      <c r="A2367" s="1">
        <v>23178</v>
      </c>
      <c r="B2367" t="s">
        <v>3781</v>
      </c>
      <c r="C2367" s="1">
        <v>2.9350000000000001</v>
      </c>
      <c r="D2367" s="1">
        <v>23</v>
      </c>
      <c r="E2367" s="1">
        <v>32.700000000000003</v>
      </c>
      <c r="F2367" s="1">
        <v>10</v>
      </c>
      <c r="G2367" s="1">
        <v>936.89</v>
      </c>
      <c r="H2367" s="1" t="s">
        <v>9</v>
      </c>
      <c r="I2367" t="str">
        <f t="shared" si="36"/>
        <v>JAM CLOCK MAGNET [23178]</v>
      </c>
    </row>
    <row r="2368" spans="1:9" x14ac:dyDescent="0.3">
      <c r="A2368" s="1">
        <v>23179</v>
      </c>
      <c r="B2368" t="s">
        <v>3780</v>
      </c>
      <c r="C2368" s="2">
        <v>2.9449999999999998</v>
      </c>
      <c r="D2368" s="1">
        <v>11</v>
      </c>
      <c r="E2368" s="1">
        <v>32.4</v>
      </c>
      <c r="F2368" s="1">
        <v>10</v>
      </c>
      <c r="G2368" s="1">
        <v>930.48</v>
      </c>
      <c r="H2368" s="1" t="s">
        <v>9</v>
      </c>
      <c r="I2368" t="str">
        <f t="shared" si="36"/>
        <v>CLOCK MAGNET MUM'S KITCHEN [23179]</v>
      </c>
    </row>
    <row r="2369" spans="1:9" x14ac:dyDescent="0.3">
      <c r="A2369" s="1">
        <v>23180</v>
      </c>
      <c r="B2369" t="s">
        <v>3779</v>
      </c>
      <c r="C2369" s="1">
        <v>5.4450000000000003</v>
      </c>
      <c r="D2369" s="1">
        <v>10.5</v>
      </c>
      <c r="E2369" s="1">
        <v>12.2</v>
      </c>
      <c r="F2369" s="1">
        <v>10</v>
      </c>
      <c r="G2369" s="1">
        <v>621.09</v>
      </c>
      <c r="H2369" s="1" t="s">
        <v>9</v>
      </c>
      <c r="I2369" t="str">
        <f t="shared" si="36"/>
        <v>MUM'S KITCHEN CLOCK [23180]</v>
      </c>
    </row>
    <row r="2370" spans="1:9" x14ac:dyDescent="0.3">
      <c r="A2370" s="1">
        <v>23181</v>
      </c>
      <c r="B2370" t="s">
        <v>3778</v>
      </c>
      <c r="C2370" s="1">
        <v>8.3049999999999997</v>
      </c>
      <c r="D2370" s="1">
        <v>21</v>
      </c>
      <c r="E2370" s="1">
        <v>20.100000000000001</v>
      </c>
      <c r="F2370" s="1">
        <v>10</v>
      </c>
      <c r="G2370" s="1">
        <v>1733.57</v>
      </c>
      <c r="H2370" s="1" t="s">
        <v>9</v>
      </c>
      <c r="I2370" t="str">
        <f t="shared" si="36"/>
        <v>BULL DOG BOTTLE TOP WALL CLOCK [23181]</v>
      </c>
    </row>
    <row r="2371" spans="1:9" x14ac:dyDescent="0.3">
      <c r="A2371" s="1">
        <v>23182</v>
      </c>
      <c r="B2371" t="s">
        <v>3777</v>
      </c>
      <c r="C2371" s="1">
        <v>0.96</v>
      </c>
      <c r="D2371" s="1">
        <v>356.5</v>
      </c>
      <c r="E2371" s="1">
        <v>374.1</v>
      </c>
      <c r="F2371" s="1">
        <v>10</v>
      </c>
      <c r="G2371" s="1">
        <v>3688.21</v>
      </c>
      <c r="H2371" s="1" t="s">
        <v>10</v>
      </c>
      <c r="I2371" t="str">
        <f t="shared" ref="I2371:I2434" si="37">B2371&amp;" ["&amp;A2371&amp;"]"</f>
        <v>TOILET SIGN OCCUPIED OR VACANT [23182]</v>
      </c>
    </row>
    <row r="2372" spans="1:9" x14ac:dyDescent="0.3">
      <c r="A2372" s="1">
        <v>23183</v>
      </c>
      <c r="B2372" t="s">
        <v>3776</v>
      </c>
      <c r="C2372" s="2">
        <v>3.96999999999999</v>
      </c>
      <c r="D2372" s="1">
        <v>18.5</v>
      </c>
      <c r="E2372" s="1">
        <v>22.6</v>
      </c>
      <c r="F2372" s="1">
        <v>10</v>
      </c>
      <c r="G2372" s="1">
        <v>967.17</v>
      </c>
      <c r="H2372" s="1" t="s">
        <v>9</v>
      </c>
      <c r="I2372" t="str">
        <f t="shared" si="37"/>
        <v>MOTHER'S KITCHEN SPOON REST [23183]</v>
      </c>
    </row>
    <row r="2373" spans="1:9" x14ac:dyDescent="0.3">
      <c r="A2373" s="1">
        <v>23184</v>
      </c>
      <c r="B2373" t="s">
        <v>3775</v>
      </c>
      <c r="C2373" s="1">
        <v>5.7649999999999997</v>
      </c>
      <c r="D2373" s="1">
        <v>76.5</v>
      </c>
      <c r="E2373" s="1">
        <v>87.4</v>
      </c>
      <c r="F2373" s="1">
        <v>10</v>
      </c>
      <c r="G2373" s="1">
        <v>4764.5</v>
      </c>
      <c r="H2373" s="1" t="s">
        <v>10</v>
      </c>
      <c r="I2373" t="str">
        <f t="shared" si="37"/>
        <v>BULL DOG BOTTLE OPENER [23184]</v>
      </c>
    </row>
    <row r="2374" spans="1:9" x14ac:dyDescent="0.3">
      <c r="A2374" s="1">
        <v>23185</v>
      </c>
      <c r="B2374" t="s">
        <v>3774</v>
      </c>
      <c r="C2374" s="1">
        <v>0.28999999999999998</v>
      </c>
      <c r="D2374" s="1">
        <v>27</v>
      </c>
      <c r="E2374" s="2">
        <v>41.857142857142797</v>
      </c>
      <c r="F2374" s="1">
        <v>7</v>
      </c>
      <c r="G2374" s="1">
        <v>84.85</v>
      </c>
      <c r="H2374" s="1" t="s">
        <v>9</v>
      </c>
      <c r="I2374" t="str">
        <f t="shared" si="37"/>
        <v>FRENCH STYLE STORAGE JAR JAM [23185]</v>
      </c>
    </row>
    <row r="2375" spans="1:9" x14ac:dyDescent="0.3">
      <c r="A2375" s="1">
        <v>23186</v>
      </c>
      <c r="B2375" t="s">
        <v>3773</v>
      </c>
      <c r="C2375" s="1">
        <v>0.28999999999999998</v>
      </c>
      <c r="D2375" s="1">
        <v>188</v>
      </c>
      <c r="E2375" s="2">
        <v>280.57142857142799</v>
      </c>
      <c r="F2375" s="1">
        <v>7</v>
      </c>
      <c r="G2375" s="1">
        <v>796.96</v>
      </c>
      <c r="H2375" s="1" t="s">
        <v>10</v>
      </c>
      <c r="I2375" t="str">
        <f t="shared" si="37"/>
        <v>FRENCH STYLE STORAGE JAR CAFE [23186]</v>
      </c>
    </row>
    <row r="2376" spans="1:9" x14ac:dyDescent="0.3">
      <c r="A2376" s="1">
        <v>23187</v>
      </c>
      <c r="B2376" t="s">
        <v>3772</v>
      </c>
      <c r="C2376" s="1">
        <v>0.28999999999999998</v>
      </c>
      <c r="D2376" s="1">
        <v>414</v>
      </c>
      <c r="E2376" s="2">
        <v>386.666666666666</v>
      </c>
      <c r="F2376" s="1">
        <v>6</v>
      </c>
      <c r="G2376" s="2">
        <v>672.56</v>
      </c>
      <c r="H2376" s="1" t="s">
        <v>10</v>
      </c>
      <c r="I2376" t="str">
        <f t="shared" si="37"/>
        <v>FRENCH STYLE STORAGE JAR BONBONS [23187]</v>
      </c>
    </row>
    <row r="2377" spans="1:9" x14ac:dyDescent="0.3">
      <c r="A2377" s="1">
        <v>23188</v>
      </c>
      <c r="B2377" t="s">
        <v>3771</v>
      </c>
      <c r="C2377" s="1">
        <v>1.7</v>
      </c>
      <c r="D2377" s="1">
        <v>322</v>
      </c>
      <c r="E2377" s="2">
        <v>385.666666666666</v>
      </c>
      <c r="F2377" s="1">
        <v>7</v>
      </c>
      <c r="G2377" s="1">
        <v>6447.77</v>
      </c>
      <c r="H2377" s="1" t="s">
        <v>10</v>
      </c>
      <c r="I2377" t="str">
        <f t="shared" si="37"/>
        <v>VINTAGE  2 METER FOLDING RULER [23188]</v>
      </c>
    </row>
    <row r="2378" spans="1:9" x14ac:dyDescent="0.3">
      <c r="A2378" s="1">
        <v>23189</v>
      </c>
      <c r="B2378" t="s">
        <v>3770</v>
      </c>
      <c r="C2378" s="1">
        <v>2.8</v>
      </c>
      <c r="D2378" s="1">
        <v>289</v>
      </c>
      <c r="E2378" s="1">
        <v>249.8</v>
      </c>
      <c r="F2378" s="1">
        <v>5</v>
      </c>
      <c r="G2378" s="2">
        <v>3507.5099999999902</v>
      </c>
      <c r="H2378" s="1" t="s">
        <v>10</v>
      </c>
      <c r="I2378" t="str">
        <f t="shared" si="37"/>
        <v>SET OF 12 FORK CANDLES [23189]</v>
      </c>
    </row>
    <row r="2379" spans="1:9" x14ac:dyDescent="0.3">
      <c r="A2379" s="1">
        <v>23190</v>
      </c>
      <c r="B2379" t="s">
        <v>3769</v>
      </c>
      <c r="C2379" s="1">
        <v>1.64</v>
      </c>
      <c r="D2379" s="1">
        <v>172.5</v>
      </c>
      <c r="E2379" s="1">
        <v>212.75</v>
      </c>
      <c r="F2379" s="1">
        <v>8</v>
      </c>
      <c r="G2379" s="1">
        <v>2761.9</v>
      </c>
      <c r="H2379" s="1" t="s">
        <v>10</v>
      </c>
      <c r="I2379" t="str">
        <f t="shared" si="37"/>
        <v>BUNDLE OF 3 SCHOOL EXERCISE BOOKS [23190]</v>
      </c>
    </row>
    <row r="2380" spans="1:9" x14ac:dyDescent="0.3">
      <c r="A2380" s="1">
        <v>23191</v>
      </c>
      <c r="B2380" t="s">
        <v>3768</v>
      </c>
      <c r="C2380" s="1">
        <v>1.65</v>
      </c>
      <c r="D2380" s="1">
        <v>271</v>
      </c>
      <c r="E2380" s="2">
        <v>244.555555555555</v>
      </c>
      <c r="F2380" s="1">
        <v>8</v>
      </c>
      <c r="G2380" s="1">
        <v>3628.89</v>
      </c>
      <c r="H2380" s="1" t="s">
        <v>10</v>
      </c>
      <c r="I2380" t="str">
        <f t="shared" si="37"/>
        <v>BUNDLE OF 3 RETRO EXERCISE BOOKS [23191]</v>
      </c>
    </row>
    <row r="2381" spans="1:9" x14ac:dyDescent="0.3">
      <c r="A2381" s="1">
        <v>23192</v>
      </c>
      <c r="B2381" t="s">
        <v>3767</v>
      </c>
      <c r="C2381" s="1">
        <v>1.61</v>
      </c>
      <c r="D2381" s="1">
        <v>440</v>
      </c>
      <c r="E2381" s="1">
        <v>439.5</v>
      </c>
      <c r="F2381" s="1">
        <v>8</v>
      </c>
      <c r="G2381" s="1">
        <v>6114.24</v>
      </c>
      <c r="H2381" s="1" t="s">
        <v>10</v>
      </c>
      <c r="I2381" t="str">
        <f t="shared" si="37"/>
        <v>BUNDLE OF 3 ALPHABET EXERCISE BOOKS [23192]</v>
      </c>
    </row>
    <row r="2382" spans="1:9" x14ac:dyDescent="0.3">
      <c r="A2382" s="1">
        <v>23193</v>
      </c>
      <c r="B2382" t="s">
        <v>3766</v>
      </c>
      <c r="C2382" s="1">
        <v>2.16</v>
      </c>
      <c r="D2382" s="1">
        <v>183.5</v>
      </c>
      <c r="E2382" s="1">
        <v>192.2</v>
      </c>
      <c r="F2382" s="1">
        <v>10</v>
      </c>
      <c r="G2382" s="2">
        <v>4079.2799999999902</v>
      </c>
      <c r="H2382" s="1" t="s">
        <v>10</v>
      </c>
      <c r="I2382" t="str">
        <f t="shared" si="37"/>
        <v>BUFFALO BILL TREASURE BOOK BOX [23193]</v>
      </c>
    </row>
    <row r="2383" spans="1:9" x14ac:dyDescent="0.3">
      <c r="A2383" s="1">
        <v>23194</v>
      </c>
      <c r="B2383" t="s">
        <v>3765</v>
      </c>
      <c r="C2383" s="1">
        <v>2.25</v>
      </c>
      <c r="D2383" s="1">
        <v>83.5</v>
      </c>
      <c r="E2383" s="2">
        <v>131.07142857142799</v>
      </c>
      <c r="F2383" s="1">
        <v>10</v>
      </c>
      <c r="G2383" s="1">
        <v>4077.37</v>
      </c>
      <c r="H2383" s="1" t="s">
        <v>10</v>
      </c>
      <c r="I2383" t="str">
        <f t="shared" si="37"/>
        <v>GYMKHANA TREASURE BOOK BOX [23194]</v>
      </c>
    </row>
    <row r="2384" spans="1:9" x14ac:dyDescent="0.3">
      <c r="A2384" s="1">
        <v>23196</v>
      </c>
      <c r="B2384" t="s">
        <v>3764</v>
      </c>
      <c r="C2384" s="1">
        <v>1.4550000000000001</v>
      </c>
      <c r="D2384" s="1">
        <v>59.5</v>
      </c>
      <c r="E2384" s="1">
        <v>156</v>
      </c>
      <c r="F2384" s="1">
        <v>7</v>
      </c>
      <c r="G2384" s="1">
        <v>2842.24</v>
      </c>
      <c r="H2384" s="1" t="s">
        <v>9</v>
      </c>
      <c r="I2384" t="str">
        <f t="shared" si="37"/>
        <v>RETO LEAVES MAGNETIC SHOPPING LIST [23196]</v>
      </c>
    </row>
    <row r="2385" spans="1:9" x14ac:dyDescent="0.3">
      <c r="A2385" s="1">
        <v>23197</v>
      </c>
      <c r="B2385" t="s">
        <v>3763</v>
      </c>
      <c r="C2385" s="1">
        <v>1.47</v>
      </c>
      <c r="D2385" s="1">
        <v>153</v>
      </c>
      <c r="E2385" s="2">
        <v>164.222222222222</v>
      </c>
      <c r="F2385" s="1">
        <v>7</v>
      </c>
      <c r="G2385" s="1">
        <v>2303.5</v>
      </c>
      <c r="H2385" s="1" t="s">
        <v>10</v>
      </c>
      <c r="I2385" t="str">
        <f t="shared" si="37"/>
        <v>SKETCHBOOK MAGNETIC SHOPPING LIST [23197]</v>
      </c>
    </row>
    <row r="2386" spans="1:9" x14ac:dyDescent="0.3">
      <c r="A2386" s="1">
        <v>23198</v>
      </c>
      <c r="B2386" t="s">
        <v>3762</v>
      </c>
      <c r="C2386" s="1">
        <v>1.49</v>
      </c>
      <c r="D2386" s="1">
        <v>485</v>
      </c>
      <c r="E2386" s="2">
        <v>477.42857142857099</v>
      </c>
      <c r="F2386" s="1">
        <v>7</v>
      </c>
      <c r="G2386" s="1">
        <v>5062.6000000000004</v>
      </c>
      <c r="H2386" s="1" t="s">
        <v>10</v>
      </c>
      <c r="I2386" t="str">
        <f t="shared" si="37"/>
        <v>PANTRY MAGNETIC  SHOPPING LIST [23198]</v>
      </c>
    </row>
    <row r="2387" spans="1:9" x14ac:dyDescent="0.3">
      <c r="A2387" s="1">
        <v>23199</v>
      </c>
      <c r="B2387" t="s">
        <v>3761</v>
      </c>
      <c r="C2387" s="1">
        <v>2.06</v>
      </c>
      <c r="D2387" s="1">
        <v>1553</v>
      </c>
      <c r="E2387" s="2">
        <v>1656.44444444444</v>
      </c>
      <c r="F2387" s="1">
        <v>9</v>
      </c>
      <c r="G2387" s="2">
        <v>30450.69</v>
      </c>
      <c r="H2387" s="1" t="s">
        <v>10</v>
      </c>
      <c r="I2387" t="str">
        <f t="shared" si="37"/>
        <v>JUMBO BAG APPLES [23199]</v>
      </c>
    </row>
    <row r="2388" spans="1:9" x14ac:dyDescent="0.3">
      <c r="A2388" s="1">
        <v>23200</v>
      </c>
      <c r="B2388" t="s">
        <v>3760</v>
      </c>
      <c r="C2388" s="2">
        <v>2.0299999999999998</v>
      </c>
      <c r="D2388" s="1">
        <v>937</v>
      </c>
      <c r="E2388" s="1">
        <v>883.375</v>
      </c>
      <c r="F2388" s="1">
        <v>8</v>
      </c>
      <c r="G2388" s="2">
        <v>14188.96</v>
      </c>
      <c r="H2388" s="1" t="s">
        <v>10</v>
      </c>
      <c r="I2388" t="str">
        <f t="shared" si="37"/>
        <v>JUMBO BAG PEARS [23200]</v>
      </c>
    </row>
    <row r="2389" spans="1:9" x14ac:dyDescent="0.3">
      <c r="A2389" s="1">
        <v>23201</v>
      </c>
      <c r="B2389" t="s">
        <v>3759</v>
      </c>
      <c r="C2389" s="1">
        <v>2</v>
      </c>
      <c r="D2389" s="1">
        <v>1518</v>
      </c>
      <c r="E2389" s="2">
        <v>1485.1111111111099</v>
      </c>
      <c r="F2389" s="1">
        <v>9</v>
      </c>
      <c r="G2389" s="2">
        <v>27850.8299999999</v>
      </c>
      <c r="H2389" s="1" t="s">
        <v>10</v>
      </c>
      <c r="I2389" t="str">
        <f t="shared" si="37"/>
        <v>JUMBO BAG ALPHABET [23201]</v>
      </c>
    </row>
    <row r="2390" spans="1:9" x14ac:dyDescent="0.3">
      <c r="A2390" s="1">
        <v>23202</v>
      </c>
      <c r="B2390" t="s">
        <v>3758</v>
      </c>
      <c r="C2390" s="1">
        <v>2.02</v>
      </c>
      <c r="D2390" s="1">
        <v>1390</v>
      </c>
      <c r="E2390" s="1">
        <v>1367.625</v>
      </c>
      <c r="F2390" s="1">
        <v>8</v>
      </c>
      <c r="G2390" s="1">
        <v>21810.43</v>
      </c>
      <c r="H2390" s="1" t="s">
        <v>10</v>
      </c>
      <c r="I2390" t="str">
        <f t="shared" si="37"/>
        <v>JUMBO BAG VINTAGE LEAF [23202]</v>
      </c>
    </row>
    <row r="2391" spans="1:9" x14ac:dyDescent="0.3">
      <c r="A2391" s="1">
        <v>23203</v>
      </c>
      <c r="B2391" t="s">
        <v>3757</v>
      </c>
      <c r="C2391" s="1">
        <v>1.99</v>
      </c>
      <c r="D2391" s="1">
        <v>1992</v>
      </c>
      <c r="E2391" s="2">
        <v>1575.76923076923</v>
      </c>
      <c r="F2391" s="1">
        <v>8</v>
      </c>
      <c r="G2391" s="1">
        <v>42030.34</v>
      </c>
      <c r="H2391" s="1" t="s">
        <v>10</v>
      </c>
      <c r="I2391" t="str">
        <f t="shared" si="37"/>
        <v>JUMBO BAG DOILEY PATTERNS [23203]</v>
      </c>
    </row>
    <row r="2392" spans="1:9" x14ac:dyDescent="0.3">
      <c r="A2392" s="1">
        <v>23204</v>
      </c>
      <c r="B2392" t="s">
        <v>3756</v>
      </c>
      <c r="C2392" s="1">
        <v>1.02</v>
      </c>
      <c r="D2392" s="1">
        <v>986</v>
      </c>
      <c r="E2392" s="2">
        <v>886.22222222222194</v>
      </c>
      <c r="F2392" s="1">
        <v>9</v>
      </c>
      <c r="G2392" s="1">
        <v>7741.94</v>
      </c>
      <c r="H2392" s="1" t="s">
        <v>10</v>
      </c>
      <c r="I2392" t="str">
        <f t="shared" si="37"/>
        <v>CHARLOTTE BAG APPLES DESIGN [23204]</v>
      </c>
    </row>
    <row r="2393" spans="1:9" x14ac:dyDescent="0.3">
      <c r="A2393" s="1">
        <v>23205</v>
      </c>
      <c r="B2393" t="s">
        <v>3755</v>
      </c>
      <c r="C2393" s="2">
        <v>0.90999999999999903</v>
      </c>
      <c r="D2393" s="1">
        <v>571</v>
      </c>
      <c r="E2393" s="2">
        <v>488.08333333333297</v>
      </c>
      <c r="F2393" s="1">
        <v>9</v>
      </c>
      <c r="G2393" s="1">
        <v>5726.38</v>
      </c>
      <c r="H2393" s="1" t="s">
        <v>10</v>
      </c>
      <c r="I2393" t="str">
        <f t="shared" si="37"/>
        <v>CHARLOTTE BAG ALPHABET  DESIGN [23205]</v>
      </c>
    </row>
    <row r="2394" spans="1:9" x14ac:dyDescent="0.3">
      <c r="A2394" s="1">
        <v>23206</v>
      </c>
      <c r="B2394" t="s">
        <v>3754</v>
      </c>
      <c r="C2394" s="1">
        <v>1.75</v>
      </c>
      <c r="D2394" s="1">
        <v>1352</v>
      </c>
      <c r="E2394" s="2">
        <v>1349.6666666666599</v>
      </c>
      <c r="F2394" s="1">
        <v>9</v>
      </c>
      <c r="G2394" s="2">
        <v>20852.5799999999</v>
      </c>
      <c r="H2394" s="1" t="s">
        <v>10</v>
      </c>
      <c r="I2394" t="str">
        <f t="shared" si="37"/>
        <v>LUNCH BAG APPLE DESIGN [23206]</v>
      </c>
    </row>
    <row r="2395" spans="1:9" x14ac:dyDescent="0.3">
      <c r="A2395" s="1">
        <v>23207</v>
      </c>
      <c r="B2395" t="s">
        <v>3753</v>
      </c>
      <c r="C2395" s="1">
        <v>1.66</v>
      </c>
      <c r="D2395" s="1">
        <v>855</v>
      </c>
      <c r="E2395" s="1">
        <v>870</v>
      </c>
      <c r="F2395" s="1">
        <v>9</v>
      </c>
      <c r="G2395" s="1">
        <v>13325.55</v>
      </c>
      <c r="H2395" s="1" t="s">
        <v>10</v>
      </c>
      <c r="I2395" t="str">
        <f t="shared" si="37"/>
        <v>LUNCH BAG ALPHABET DESIGN [23207]</v>
      </c>
    </row>
    <row r="2396" spans="1:9" x14ac:dyDescent="0.3">
      <c r="A2396" s="1">
        <v>23208</v>
      </c>
      <c r="B2396" t="s">
        <v>3752</v>
      </c>
      <c r="C2396" s="1">
        <v>1.67</v>
      </c>
      <c r="D2396" s="1">
        <v>709</v>
      </c>
      <c r="E2396" s="2">
        <v>700.888888888888</v>
      </c>
      <c r="F2396" s="1">
        <v>9</v>
      </c>
      <c r="G2396" s="1">
        <v>10441.91</v>
      </c>
      <c r="H2396" s="1" t="s">
        <v>10</v>
      </c>
      <c r="I2396" t="str">
        <f t="shared" si="37"/>
        <v>LUNCH BAG VINTAGE LEAF DESIGN [23208]</v>
      </c>
    </row>
    <row r="2397" spans="1:9" x14ac:dyDescent="0.3">
      <c r="A2397" s="1">
        <v>23209</v>
      </c>
      <c r="B2397" t="s">
        <v>3751</v>
      </c>
      <c r="C2397" s="1">
        <v>1.64</v>
      </c>
      <c r="D2397" s="1">
        <v>1373.5</v>
      </c>
      <c r="E2397" s="1">
        <v>1097.5</v>
      </c>
      <c r="F2397" s="1">
        <v>8</v>
      </c>
      <c r="G2397" s="1">
        <v>21418.82</v>
      </c>
      <c r="H2397" s="1" t="s">
        <v>10</v>
      </c>
      <c r="I2397" t="str">
        <f t="shared" si="37"/>
        <v>LUNCH BAG DOILEY PATTERN [23209]</v>
      </c>
    </row>
    <row r="2398" spans="1:9" x14ac:dyDescent="0.3">
      <c r="A2398" s="1">
        <v>23210</v>
      </c>
      <c r="B2398" t="s">
        <v>3750</v>
      </c>
      <c r="C2398" s="1">
        <v>1.26</v>
      </c>
      <c r="D2398" s="1">
        <v>319</v>
      </c>
      <c r="E2398" s="1">
        <v>407</v>
      </c>
      <c r="F2398" s="1">
        <v>7</v>
      </c>
      <c r="G2398" s="2">
        <v>3551.5299999999902</v>
      </c>
      <c r="H2398" s="1" t="s">
        <v>10</v>
      </c>
      <c r="I2398" t="str">
        <f t="shared" si="37"/>
        <v>WHITE ROCKING HORSE HAND PAINTED [23210]</v>
      </c>
    </row>
    <row r="2399" spans="1:9" x14ac:dyDescent="0.3">
      <c r="A2399" s="1">
        <v>23211</v>
      </c>
      <c r="B2399" t="s">
        <v>3749</v>
      </c>
      <c r="C2399" s="1">
        <v>1.25</v>
      </c>
      <c r="D2399" s="1">
        <v>276</v>
      </c>
      <c r="E2399" s="2">
        <v>332.71428571428498</v>
      </c>
      <c r="F2399" s="1">
        <v>7</v>
      </c>
      <c r="G2399" s="1">
        <v>2930.57</v>
      </c>
      <c r="H2399" s="1" t="s">
        <v>10</v>
      </c>
      <c r="I2399" t="str">
        <f t="shared" si="37"/>
        <v>RED ROCKING HORSE HAND PAINTED [23211]</v>
      </c>
    </row>
    <row r="2400" spans="1:9" x14ac:dyDescent="0.3">
      <c r="A2400" s="1">
        <v>23212</v>
      </c>
      <c r="B2400" t="s">
        <v>3748</v>
      </c>
      <c r="C2400" s="1">
        <v>1.24</v>
      </c>
      <c r="D2400" s="1">
        <v>232</v>
      </c>
      <c r="E2400" s="1">
        <v>287</v>
      </c>
      <c r="F2400" s="1">
        <v>7</v>
      </c>
      <c r="G2400" s="2">
        <v>2860.89</v>
      </c>
      <c r="H2400" s="1" t="s">
        <v>10</v>
      </c>
      <c r="I2400" t="str">
        <f t="shared" si="37"/>
        <v>HEART WREATH DECORATION WITH BELL [23212]</v>
      </c>
    </row>
    <row r="2401" spans="1:9" x14ac:dyDescent="0.3">
      <c r="A2401" s="1">
        <v>23213</v>
      </c>
      <c r="B2401" t="s">
        <v>3747</v>
      </c>
      <c r="C2401" s="1">
        <v>1.25</v>
      </c>
      <c r="D2401" s="1">
        <v>182</v>
      </c>
      <c r="E2401" s="2">
        <v>240.28571428571399</v>
      </c>
      <c r="F2401" s="1">
        <v>7</v>
      </c>
      <c r="G2401" s="1">
        <v>2138.42</v>
      </c>
      <c r="H2401" s="1" t="s">
        <v>10</v>
      </c>
      <c r="I2401" t="str">
        <f t="shared" si="37"/>
        <v>STAR WREATH DECORATION WITH BELL [23213]</v>
      </c>
    </row>
    <row r="2402" spans="1:9" x14ac:dyDescent="0.3">
      <c r="A2402" s="1">
        <v>23214</v>
      </c>
      <c r="B2402" t="s">
        <v>3746</v>
      </c>
      <c r="C2402" s="1">
        <v>2.1150000000000002</v>
      </c>
      <c r="D2402" s="1">
        <v>50.5</v>
      </c>
      <c r="E2402" s="1">
        <v>98.625</v>
      </c>
      <c r="F2402" s="1">
        <v>7</v>
      </c>
      <c r="G2402" s="1">
        <v>1695.04</v>
      </c>
      <c r="H2402" s="1" t="s">
        <v>9</v>
      </c>
      <c r="I2402" t="str">
        <f t="shared" si="37"/>
        <v>JINGLE BELL HEART ANTIQUE GOLD [23214]</v>
      </c>
    </row>
    <row r="2403" spans="1:9" x14ac:dyDescent="0.3">
      <c r="A2403" s="1">
        <v>23215</v>
      </c>
      <c r="B2403" t="s">
        <v>3745</v>
      </c>
      <c r="C2403" s="1">
        <v>2.09</v>
      </c>
      <c r="D2403" s="1">
        <v>396</v>
      </c>
      <c r="E2403" s="2">
        <v>509.142857142857</v>
      </c>
      <c r="F2403" s="1">
        <v>7</v>
      </c>
      <c r="G2403" s="1">
        <v>7038.4</v>
      </c>
      <c r="H2403" s="1" t="s">
        <v>10</v>
      </c>
      <c r="I2403" t="str">
        <f t="shared" si="37"/>
        <v>JINGLE BELL HEART ANTIQUE SILVER [23215]</v>
      </c>
    </row>
    <row r="2404" spans="1:9" x14ac:dyDescent="0.3">
      <c r="A2404" s="1">
        <v>23216</v>
      </c>
      <c r="B2404" t="s">
        <v>3744</v>
      </c>
      <c r="C2404" s="1">
        <v>1.25</v>
      </c>
      <c r="D2404" s="1">
        <v>50</v>
      </c>
      <c r="E2404" s="1">
        <v>75</v>
      </c>
      <c r="F2404" s="1">
        <v>7</v>
      </c>
      <c r="G2404" s="1">
        <v>630.73</v>
      </c>
      <c r="H2404" s="1" t="s">
        <v>9</v>
      </c>
      <c r="I2404" t="str">
        <f t="shared" si="37"/>
        <v>LAUREL HEART ANTIQUE GOLD [23216]</v>
      </c>
    </row>
    <row r="2405" spans="1:9" x14ac:dyDescent="0.3">
      <c r="A2405" s="1">
        <v>23217</v>
      </c>
      <c r="B2405" t="s">
        <v>3743</v>
      </c>
      <c r="C2405" s="1">
        <v>1.19</v>
      </c>
      <c r="D2405" s="1">
        <v>172</v>
      </c>
      <c r="E2405" s="1">
        <v>187</v>
      </c>
      <c r="F2405" s="1">
        <v>7</v>
      </c>
      <c r="G2405" s="1">
        <v>1613.82</v>
      </c>
      <c r="H2405" s="1" t="s">
        <v>10</v>
      </c>
      <c r="I2405" t="str">
        <f t="shared" si="37"/>
        <v>LAUREL HEART ANTIQUE SILVER [23217]</v>
      </c>
    </row>
    <row r="2406" spans="1:9" x14ac:dyDescent="0.3">
      <c r="A2406" s="1">
        <v>23218</v>
      </c>
      <c r="B2406" t="s">
        <v>3742</v>
      </c>
      <c r="C2406" s="1">
        <v>1.32</v>
      </c>
      <c r="D2406" s="1">
        <v>72</v>
      </c>
      <c r="E2406" s="1">
        <v>75.8</v>
      </c>
      <c r="F2406" s="1">
        <v>5</v>
      </c>
      <c r="G2406" s="1">
        <v>483.03</v>
      </c>
      <c r="H2406" s="1" t="s">
        <v>10</v>
      </c>
      <c r="I2406" t="str">
        <f t="shared" si="37"/>
        <v>LAUREL STAR ANTIQUE GOLD [23218]</v>
      </c>
    </row>
    <row r="2407" spans="1:9" x14ac:dyDescent="0.3">
      <c r="A2407" s="1">
        <v>23219</v>
      </c>
      <c r="B2407" t="s">
        <v>3741</v>
      </c>
      <c r="C2407" s="1">
        <v>1.25</v>
      </c>
      <c r="D2407" s="1">
        <v>35</v>
      </c>
      <c r="E2407" s="2">
        <v>61.428571428571402</v>
      </c>
      <c r="F2407" s="1">
        <v>7</v>
      </c>
      <c r="G2407" s="1">
        <v>568.6</v>
      </c>
      <c r="H2407" s="1" t="s">
        <v>9</v>
      </c>
      <c r="I2407" t="str">
        <f t="shared" si="37"/>
        <v>LAUREL STAR ANTIQUE SILVER [23219]</v>
      </c>
    </row>
    <row r="2408" spans="1:9" x14ac:dyDescent="0.3">
      <c r="A2408" s="1">
        <v>23220</v>
      </c>
      <c r="B2408" t="s">
        <v>3740</v>
      </c>
      <c r="C2408" s="1">
        <v>0.86</v>
      </c>
      <c r="D2408" s="1">
        <v>56</v>
      </c>
      <c r="E2408" s="2">
        <v>141.85714285714201</v>
      </c>
      <c r="F2408" s="1">
        <v>7</v>
      </c>
      <c r="G2408" s="1">
        <v>869.15</v>
      </c>
      <c r="H2408" s="1" t="s">
        <v>9</v>
      </c>
      <c r="I2408" t="str">
        <f t="shared" si="37"/>
        <v>REINDEER HEART DECORATION GOLD [23220]</v>
      </c>
    </row>
    <row r="2409" spans="1:9" x14ac:dyDescent="0.3">
      <c r="A2409" s="1">
        <v>23221</v>
      </c>
      <c r="B2409" t="s">
        <v>3739</v>
      </c>
      <c r="C2409" s="1">
        <v>0.88</v>
      </c>
      <c r="D2409" s="1">
        <v>110</v>
      </c>
      <c r="E2409" s="1">
        <v>192</v>
      </c>
      <c r="F2409" s="1">
        <v>8</v>
      </c>
      <c r="G2409" s="1">
        <v>1363.04</v>
      </c>
      <c r="H2409" s="1" t="s">
        <v>10</v>
      </c>
      <c r="I2409" t="str">
        <f t="shared" si="37"/>
        <v>REINDEER HEART DECORATION SILVER [23221]</v>
      </c>
    </row>
    <row r="2410" spans="1:9" x14ac:dyDescent="0.3">
      <c r="A2410" s="1">
        <v>23222</v>
      </c>
      <c r="B2410" t="s">
        <v>3738</v>
      </c>
      <c r="C2410" s="1">
        <v>0.85499999999999998</v>
      </c>
      <c r="D2410" s="1">
        <v>123.5</v>
      </c>
      <c r="E2410" s="2">
        <v>133.166666666666</v>
      </c>
      <c r="F2410" s="1">
        <v>6</v>
      </c>
      <c r="G2410" s="1">
        <v>718.53</v>
      </c>
      <c r="H2410" s="1" t="s">
        <v>10</v>
      </c>
      <c r="I2410" t="str">
        <f t="shared" si="37"/>
        <v>CHRISTMAS TREE HANGING GOLD [23222]</v>
      </c>
    </row>
    <row r="2411" spans="1:9" x14ac:dyDescent="0.3">
      <c r="A2411" s="1">
        <v>23223</v>
      </c>
      <c r="B2411" t="s">
        <v>3737</v>
      </c>
      <c r="C2411" s="1">
        <v>1.01</v>
      </c>
      <c r="D2411" s="1">
        <v>57</v>
      </c>
      <c r="E2411" s="2">
        <v>114.428571428571</v>
      </c>
      <c r="F2411" s="1">
        <v>7</v>
      </c>
      <c r="G2411" s="1">
        <v>750.19</v>
      </c>
      <c r="H2411" s="1" t="s">
        <v>9</v>
      </c>
      <c r="I2411" t="str">
        <f t="shared" si="37"/>
        <v>CHRISTMAS TREE HANGING SILVER [23223]</v>
      </c>
    </row>
    <row r="2412" spans="1:9" x14ac:dyDescent="0.3">
      <c r="A2412" s="1">
        <v>23224</v>
      </c>
      <c r="B2412" t="s">
        <v>3736</v>
      </c>
      <c r="C2412" s="1">
        <v>0.83</v>
      </c>
      <c r="D2412" s="1">
        <v>64</v>
      </c>
      <c r="E2412" s="2">
        <v>105.428571428571</v>
      </c>
      <c r="F2412" s="1">
        <v>7</v>
      </c>
      <c r="G2412" s="1">
        <v>649.02</v>
      </c>
      <c r="H2412" s="1" t="s">
        <v>10</v>
      </c>
      <c r="I2412" t="str">
        <f t="shared" si="37"/>
        <v>CHERUB HEART DECORATION GOLD [23224]</v>
      </c>
    </row>
    <row r="2413" spans="1:9" x14ac:dyDescent="0.3">
      <c r="A2413" s="1">
        <v>23225</v>
      </c>
      <c r="B2413" t="s">
        <v>3735</v>
      </c>
      <c r="C2413" s="1">
        <v>0.87</v>
      </c>
      <c r="D2413" s="1">
        <v>78</v>
      </c>
      <c r="E2413" s="2">
        <v>193.57142857142799</v>
      </c>
      <c r="F2413" s="1">
        <v>7</v>
      </c>
      <c r="G2413" s="1">
        <v>1176.17</v>
      </c>
      <c r="H2413" s="1" t="s">
        <v>10</v>
      </c>
      <c r="I2413" t="str">
        <f t="shared" si="37"/>
        <v>CHERUB HEART DECORATION SILVER [23225]</v>
      </c>
    </row>
    <row r="2414" spans="1:9" x14ac:dyDescent="0.3">
      <c r="A2414" s="1">
        <v>23226</v>
      </c>
      <c r="B2414" t="s">
        <v>3734</v>
      </c>
      <c r="C2414" s="1">
        <v>1.26</v>
      </c>
      <c r="D2414" s="1">
        <v>138.5</v>
      </c>
      <c r="E2414" s="1">
        <v>155.875</v>
      </c>
      <c r="F2414" s="1">
        <v>8</v>
      </c>
      <c r="G2414" s="1">
        <v>1596.67</v>
      </c>
      <c r="H2414" s="1" t="s">
        <v>10</v>
      </c>
      <c r="I2414" t="str">
        <f t="shared" si="37"/>
        <v>FILIGREE HEART DAISY WHITE [23226]</v>
      </c>
    </row>
    <row r="2415" spans="1:9" x14ac:dyDescent="0.3">
      <c r="A2415" s="1">
        <v>23227</v>
      </c>
      <c r="B2415" t="s">
        <v>3733</v>
      </c>
      <c r="C2415" s="2">
        <v>1.2649999999999999</v>
      </c>
      <c r="D2415" s="1">
        <v>211.5</v>
      </c>
      <c r="E2415" s="1">
        <v>205.25</v>
      </c>
      <c r="F2415" s="1">
        <v>8</v>
      </c>
      <c r="G2415" s="1">
        <v>2070.06</v>
      </c>
      <c r="H2415" s="1" t="s">
        <v>10</v>
      </c>
      <c r="I2415" t="str">
        <f t="shared" si="37"/>
        <v>FILIGREE HEART BUTTERFLY WHITE [23227]</v>
      </c>
    </row>
    <row r="2416" spans="1:9" x14ac:dyDescent="0.3">
      <c r="A2416" s="1">
        <v>23228</v>
      </c>
      <c r="B2416" t="s">
        <v>3732</v>
      </c>
      <c r="C2416" s="2">
        <v>1.345</v>
      </c>
      <c r="D2416" s="1">
        <v>198.5</v>
      </c>
      <c r="E2416" s="1">
        <v>186.5</v>
      </c>
      <c r="F2416" s="1">
        <v>8</v>
      </c>
      <c r="G2416" s="1">
        <v>1960</v>
      </c>
      <c r="H2416" s="1" t="s">
        <v>10</v>
      </c>
      <c r="I2416" t="str">
        <f t="shared" si="37"/>
        <v>FILIGREE HEART BIRD WHITE [23228]</v>
      </c>
    </row>
    <row r="2417" spans="1:9" x14ac:dyDescent="0.3">
      <c r="A2417" s="1">
        <v>23229</v>
      </c>
      <c r="B2417" t="s">
        <v>3731</v>
      </c>
      <c r="C2417" s="1">
        <v>3.75</v>
      </c>
      <c r="D2417" s="1">
        <v>160</v>
      </c>
      <c r="E2417" s="2">
        <v>169.90909090909</v>
      </c>
      <c r="F2417" s="1">
        <v>7</v>
      </c>
      <c r="G2417" s="1">
        <v>6739.71</v>
      </c>
      <c r="H2417" s="1" t="s">
        <v>10</v>
      </c>
      <c r="I2417" t="str">
        <f t="shared" si="37"/>
        <v>DONKEY TAIL GAME [23229]</v>
      </c>
    </row>
    <row r="2418" spans="1:9" x14ac:dyDescent="0.3">
      <c r="A2418" s="1">
        <v>23230</v>
      </c>
      <c r="B2418" t="s">
        <v>3730</v>
      </c>
      <c r="C2418" s="1">
        <v>0.42</v>
      </c>
      <c r="D2418" s="1">
        <v>700.5</v>
      </c>
      <c r="E2418" s="2">
        <v>664.66666666666595</v>
      </c>
      <c r="F2418" s="1">
        <v>12</v>
      </c>
      <c r="G2418" s="1">
        <v>3217.92</v>
      </c>
      <c r="H2418" s="1" t="s">
        <v>10</v>
      </c>
      <c r="I2418" t="str">
        <f t="shared" si="37"/>
        <v>WRAP ALPHABET DESIGN [23230]</v>
      </c>
    </row>
    <row r="2419" spans="1:9" x14ac:dyDescent="0.3">
      <c r="A2419" s="1">
        <v>23231</v>
      </c>
      <c r="B2419" t="s">
        <v>3729</v>
      </c>
      <c r="C2419" s="1">
        <v>0.42</v>
      </c>
      <c r="D2419" s="1">
        <v>525</v>
      </c>
      <c r="E2419" s="2">
        <v>519.78571428571399</v>
      </c>
      <c r="F2419" s="1">
        <v>12</v>
      </c>
      <c r="G2419" s="1">
        <v>3008.34</v>
      </c>
      <c r="H2419" s="1" t="s">
        <v>10</v>
      </c>
      <c r="I2419" t="str">
        <f t="shared" si="37"/>
        <v>WRAP DOILEY DESIGN [23231]</v>
      </c>
    </row>
    <row r="2420" spans="1:9" x14ac:dyDescent="0.3">
      <c r="A2420" s="1">
        <v>23232</v>
      </c>
      <c r="B2420" t="s">
        <v>3728</v>
      </c>
      <c r="C2420" s="1">
        <v>0.41499999999999998</v>
      </c>
      <c r="D2420" s="1">
        <v>600</v>
      </c>
      <c r="E2420" s="1">
        <v>609</v>
      </c>
      <c r="F2420" s="1">
        <v>12</v>
      </c>
      <c r="G2420" s="1">
        <v>3436.92</v>
      </c>
      <c r="H2420" s="1" t="s">
        <v>10</v>
      </c>
      <c r="I2420" t="str">
        <f t="shared" si="37"/>
        <v>WRAP VINTAGE PETALS  DESIGN [23232]</v>
      </c>
    </row>
    <row r="2421" spans="1:9" x14ac:dyDescent="0.3">
      <c r="A2421" s="1">
        <v>23233</v>
      </c>
      <c r="B2421" t="s">
        <v>3727</v>
      </c>
      <c r="C2421" s="1">
        <v>0.42</v>
      </c>
      <c r="D2421" s="1">
        <v>375</v>
      </c>
      <c r="E2421" s="1">
        <v>431.25</v>
      </c>
      <c r="F2421" s="1">
        <v>12</v>
      </c>
      <c r="G2421" s="1">
        <v>2105.5</v>
      </c>
      <c r="H2421" s="1" t="s">
        <v>10</v>
      </c>
      <c r="I2421" t="str">
        <f t="shared" si="37"/>
        <v>WRAP POPPIES  DESIGN [23233]</v>
      </c>
    </row>
    <row r="2422" spans="1:9" x14ac:dyDescent="0.3">
      <c r="A2422" s="1">
        <v>23234</v>
      </c>
      <c r="B2422" t="s">
        <v>3726</v>
      </c>
      <c r="C2422" s="1">
        <v>2.89</v>
      </c>
      <c r="D2422" s="1">
        <v>301</v>
      </c>
      <c r="E2422" s="1">
        <v>246</v>
      </c>
      <c r="F2422" s="1">
        <v>7</v>
      </c>
      <c r="G2422" s="1">
        <v>5079.78</v>
      </c>
      <c r="H2422" s="1" t="s">
        <v>10</v>
      </c>
      <c r="I2422" t="str">
        <f t="shared" si="37"/>
        <v>BISCUIT TIN VINTAGE CHRISTMAS [23234]</v>
      </c>
    </row>
    <row r="2423" spans="1:9" x14ac:dyDescent="0.3">
      <c r="A2423" s="1">
        <v>23235</v>
      </c>
      <c r="B2423" t="s">
        <v>3725</v>
      </c>
      <c r="C2423" s="1">
        <v>2.89</v>
      </c>
      <c r="D2423" s="1">
        <v>54</v>
      </c>
      <c r="E2423" s="2">
        <v>81.7777777777777</v>
      </c>
      <c r="F2423" s="1">
        <v>7</v>
      </c>
      <c r="G2423" s="1">
        <v>1950.66</v>
      </c>
      <c r="H2423" s="1" t="s">
        <v>9</v>
      </c>
      <c r="I2423" t="str">
        <f t="shared" si="37"/>
        <v>BISCUIT TIN VINTAGE LEAF [23235]</v>
      </c>
    </row>
    <row r="2424" spans="1:9" x14ac:dyDescent="0.3">
      <c r="A2424" s="1">
        <v>23236</v>
      </c>
      <c r="B2424" t="s">
        <v>3724</v>
      </c>
      <c r="C2424" s="1">
        <v>2.89</v>
      </c>
      <c r="D2424" s="1">
        <v>65</v>
      </c>
      <c r="E2424" s="1">
        <v>155.8125</v>
      </c>
      <c r="F2424" s="1">
        <v>7</v>
      </c>
      <c r="G2424" s="1">
        <v>7059.97</v>
      </c>
      <c r="H2424" s="1" t="s">
        <v>10</v>
      </c>
      <c r="I2424" t="str">
        <f t="shared" si="37"/>
        <v>DOILEY BISCUIT TIN [23236]</v>
      </c>
    </row>
    <row r="2425" spans="1:9" x14ac:dyDescent="0.3">
      <c r="A2425" s="1">
        <v>23237</v>
      </c>
      <c r="B2425" t="s">
        <v>3723</v>
      </c>
      <c r="C2425" s="1">
        <v>4.08</v>
      </c>
      <c r="D2425" s="1">
        <v>143</v>
      </c>
      <c r="E2425" s="1">
        <v>117</v>
      </c>
      <c r="F2425" s="1">
        <v>7</v>
      </c>
      <c r="G2425" s="1">
        <v>4274.3900000000003</v>
      </c>
      <c r="H2425" s="1" t="s">
        <v>10</v>
      </c>
      <c r="I2425" t="str">
        <f t="shared" si="37"/>
        <v>SET OF 4 KNICK KNACK TINS LEAVES [23237]</v>
      </c>
    </row>
    <row r="2426" spans="1:9" x14ac:dyDescent="0.3">
      <c r="A2426" s="1">
        <v>23238</v>
      </c>
      <c r="B2426" t="s">
        <v>3722</v>
      </c>
      <c r="C2426" s="1">
        <v>4.09</v>
      </c>
      <c r="D2426" s="1">
        <v>274</v>
      </c>
      <c r="E2426" s="2">
        <v>264.142857142857</v>
      </c>
      <c r="F2426" s="1">
        <v>7</v>
      </c>
      <c r="G2426" s="1">
        <v>7771.61</v>
      </c>
      <c r="H2426" s="1" t="s">
        <v>10</v>
      </c>
      <c r="I2426" t="str">
        <f t="shared" si="37"/>
        <v>SET OF 4 KNICK KNACK TINS LONDON [23238]</v>
      </c>
    </row>
    <row r="2427" spans="1:9" x14ac:dyDescent="0.3">
      <c r="A2427" s="1">
        <v>23239</v>
      </c>
      <c r="B2427" t="s">
        <v>3721</v>
      </c>
      <c r="C2427" s="1">
        <v>4.24</v>
      </c>
      <c r="D2427" s="1">
        <v>90</v>
      </c>
      <c r="E2427" s="2">
        <v>120.28571428571399</v>
      </c>
      <c r="F2427" s="1">
        <v>7</v>
      </c>
      <c r="G2427" s="2">
        <v>3353.8399999999901</v>
      </c>
      <c r="H2427" s="1" t="s">
        <v>10</v>
      </c>
      <c r="I2427" t="str">
        <f t="shared" si="37"/>
        <v>SET OF 4 KNICK KNACK TINS POPPIES [23239]</v>
      </c>
    </row>
    <row r="2428" spans="1:9" x14ac:dyDescent="0.3">
      <c r="A2428" s="1">
        <v>23240</v>
      </c>
      <c r="B2428" t="s">
        <v>3720</v>
      </c>
      <c r="C2428" s="1">
        <v>4.13</v>
      </c>
      <c r="D2428" s="1">
        <v>383</v>
      </c>
      <c r="E2428" s="2">
        <v>379.72727272727201</v>
      </c>
      <c r="F2428" s="1">
        <v>7</v>
      </c>
      <c r="G2428" s="1">
        <v>17000.169999999998</v>
      </c>
      <c r="H2428" s="1" t="s">
        <v>10</v>
      </c>
      <c r="I2428" t="str">
        <f t="shared" si="37"/>
        <v>SET OF 4 KNICK KNACK TINS DOILEY [23240]</v>
      </c>
    </row>
    <row r="2429" spans="1:9" x14ac:dyDescent="0.3">
      <c r="A2429" s="1">
        <v>23241</v>
      </c>
      <c r="B2429" t="s">
        <v>3719</v>
      </c>
      <c r="C2429" s="1">
        <v>2.1</v>
      </c>
      <c r="D2429" s="1">
        <v>286</v>
      </c>
      <c r="E2429" s="2">
        <v>309.28571428571399</v>
      </c>
      <c r="F2429" s="1">
        <v>7</v>
      </c>
      <c r="G2429" s="1">
        <v>4669.55</v>
      </c>
      <c r="H2429" s="1" t="s">
        <v>10</v>
      </c>
      <c r="I2429" t="str">
        <f t="shared" si="37"/>
        <v>TREASURE TIN GYMKHANA DESIGN [23241]</v>
      </c>
    </row>
    <row r="2430" spans="1:9" x14ac:dyDescent="0.3">
      <c r="A2430" s="1">
        <v>23242</v>
      </c>
      <c r="B2430" t="s">
        <v>3718</v>
      </c>
      <c r="C2430" s="1">
        <v>2.06</v>
      </c>
      <c r="D2430" s="1">
        <v>183</v>
      </c>
      <c r="E2430" s="1">
        <v>210</v>
      </c>
      <c r="F2430" s="1">
        <v>7</v>
      </c>
      <c r="G2430" s="1">
        <v>3024.63</v>
      </c>
      <c r="H2430" s="1" t="s">
        <v>10</v>
      </c>
      <c r="I2430" t="str">
        <f t="shared" si="37"/>
        <v>TREASURE TIN BUFFALO BILL [23242]</v>
      </c>
    </row>
    <row r="2431" spans="1:9" x14ac:dyDescent="0.3">
      <c r="A2431" s="1">
        <v>23243</v>
      </c>
      <c r="B2431" t="s">
        <v>3717</v>
      </c>
      <c r="C2431" s="1">
        <v>4.9800000000000004</v>
      </c>
      <c r="D2431" s="1">
        <v>482</v>
      </c>
      <c r="E2431" s="2">
        <v>685.71428571428498</v>
      </c>
      <c r="F2431" s="1">
        <v>7</v>
      </c>
      <c r="G2431" s="1">
        <v>23489.42</v>
      </c>
      <c r="H2431" s="1" t="s">
        <v>10</v>
      </c>
      <c r="I2431" t="str">
        <f t="shared" si="37"/>
        <v>SET OF TEA COFFEE SUGAR TINS PANTRY [23243]</v>
      </c>
    </row>
    <row r="2432" spans="1:9" x14ac:dyDescent="0.3">
      <c r="A2432" s="1">
        <v>23244</v>
      </c>
      <c r="B2432" t="s">
        <v>3716</v>
      </c>
      <c r="C2432" s="1">
        <v>1.95</v>
      </c>
      <c r="D2432" s="1">
        <v>49</v>
      </c>
      <c r="E2432" s="1">
        <v>78</v>
      </c>
      <c r="F2432" s="1">
        <v>7</v>
      </c>
      <c r="G2432" s="1">
        <v>1733.98</v>
      </c>
      <c r="H2432" s="1" t="s">
        <v>9</v>
      </c>
      <c r="I2432" t="str">
        <f t="shared" si="37"/>
        <v>CANNISTER VINTAGE LEAF DESIGN [23244]</v>
      </c>
    </row>
    <row r="2433" spans="1:9" x14ac:dyDescent="0.3">
      <c r="A2433" s="1">
        <v>23245</v>
      </c>
      <c r="B2433" t="s">
        <v>3715</v>
      </c>
      <c r="C2433" s="1">
        <v>4.8899999999999997</v>
      </c>
      <c r="D2433" s="1">
        <v>811</v>
      </c>
      <c r="E2433" s="2">
        <v>906.42857142857099</v>
      </c>
      <c r="F2433" s="1">
        <v>7</v>
      </c>
      <c r="G2433" s="1">
        <v>31118.55</v>
      </c>
      <c r="H2433" s="1" t="s">
        <v>10</v>
      </c>
      <c r="I2433" t="str">
        <f t="shared" si="37"/>
        <v>SET OF 3 REGENCY CAKE TINS [23245]</v>
      </c>
    </row>
    <row r="2434" spans="1:9" x14ac:dyDescent="0.3">
      <c r="A2434" s="1">
        <v>23247</v>
      </c>
      <c r="B2434" t="s">
        <v>3714</v>
      </c>
      <c r="C2434" s="1">
        <v>2.9</v>
      </c>
      <c r="D2434" s="1">
        <v>267</v>
      </c>
      <c r="E2434" s="2">
        <v>313.42857142857099</v>
      </c>
      <c r="F2434" s="1">
        <v>7</v>
      </c>
      <c r="G2434" s="1">
        <v>6681.25</v>
      </c>
      <c r="H2434" s="1" t="s">
        <v>10</v>
      </c>
      <c r="I2434" t="str">
        <f t="shared" si="37"/>
        <v>BISCUIT TIN 50'S CHRISTMAS [23247]</v>
      </c>
    </row>
    <row r="2435" spans="1:9" x14ac:dyDescent="0.3">
      <c r="A2435" s="1">
        <v>23249</v>
      </c>
      <c r="B2435" t="s">
        <v>3713</v>
      </c>
      <c r="C2435" s="1">
        <v>1.65</v>
      </c>
      <c r="D2435" s="1">
        <v>90.5</v>
      </c>
      <c r="E2435" s="1">
        <v>105.25</v>
      </c>
      <c r="F2435" s="1">
        <v>7</v>
      </c>
      <c r="G2435" s="1">
        <v>1426.1</v>
      </c>
      <c r="H2435" s="1" t="s">
        <v>10</v>
      </c>
      <c r="I2435" t="str">
        <f t="shared" ref="I2435:I2498" si="38">B2435&amp;" ["&amp;A2435&amp;"]"</f>
        <v>VINTAGE RED ENAMEL TRIM PLATE [23249]</v>
      </c>
    </row>
    <row r="2436" spans="1:9" x14ac:dyDescent="0.3">
      <c r="A2436" s="1">
        <v>23250</v>
      </c>
      <c r="B2436" t="s">
        <v>3712</v>
      </c>
      <c r="C2436" s="1">
        <v>1.25</v>
      </c>
      <c r="D2436" s="1">
        <v>131</v>
      </c>
      <c r="E2436" s="1">
        <v>131</v>
      </c>
      <c r="F2436" s="1">
        <v>7</v>
      </c>
      <c r="G2436" s="1">
        <v>1531.03</v>
      </c>
      <c r="H2436" s="1" t="s">
        <v>10</v>
      </c>
      <c r="I2436" t="str">
        <f t="shared" si="38"/>
        <v>VINTAGE RED TRIM ENAMEL BOWL [23250]</v>
      </c>
    </row>
    <row r="2437" spans="1:9" x14ac:dyDescent="0.3">
      <c r="A2437" s="1">
        <v>23251</v>
      </c>
      <c r="B2437" t="s">
        <v>3711</v>
      </c>
      <c r="C2437" s="1">
        <v>1.25</v>
      </c>
      <c r="D2437" s="1">
        <v>222.5</v>
      </c>
      <c r="E2437" s="1">
        <v>214</v>
      </c>
      <c r="F2437" s="1">
        <v>7</v>
      </c>
      <c r="G2437" s="1">
        <v>2105.75</v>
      </c>
      <c r="H2437" s="1" t="s">
        <v>10</v>
      </c>
      <c r="I2437" t="str">
        <f t="shared" si="38"/>
        <v>VINTAGE RED ENAMEL TRIM MUG [23251]</v>
      </c>
    </row>
    <row r="2438" spans="1:9" x14ac:dyDescent="0.3">
      <c r="A2438" s="1">
        <v>23252</v>
      </c>
      <c r="B2438" t="s">
        <v>3710</v>
      </c>
      <c r="C2438" s="1">
        <v>3.75</v>
      </c>
      <c r="D2438" s="1">
        <v>71</v>
      </c>
      <c r="E2438" s="1">
        <v>67</v>
      </c>
      <c r="F2438" s="1">
        <v>7</v>
      </c>
      <c r="G2438" s="1">
        <v>2261.61</v>
      </c>
      <c r="H2438" s="1" t="s">
        <v>10</v>
      </c>
      <c r="I2438" t="str">
        <f t="shared" si="38"/>
        <v>VINTAGE RED ENAMEL TRIM JUG [23252]</v>
      </c>
    </row>
    <row r="2439" spans="1:9" x14ac:dyDescent="0.3">
      <c r="A2439" s="1">
        <v>23253</v>
      </c>
      <c r="B2439" t="s">
        <v>3709</v>
      </c>
      <c r="C2439" s="1">
        <v>15.95</v>
      </c>
      <c r="D2439" s="1">
        <v>15.5</v>
      </c>
      <c r="E2439" s="1">
        <v>25.8</v>
      </c>
      <c r="F2439" s="1">
        <v>9</v>
      </c>
      <c r="G2439" s="1">
        <v>3848.86</v>
      </c>
      <c r="H2439" s="1" t="s">
        <v>9</v>
      </c>
      <c r="I2439" t="str">
        <f t="shared" si="38"/>
        <v>16 PIECE CUTLERY SET PANTRY DESIGN [23253]</v>
      </c>
    </row>
    <row r="2440" spans="1:9" x14ac:dyDescent="0.3">
      <c r="A2440" s="1">
        <v>23254</v>
      </c>
      <c r="B2440" t="s">
        <v>3708</v>
      </c>
      <c r="C2440" s="1">
        <v>4.1500000000000004</v>
      </c>
      <c r="D2440" s="1">
        <v>134</v>
      </c>
      <c r="E2440" s="1">
        <v>131</v>
      </c>
      <c r="F2440" s="1">
        <v>9</v>
      </c>
      <c r="G2440" s="1">
        <v>6903.11</v>
      </c>
      <c r="H2440" s="1" t="s">
        <v>10</v>
      </c>
      <c r="I2440" t="str">
        <f t="shared" si="38"/>
        <v>CHILDRENS CUTLERY DOLLY GIRL [23254]</v>
      </c>
    </row>
    <row r="2441" spans="1:9" x14ac:dyDescent="0.3">
      <c r="A2441" s="1">
        <v>23255</v>
      </c>
      <c r="B2441" t="s">
        <v>3707</v>
      </c>
      <c r="C2441" s="1">
        <v>4.08</v>
      </c>
      <c r="D2441" s="1">
        <v>134</v>
      </c>
      <c r="E2441" s="2">
        <v>112.666666666666</v>
      </c>
      <c r="F2441" s="1">
        <v>9</v>
      </c>
      <c r="G2441" s="1">
        <v>4097.22</v>
      </c>
      <c r="H2441" s="1" t="s">
        <v>10</v>
      </c>
      <c r="I2441" t="str">
        <f t="shared" si="38"/>
        <v>CHILDRENS CUTLERY CIRCUS PARADE [23255]</v>
      </c>
    </row>
    <row r="2442" spans="1:9" x14ac:dyDescent="0.3">
      <c r="A2442" s="1">
        <v>23256</v>
      </c>
      <c r="B2442" t="s">
        <v>3706</v>
      </c>
      <c r="C2442" s="1">
        <v>4.1500000000000004</v>
      </c>
      <c r="D2442" s="1">
        <v>187</v>
      </c>
      <c r="E2442" s="2">
        <v>162.53846153846101</v>
      </c>
      <c r="F2442" s="1">
        <v>9</v>
      </c>
      <c r="G2442" s="1">
        <v>8667.07</v>
      </c>
      <c r="H2442" s="1" t="s">
        <v>10</v>
      </c>
      <c r="I2442" t="str">
        <f t="shared" si="38"/>
        <v>CHILDRENS CUTLERY SPACEBOY [23256]</v>
      </c>
    </row>
    <row r="2443" spans="1:9" x14ac:dyDescent="0.3">
      <c r="A2443" s="1">
        <v>23263</v>
      </c>
      <c r="B2443" t="s">
        <v>3705</v>
      </c>
      <c r="C2443" s="1">
        <v>1.29</v>
      </c>
      <c r="D2443" s="1">
        <v>425</v>
      </c>
      <c r="E2443" s="2">
        <v>551.85714285714198</v>
      </c>
      <c r="F2443" s="1">
        <v>7</v>
      </c>
      <c r="G2443" s="1">
        <v>5147.1899999999996</v>
      </c>
      <c r="H2443" s="1" t="s">
        <v>10</v>
      </c>
      <c r="I2443" t="str">
        <f t="shared" si="38"/>
        <v>SET OF 3 WOODEN HEART DECORATIONS [23263]</v>
      </c>
    </row>
    <row r="2444" spans="1:9" x14ac:dyDescent="0.3">
      <c r="A2444" s="1">
        <v>23264</v>
      </c>
      <c r="B2444" t="s">
        <v>3704</v>
      </c>
      <c r="C2444" s="1">
        <v>1.33</v>
      </c>
      <c r="D2444" s="1">
        <v>184</v>
      </c>
      <c r="E2444" s="2">
        <v>280.42857142857099</v>
      </c>
      <c r="F2444" s="1">
        <v>7</v>
      </c>
      <c r="G2444" s="1">
        <v>2690.81</v>
      </c>
      <c r="H2444" s="1" t="s">
        <v>10</v>
      </c>
      <c r="I2444" t="str">
        <f t="shared" si="38"/>
        <v>SET OF 3 WOODEN SLEIGH DECORATIONS [23264]</v>
      </c>
    </row>
    <row r="2445" spans="1:9" x14ac:dyDescent="0.3">
      <c r="A2445" s="1">
        <v>23265</v>
      </c>
      <c r="B2445" t="s">
        <v>3703</v>
      </c>
      <c r="C2445" s="1">
        <v>1.32</v>
      </c>
      <c r="D2445" s="1">
        <v>138</v>
      </c>
      <c r="E2445" s="2">
        <v>252.71428571428501</v>
      </c>
      <c r="F2445" s="1">
        <v>7</v>
      </c>
      <c r="G2445" s="1">
        <v>2404.79</v>
      </c>
      <c r="H2445" s="1" t="s">
        <v>10</v>
      </c>
      <c r="I2445" t="str">
        <f t="shared" si="38"/>
        <v>SET OF 3 WOODEN TREE DECORATIONS [23265]</v>
      </c>
    </row>
    <row r="2446" spans="1:9" x14ac:dyDescent="0.3">
      <c r="A2446" s="1">
        <v>23266</v>
      </c>
      <c r="B2446" t="s">
        <v>3702</v>
      </c>
      <c r="C2446" s="1">
        <v>1.31</v>
      </c>
      <c r="D2446" s="1">
        <v>149</v>
      </c>
      <c r="E2446" s="2">
        <v>293.28571428571399</v>
      </c>
      <c r="F2446" s="1">
        <v>7</v>
      </c>
      <c r="G2446" s="1">
        <v>2743.82</v>
      </c>
      <c r="H2446" s="1" t="s">
        <v>10</v>
      </c>
      <c r="I2446" t="str">
        <f t="shared" si="38"/>
        <v>SET OF 3 WOODEN STOCKING DECORATION [23266]</v>
      </c>
    </row>
    <row r="2447" spans="1:9" x14ac:dyDescent="0.3">
      <c r="A2447" s="1">
        <v>23267</v>
      </c>
      <c r="B2447" t="s">
        <v>3701</v>
      </c>
      <c r="C2447" s="1">
        <v>1.25</v>
      </c>
      <c r="D2447" s="1">
        <v>88</v>
      </c>
      <c r="E2447" s="2">
        <v>171.71428571428501</v>
      </c>
      <c r="F2447" s="1">
        <v>7</v>
      </c>
      <c r="G2447" s="1">
        <v>1531.95</v>
      </c>
      <c r="H2447" s="1" t="s">
        <v>10</v>
      </c>
      <c r="I2447" t="str">
        <f t="shared" si="38"/>
        <v>SET OF 4 SANTA PLACE SETTINGS [23267]</v>
      </c>
    </row>
    <row r="2448" spans="1:9" x14ac:dyDescent="0.3">
      <c r="A2448" s="1">
        <v>23268</v>
      </c>
      <c r="B2448" t="s">
        <v>3700</v>
      </c>
      <c r="C2448" s="1">
        <v>1.48</v>
      </c>
      <c r="D2448" s="1">
        <v>163</v>
      </c>
      <c r="E2448" s="2">
        <v>241.166666666666</v>
      </c>
      <c r="F2448" s="1">
        <v>6</v>
      </c>
      <c r="G2448" s="1">
        <v>2018.14</v>
      </c>
      <c r="H2448" s="1" t="s">
        <v>10</v>
      </c>
      <c r="I2448" t="str">
        <f t="shared" si="38"/>
        <v>SET OF 2 CERAMIC CHRISTMAS REINDEER [23268]</v>
      </c>
    </row>
    <row r="2449" spans="1:9" x14ac:dyDescent="0.3">
      <c r="A2449" s="1">
        <v>23269</v>
      </c>
      <c r="B2449" t="s">
        <v>3699</v>
      </c>
      <c r="C2449" s="1">
        <v>1.48</v>
      </c>
      <c r="D2449" s="1">
        <v>52</v>
      </c>
      <c r="E2449" s="2">
        <v>111.28571428571399</v>
      </c>
      <c r="F2449" s="1">
        <v>7</v>
      </c>
      <c r="G2449" s="1">
        <v>1152.98</v>
      </c>
      <c r="H2449" s="1" t="s">
        <v>9</v>
      </c>
      <c r="I2449" t="str">
        <f t="shared" si="38"/>
        <v>SET OF 2 CERAMIC CHRISTMAS TREES [23269]</v>
      </c>
    </row>
    <row r="2450" spans="1:9" x14ac:dyDescent="0.3">
      <c r="A2450" s="1">
        <v>23270</v>
      </c>
      <c r="B2450" t="s">
        <v>3698</v>
      </c>
      <c r="C2450" s="1">
        <v>1.45</v>
      </c>
      <c r="D2450" s="1">
        <v>169</v>
      </c>
      <c r="E2450" s="2">
        <v>167.71428571428501</v>
      </c>
      <c r="F2450" s="1">
        <v>7</v>
      </c>
      <c r="G2450" s="1">
        <v>1646.32</v>
      </c>
      <c r="H2450" s="1" t="s">
        <v>10</v>
      </c>
      <c r="I2450" t="str">
        <f t="shared" si="38"/>
        <v>SET OF 2 CERAMIC PAINTED HEARTS [23270]</v>
      </c>
    </row>
    <row r="2451" spans="1:9" x14ac:dyDescent="0.3">
      <c r="A2451" s="1">
        <v>23271</v>
      </c>
      <c r="B2451" t="s">
        <v>3697</v>
      </c>
      <c r="C2451" s="1">
        <v>0.89</v>
      </c>
      <c r="D2451" s="1">
        <v>66</v>
      </c>
      <c r="E2451" s="1">
        <v>216.375</v>
      </c>
      <c r="F2451" s="1">
        <v>7</v>
      </c>
      <c r="G2451" s="1">
        <v>1496.89</v>
      </c>
      <c r="H2451" s="1" t="s">
        <v>10</v>
      </c>
      <c r="I2451" t="str">
        <f t="shared" si="38"/>
        <v>CHRISTMAS TABLE CANDLE SILVER SPIKE [23271]</v>
      </c>
    </row>
    <row r="2452" spans="1:9" x14ac:dyDescent="0.3">
      <c r="A2452" s="1">
        <v>23272</v>
      </c>
      <c r="B2452" t="s">
        <v>3696</v>
      </c>
      <c r="C2452" s="1">
        <v>1.65</v>
      </c>
      <c r="D2452" s="1">
        <v>60</v>
      </c>
      <c r="E2452" s="1">
        <v>52</v>
      </c>
      <c r="F2452" s="1">
        <v>7</v>
      </c>
      <c r="G2452" s="1">
        <v>562.22</v>
      </c>
      <c r="H2452" s="1" t="s">
        <v>9</v>
      </c>
      <c r="I2452" t="str">
        <f t="shared" si="38"/>
        <v>TREE T-LIGHT HOLDER WILLIE WINKIE [23272]</v>
      </c>
    </row>
    <row r="2453" spans="1:9" x14ac:dyDescent="0.3">
      <c r="A2453" s="1">
        <v>23273</v>
      </c>
      <c r="B2453" t="s">
        <v>3695</v>
      </c>
      <c r="C2453" s="1">
        <v>1.66</v>
      </c>
      <c r="D2453" s="1">
        <v>157</v>
      </c>
      <c r="E2453" s="2">
        <v>138.42857142857099</v>
      </c>
      <c r="F2453" s="1">
        <v>7</v>
      </c>
      <c r="G2453" s="1">
        <v>1649.05</v>
      </c>
      <c r="H2453" s="1" t="s">
        <v>10</v>
      </c>
      <c r="I2453" t="str">
        <f t="shared" si="38"/>
        <v>HEART T-LIGHT HOLDER WILLIE WINKIE [23273]</v>
      </c>
    </row>
    <row r="2454" spans="1:9" x14ac:dyDescent="0.3">
      <c r="A2454" s="1">
        <v>23274</v>
      </c>
      <c r="B2454" t="s">
        <v>3694</v>
      </c>
      <c r="C2454" s="1">
        <v>1.66</v>
      </c>
      <c r="D2454" s="1">
        <v>106</v>
      </c>
      <c r="E2454" s="2">
        <v>168.57142857142799</v>
      </c>
      <c r="F2454" s="1">
        <v>7</v>
      </c>
      <c r="G2454" s="1">
        <v>2005</v>
      </c>
      <c r="H2454" s="1" t="s">
        <v>10</v>
      </c>
      <c r="I2454" t="str">
        <f t="shared" si="38"/>
        <v>STAR T-LIGHT HOLDER WILLIE WINKIE [23274]</v>
      </c>
    </row>
    <row r="2455" spans="1:9" x14ac:dyDescent="0.3">
      <c r="A2455" s="1">
        <v>23275</v>
      </c>
      <c r="B2455" t="s">
        <v>3693</v>
      </c>
      <c r="C2455" s="1">
        <v>1.3</v>
      </c>
      <c r="D2455" s="1">
        <v>399</v>
      </c>
      <c r="E2455" s="2">
        <v>531.42857142857099</v>
      </c>
      <c r="F2455" s="1">
        <v>7</v>
      </c>
      <c r="G2455" s="1">
        <v>4521.72</v>
      </c>
      <c r="H2455" s="1" t="s">
        <v>10</v>
      </c>
      <c r="I2455" t="str">
        <f t="shared" si="38"/>
        <v>SET OF 3 HANGING OWLS OLLIE BEAK [23275]</v>
      </c>
    </row>
    <row r="2456" spans="1:9" x14ac:dyDescent="0.3">
      <c r="A2456" s="1">
        <v>23280</v>
      </c>
      <c r="B2456" t="s">
        <v>3692</v>
      </c>
      <c r="C2456" s="1">
        <v>0.82499999999999996</v>
      </c>
      <c r="D2456" s="1">
        <v>169.5</v>
      </c>
      <c r="E2456" s="1">
        <v>202.3</v>
      </c>
      <c r="F2456" s="1">
        <v>8</v>
      </c>
      <c r="G2456" s="2">
        <v>1614.1599999999901</v>
      </c>
      <c r="H2456" s="1" t="s">
        <v>10</v>
      </c>
      <c r="I2456" t="str">
        <f t="shared" si="38"/>
        <v>FOLDING BUTTERFLY MIRROR HOT PINK [23280]</v>
      </c>
    </row>
    <row r="2457" spans="1:9" x14ac:dyDescent="0.3">
      <c r="A2457" s="1">
        <v>23281</v>
      </c>
      <c r="B2457" t="s">
        <v>3691</v>
      </c>
      <c r="C2457" s="1">
        <v>0.83</v>
      </c>
      <c r="D2457" s="1">
        <v>80</v>
      </c>
      <c r="E2457" s="2">
        <v>142.222222222222</v>
      </c>
      <c r="F2457" s="1">
        <v>8</v>
      </c>
      <c r="G2457" s="1">
        <v>1000.82</v>
      </c>
      <c r="H2457" s="1" t="s">
        <v>10</v>
      </c>
      <c r="I2457" t="str">
        <f t="shared" si="38"/>
        <v>FOLDING BUTTERFLY MIRROR RED [23281]</v>
      </c>
    </row>
    <row r="2458" spans="1:9" x14ac:dyDescent="0.3">
      <c r="A2458" s="1">
        <v>23282</v>
      </c>
      <c r="B2458" t="s">
        <v>3690</v>
      </c>
      <c r="C2458" s="1">
        <v>0.89</v>
      </c>
      <c r="D2458" s="1">
        <v>90</v>
      </c>
      <c r="E2458" s="2">
        <v>90.2222222222222</v>
      </c>
      <c r="F2458" s="1">
        <v>8</v>
      </c>
      <c r="G2458" s="1">
        <v>757.86</v>
      </c>
      <c r="H2458" s="1" t="s">
        <v>10</v>
      </c>
      <c r="I2458" t="str">
        <f t="shared" si="38"/>
        <v>FOLDING BUTTERFLY MIRROR IVORY [23282]</v>
      </c>
    </row>
    <row r="2459" spans="1:9" x14ac:dyDescent="0.3">
      <c r="A2459" s="1">
        <v>23283</v>
      </c>
      <c r="B2459" t="s">
        <v>3689</v>
      </c>
      <c r="C2459" s="2">
        <v>7.7649999999999997</v>
      </c>
      <c r="D2459" s="1">
        <v>87.5</v>
      </c>
      <c r="E2459" s="1">
        <v>99.4</v>
      </c>
      <c r="F2459" s="1">
        <v>9</v>
      </c>
      <c r="G2459" s="1">
        <v>7003.38</v>
      </c>
      <c r="H2459" s="1" t="s">
        <v>10</v>
      </c>
      <c r="I2459" t="str">
        <f t="shared" si="38"/>
        <v>DOORMAT VINTAGE LEAVES DESIGN [23283]</v>
      </c>
    </row>
    <row r="2460" spans="1:9" x14ac:dyDescent="0.3">
      <c r="A2460" s="1">
        <v>23284</v>
      </c>
      <c r="B2460" t="s">
        <v>3688</v>
      </c>
      <c r="C2460" s="1">
        <v>7.24</v>
      </c>
      <c r="D2460" s="1">
        <v>729</v>
      </c>
      <c r="E2460" s="2">
        <v>609.66666666666595</v>
      </c>
      <c r="F2460" s="1">
        <v>9</v>
      </c>
      <c r="G2460" s="1">
        <v>38133.64</v>
      </c>
      <c r="H2460" s="1" t="s">
        <v>10</v>
      </c>
      <c r="I2460" t="str">
        <f t="shared" si="38"/>
        <v>DOORMAT KEEP CALM AND COME IN [23284]</v>
      </c>
    </row>
    <row r="2461" spans="1:9" x14ac:dyDescent="0.3">
      <c r="A2461" s="1">
        <v>23285</v>
      </c>
      <c r="B2461" t="s">
        <v>3687</v>
      </c>
      <c r="C2461" s="1">
        <v>0.97</v>
      </c>
      <c r="D2461" s="1">
        <v>562</v>
      </c>
      <c r="E2461" s="2">
        <v>686.71428571428498</v>
      </c>
      <c r="F2461" s="1">
        <v>7</v>
      </c>
      <c r="G2461" s="1">
        <v>4572.41</v>
      </c>
      <c r="H2461" s="1" t="s">
        <v>10</v>
      </c>
      <c r="I2461" t="str">
        <f t="shared" si="38"/>
        <v>PINK VINTAGE SPOT BEAKER [23285]</v>
      </c>
    </row>
    <row r="2462" spans="1:9" x14ac:dyDescent="0.3">
      <c r="A2462" s="1">
        <v>23286</v>
      </c>
      <c r="B2462" t="s">
        <v>3686</v>
      </c>
      <c r="C2462" s="1">
        <v>0.89</v>
      </c>
      <c r="D2462" s="1">
        <v>602</v>
      </c>
      <c r="E2462" s="2">
        <v>721.142857142857</v>
      </c>
      <c r="F2462" s="1">
        <v>7</v>
      </c>
      <c r="G2462" s="1">
        <v>4747.62</v>
      </c>
      <c r="H2462" s="1" t="s">
        <v>10</v>
      </c>
      <c r="I2462" t="str">
        <f t="shared" si="38"/>
        <v>BLUE VINTAGE SPOT BEAKER [23286]</v>
      </c>
    </row>
    <row r="2463" spans="1:9" x14ac:dyDescent="0.3">
      <c r="A2463" s="1">
        <v>23287</v>
      </c>
      <c r="B2463" t="s">
        <v>3685</v>
      </c>
      <c r="C2463" s="1">
        <v>0.87</v>
      </c>
      <c r="D2463" s="1">
        <v>215</v>
      </c>
      <c r="E2463" s="2">
        <v>268.42857142857099</v>
      </c>
      <c r="F2463" s="1">
        <v>7</v>
      </c>
      <c r="G2463" s="1">
        <v>1603.39</v>
      </c>
      <c r="H2463" s="1" t="s">
        <v>10</v>
      </c>
      <c r="I2463" t="str">
        <f t="shared" si="38"/>
        <v>RED VINTAGE SPOT BEAKER [23287]</v>
      </c>
    </row>
    <row r="2464" spans="1:9" x14ac:dyDescent="0.3">
      <c r="A2464" s="1">
        <v>23288</v>
      </c>
      <c r="B2464" t="s">
        <v>3684</v>
      </c>
      <c r="C2464" s="1">
        <v>0.91</v>
      </c>
      <c r="D2464" s="1">
        <v>356</v>
      </c>
      <c r="E2464" s="2">
        <v>660.71428571428498</v>
      </c>
      <c r="F2464" s="1">
        <v>7</v>
      </c>
      <c r="G2464" s="1">
        <v>4444.2299999999996</v>
      </c>
      <c r="H2464" s="1" t="s">
        <v>10</v>
      </c>
      <c r="I2464" t="str">
        <f t="shared" si="38"/>
        <v>GREEN VINTAGE SPOT BEAKER [23288]</v>
      </c>
    </row>
    <row r="2465" spans="1:9" x14ac:dyDescent="0.3">
      <c r="A2465" s="1">
        <v>23289</v>
      </c>
      <c r="B2465" t="s">
        <v>3683</v>
      </c>
      <c r="C2465" s="1">
        <v>1.29</v>
      </c>
      <c r="D2465" s="1">
        <v>212</v>
      </c>
      <c r="E2465" s="2">
        <v>231.71428571428501</v>
      </c>
      <c r="F2465" s="1">
        <v>7</v>
      </c>
      <c r="G2465" s="1">
        <v>2013.7</v>
      </c>
      <c r="H2465" s="1" t="s">
        <v>10</v>
      </c>
      <c r="I2465" t="str">
        <f t="shared" si="38"/>
        <v>DOLLY GIRL CHILDRENS BOWL [23289]</v>
      </c>
    </row>
    <row r="2466" spans="1:9" x14ac:dyDescent="0.3">
      <c r="A2466" s="1">
        <v>23290</v>
      </c>
      <c r="B2466" t="s">
        <v>3682</v>
      </c>
      <c r="C2466" s="1">
        <v>1.19</v>
      </c>
      <c r="D2466" s="1">
        <v>361</v>
      </c>
      <c r="E2466" s="2">
        <v>347.142857142857</v>
      </c>
      <c r="F2466" s="1">
        <v>7</v>
      </c>
      <c r="G2466" s="1">
        <v>2890.35</v>
      </c>
      <c r="H2466" s="1" t="s">
        <v>10</v>
      </c>
      <c r="I2466" t="str">
        <f t="shared" si="38"/>
        <v>SPACEBOY CHILDRENS BOWL [23290]</v>
      </c>
    </row>
    <row r="2467" spans="1:9" x14ac:dyDescent="0.3">
      <c r="A2467" s="1">
        <v>23291</v>
      </c>
      <c r="B2467" t="s">
        <v>3681</v>
      </c>
      <c r="C2467" s="1">
        <v>1.32</v>
      </c>
      <c r="D2467" s="1">
        <v>201</v>
      </c>
      <c r="E2467" s="2">
        <v>233.42857142857099</v>
      </c>
      <c r="F2467" s="1">
        <v>7</v>
      </c>
      <c r="G2467" s="1">
        <v>2059.0300000000002</v>
      </c>
      <c r="H2467" s="1" t="s">
        <v>10</v>
      </c>
      <c r="I2467" t="str">
        <f t="shared" si="38"/>
        <v>DOLLY GIRL CHILDRENS CUP [23291]</v>
      </c>
    </row>
    <row r="2468" spans="1:9" x14ac:dyDescent="0.3">
      <c r="A2468" s="1">
        <v>23292</v>
      </c>
      <c r="B2468" t="s">
        <v>3680</v>
      </c>
      <c r="C2468" s="1">
        <v>1.23</v>
      </c>
      <c r="D2468" s="1">
        <v>283</v>
      </c>
      <c r="E2468" s="1">
        <v>272.625</v>
      </c>
      <c r="F2468" s="1">
        <v>7</v>
      </c>
      <c r="G2468" s="1">
        <v>2703.33</v>
      </c>
      <c r="H2468" s="1" t="s">
        <v>10</v>
      </c>
      <c r="I2468" t="str">
        <f t="shared" si="38"/>
        <v>SPACE BOY CHILDRENS CUP [23292]</v>
      </c>
    </row>
    <row r="2469" spans="1:9" x14ac:dyDescent="0.3">
      <c r="A2469" s="1">
        <v>23293</v>
      </c>
      <c r="B2469" t="s">
        <v>3679</v>
      </c>
      <c r="C2469" s="2">
        <v>0.84</v>
      </c>
      <c r="D2469" s="1">
        <v>1489.5</v>
      </c>
      <c r="E2469" s="2">
        <v>1411.8333333333301</v>
      </c>
      <c r="F2469" s="1">
        <v>6</v>
      </c>
      <c r="G2469" s="1">
        <v>6989.54</v>
      </c>
      <c r="H2469" s="1" t="s">
        <v>10</v>
      </c>
      <c r="I2469" t="str">
        <f t="shared" si="38"/>
        <v>SET OF 12 FAIRY CAKE BAKING CASES [23293]</v>
      </c>
    </row>
    <row r="2470" spans="1:9" x14ac:dyDescent="0.3">
      <c r="A2470" s="1">
        <v>23294</v>
      </c>
      <c r="B2470" t="s">
        <v>3678</v>
      </c>
      <c r="C2470" s="1">
        <v>0.83499999999999996</v>
      </c>
      <c r="D2470" s="1">
        <v>680.5</v>
      </c>
      <c r="E2470" s="1">
        <v>732</v>
      </c>
      <c r="F2470" s="1">
        <v>6</v>
      </c>
      <c r="G2470" s="1">
        <v>3607.81</v>
      </c>
      <c r="H2470" s="1" t="s">
        <v>10</v>
      </c>
      <c r="I2470" t="str">
        <f t="shared" si="38"/>
        <v>SET OF 6 SNACK LOAF BAKING CASES [23294]</v>
      </c>
    </row>
    <row r="2471" spans="1:9" x14ac:dyDescent="0.3">
      <c r="A2471" s="1">
        <v>23295</v>
      </c>
      <c r="B2471" t="s">
        <v>3677</v>
      </c>
      <c r="C2471" s="1">
        <v>0.83</v>
      </c>
      <c r="D2471" s="1">
        <v>1086</v>
      </c>
      <c r="E2471" s="2">
        <v>1022.33333333333</v>
      </c>
      <c r="F2471" s="1">
        <v>6</v>
      </c>
      <c r="G2471" s="1">
        <v>5073.45</v>
      </c>
      <c r="H2471" s="1" t="s">
        <v>10</v>
      </c>
      <c r="I2471" t="str">
        <f t="shared" si="38"/>
        <v>SET OF 12 MINI LOAF BAKING CASES [23295]</v>
      </c>
    </row>
    <row r="2472" spans="1:9" x14ac:dyDescent="0.3">
      <c r="A2472" s="1">
        <v>23296</v>
      </c>
      <c r="B2472" t="s">
        <v>3676</v>
      </c>
      <c r="C2472" s="1">
        <v>1.23</v>
      </c>
      <c r="D2472" s="1">
        <v>735</v>
      </c>
      <c r="E2472" s="2">
        <v>829.83333333333303</v>
      </c>
      <c r="F2472" s="1">
        <v>6</v>
      </c>
      <c r="G2472" s="1">
        <v>5985.55</v>
      </c>
      <c r="H2472" s="1" t="s">
        <v>10</v>
      </c>
      <c r="I2472" t="str">
        <f t="shared" si="38"/>
        <v>SET OF 6 TEA TIME BAKING CASES [23296]</v>
      </c>
    </row>
    <row r="2473" spans="1:9" x14ac:dyDescent="0.3">
      <c r="A2473" s="1">
        <v>23297</v>
      </c>
      <c r="B2473" t="s">
        <v>3675</v>
      </c>
      <c r="C2473" s="1">
        <v>1.65</v>
      </c>
      <c r="D2473" s="1">
        <v>768</v>
      </c>
      <c r="E2473" s="1">
        <v>860.6</v>
      </c>
      <c r="F2473" s="1">
        <v>5</v>
      </c>
      <c r="G2473" s="1">
        <v>6792.23</v>
      </c>
      <c r="H2473" s="1" t="s">
        <v>10</v>
      </c>
      <c r="I2473" t="str">
        <f t="shared" si="38"/>
        <v>SET 40 HEART SHAPE PETIT FOUR CASES [23297]</v>
      </c>
    </row>
    <row r="2474" spans="1:9" x14ac:dyDescent="0.3">
      <c r="A2474" s="1">
        <v>23298</v>
      </c>
      <c r="B2474" t="s">
        <v>3674</v>
      </c>
      <c r="C2474" s="1">
        <v>5.12</v>
      </c>
      <c r="D2474" s="1">
        <v>933</v>
      </c>
      <c r="E2474" s="1">
        <v>846.6</v>
      </c>
      <c r="F2474" s="1">
        <v>8</v>
      </c>
      <c r="G2474" s="1">
        <v>43148.18</v>
      </c>
      <c r="H2474" s="1" t="s">
        <v>10</v>
      </c>
      <c r="I2474" t="str">
        <f t="shared" si="38"/>
        <v>BUNTING , SPOTTY [23298]</v>
      </c>
    </row>
    <row r="2475" spans="1:9" x14ac:dyDescent="0.3">
      <c r="A2475" s="1">
        <v>23299</v>
      </c>
      <c r="B2475" t="s">
        <v>3673</v>
      </c>
      <c r="C2475" s="1">
        <v>3.93</v>
      </c>
      <c r="D2475" s="1">
        <v>60</v>
      </c>
      <c r="E2475" s="2">
        <v>112.444444444444</v>
      </c>
      <c r="F2475" s="1">
        <v>8</v>
      </c>
      <c r="G2475" s="1">
        <v>3772.88</v>
      </c>
      <c r="H2475" s="1" t="s">
        <v>9</v>
      </c>
      <c r="I2475" t="str">
        <f t="shared" si="38"/>
        <v>FOOD COVER WITH BEADS , SET 2 SIZES [23299]</v>
      </c>
    </row>
    <row r="2476" spans="1:9" x14ac:dyDescent="0.3">
      <c r="A2476" s="1">
        <v>23300</v>
      </c>
      <c r="B2476" t="s">
        <v>3672</v>
      </c>
      <c r="C2476" s="1">
        <v>1.645</v>
      </c>
      <c r="D2476" s="1">
        <v>748.5</v>
      </c>
      <c r="E2476" s="1">
        <v>851.125</v>
      </c>
      <c r="F2476" s="1">
        <v>8</v>
      </c>
      <c r="G2476" s="1">
        <v>11785.99</v>
      </c>
      <c r="H2476" s="1" t="s">
        <v>10</v>
      </c>
      <c r="I2476" t="str">
        <f t="shared" si="38"/>
        <v>GARDENERS KNEELING PAD CUP OF TEA [23300]</v>
      </c>
    </row>
    <row r="2477" spans="1:9" x14ac:dyDescent="0.3">
      <c r="A2477" s="1">
        <v>23301</v>
      </c>
      <c r="B2477" t="s">
        <v>3671</v>
      </c>
      <c r="C2477" s="1">
        <v>1.64</v>
      </c>
      <c r="D2477" s="1">
        <v>942.5</v>
      </c>
      <c r="E2477" s="1">
        <v>1100.875</v>
      </c>
      <c r="F2477" s="1">
        <v>8</v>
      </c>
      <c r="G2477" s="1">
        <v>16327.35</v>
      </c>
      <c r="H2477" s="1" t="s">
        <v>10</v>
      </c>
      <c r="I2477" t="str">
        <f t="shared" si="38"/>
        <v>GARDENERS KNEELING PAD KEEP CALM [23301]</v>
      </c>
    </row>
    <row r="2478" spans="1:9" x14ac:dyDescent="0.3">
      <c r="A2478" s="1">
        <v>23302</v>
      </c>
      <c r="B2478" t="s">
        <v>3670</v>
      </c>
      <c r="C2478" s="2">
        <v>1.6749999999999901</v>
      </c>
      <c r="D2478" s="1">
        <v>164.5</v>
      </c>
      <c r="E2478" s="1">
        <v>192</v>
      </c>
      <c r="F2478" s="1">
        <v>8</v>
      </c>
      <c r="G2478" s="1">
        <v>2181.42</v>
      </c>
      <c r="H2478" s="1" t="s">
        <v>10</v>
      </c>
      <c r="I2478" t="str">
        <f t="shared" si="38"/>
        <v>KNEELING MAT HOUSEWORK  DESIGN [23302]</v>
      </c>
    </row>
    <row r="2479" spans="1:9" x14ac:dyDescent="0.3">
      <c r="A2479" s="1">
        <v>23303</v>
      </c>
      <c r="B2479" t="s">
        <v>3669</v>
      </c>
      <c r="C2479" s="1">
        <v>1.95</v>
      </c>
      <c r="D2479" s="1">
        <v>26</v>
      </c>
      <c r="E2479" s="2">
        <v>21.6666666666666</v>
      </c>
      <c r="F2479" s="1">
        <v>3</v>
      </c>
      <c r="G2479" s="1">
        <v>126.75</v>
      </c>
      <c r="H2479" s="1" t="s">
        <v>9</v>
      </c>
      <c r="I2479" t="str">
        <f t="shared" si="38"/>
        <v>SET 4 PICNIC CUTLERY FONDANT [23303]</v>
      </c>
    </row>
    <row r="2480" spans="1:9" x14ac:dyDescent="0.3">
      <c r="A2480" s="1">
        <v>23304</v>
      </c>
      <c r="B2480" t="s">
        <v>3668</v>
      </c>
      <c r="C2480" s="1">
        <v>1.95</v>
      </c>
      <c r="D2480" s="1">
        <v>24</v>
      </c>
      <c r="E2480" s="2">
        <v>23.6666666666666</v>
      </c>
      <c r="F2480" s="1">
        <v>3</v>
      </c>
      <c r="G2480" s="1">
        <v>138.44999999999999</v>
      </c>
      <c r="H2480" s="1" t="s">
        <v>9</v>
      </c>
      <c r="I2480" t="str">
        <f t="shared" si="38"/>
        <v>SET 4 PICNIC CUTLERY CHERRY [23304]</v>
      </c>
    </row>
    <row r="2481" spans="1:9" x14ac:dyDescent="0.3">
      <c r="A2481" s="1">
        <v>23305</v>
      </c>
      <c r="B2481" t="s">
        <v>3667</v>
      </c>
      <c r="C2481" s="1">
        <v>1.95</v>
      </c>
      <c r="D2481" s="1">
        <v>27</v>
      </c>
      <c r="E2481" s="2">
        <v>27.3333333333333</v>
      </c>
      <c r="F2481" s="1">
        <v>3</v>
      </c>
      <c r="G2481" s="1">
        <v>159.9</v>
      </c>
      <c r="H2481" s="1" t="s">
        <v>9</v>
      </c>
      <c r="I2481" t="str">
        <f t="shared" si="38"/>
        <v>SET 4 PICNIC CUTLERY BLUEBERRY [23305]</v>
      </c>
    </row>
    <row r="2482" spans="1:9" x14ac:dyDescent="0.3">
      <c r="A2482" s="1">
        <v>23306</v>
      </c>
      <c r="B2482" t="s">
        <v>3666</v>
      </c>
      <c r="C2482" s="1">
        <v>1.49</v>
      </c>
      <c r="D2482" s="1">
        <v>208</v>
      </c>
      <c r="E2482" s="1">
        <v>312</v>
      </c>
      <c r="F2482" s="1">
        <v>7</v>
      </c>
      <c r="G2482" s="1">
        <v>4123.38</v>
      </c>
      <c r="H2482" s="1" t="s">
        <v>10</v>
      </c>
      <c r="I2482" t="str">
        <f t="shared" si="38"/>
        <v>SET OF 36 DOILIES PANTRY DESIGN [23306]</v>
      </c>
    </row>
    <row r="2483" spans="1:9" x14ac:dyDescent="0.3">
      <c r="A2483" s="1">
        <v>23307</v>
      </c>
      <c r="B2483" t="s">
        <v>3665</v>
      </c>
      <c r="C2483" s="1">
        <v>0.52</v>
      </c>
      <c r="D2483" s="1">
        <v>1755</v>
      </c>
      <c r="E2483" s="2">
        <v>1721.2857142857099</v>
      </c>
      <c r="F2483" s="1">
        <v>7</v>
      </c>
      <c r="G2483" s="1">
        <v>6371.89</v>
      </c>
      <c r="H2483" s="1" t="s">
        <v>10</v>
      </c>
      <c r="I2483" t="str">
        <f t="shared" si="38"/>
        <v>SET OF 60 PANTRY DESIGN CAKE CASES [23307]</v>
      </c>
    </row>
    <row r="2484" spans="1:9" x14ac:dyDescent="0.3">
      <c r="A2484" s="1">
        <v>23308</v>
      </c>
      <c r="B2484" t="s">
        <v>3664</v>
      </c>
      <c r="C2484" s="1">
        <v>0.55000000000000004</v>
      </c>
      <c r="D2484" s="1">
        <v>1056</v>
      </c>
      <c r="E2484" s="1">
        <v>877</v>
      </c>
      <c r="F2484" s="1">
        <v>7</v>
      </c>
      <c r="G2484" s="1">
        <v>3272.61</v>
      </c>
      <c r="H2484" s="1" t="s">
        <v>10</v>
      </c>
      <c r="I2484" t="str">
        <f t="shared" si="38"/>
        <v>SET OF 60 VINTAGE LEAF CAKE CASES [23308]</v>
      </c>
    </row>
    <row r="2485" spans="1:9" x14ac:dyDescent="0.3">
      <c r="A2485" s="1">
        <v>23309</v>
      </c>
      <c r="B2485" t="s">
        <v>3663</v>
      </c>
      <c r="C2485" s="1">
        <v>0.5</v>
      </c>
      <c r="D2485" s="1">
        <v>1022</v>
      </c>
      <c r="E2485" s="2">
        <v>1182.1428571428501</v>
      </c>
      <c r="F2485" s="1">
        <v>7</v>
      </c>
      <c r="G2485" s="1">
        <v>4495.8500000000004</v>
      </c>
      <c r="H2485" s="1" t="s">
        <v>10</v>
      </c>
      <c r="I2485" t="str">
        <f t="shared" si="38"/>
        <v>SET OF 60 I LOVE LONDON CAKE CASES [23309]</v>
      </c>
    </row>
    <row r="2486" spans="1:9" x14ac:dyDescent="0.3">
      <c r="A2486" s="1">
        <v>23310</v>
      </c>
      <c r="B2486" t="s">
        <v>3662</v>
      </c>
      <c r="C2486" s="1">
        <v>0.42</v>
      </c>
      <c r="D2486" s="1">
        <v>2051</v>
      </c>
      <c r="E2486" s="2">
        <v>1721.42857142857</v>
      </c>
      <c r="F2486" s="1">
        <v>7</v>
      </c>
      <c r="G2486" s="1">
        <v>4997.28</v>
      </c>
      <c r="H2486" s="1" t="s">
        <v>10</v>
      </c>
      <c r="I2486" t="str">
        <f t="shared" si="38"/>
        <v>BUBBLEGUM RING ASSORTED [23310]</v>
      </c>
    </row>
    <row r="2487" spans="1:9" x14ac:dyDescent="0.3">
      <c r="A2487" s="1">
        <v>23311</v>
      </c>
      <c r="B2487" t="s">
        <v>3661</v>
      </c>
      <c r="C2487" s="1">
        <v>2.63</v>
      </c>
      <c r="D2487" s="1">
        <v>297</v>
      </c>
      <c r="E2487" s="2">
        <v>398.33333333333297</v>
      </c>
      <c r="F2487" s="1">
        <v>6</v>
      </c>
      <c r="G2487" s="1">
        <v>6488.2</v>
      </c>
      <c r="H2487" s="1" t="s">
        <v>10</v>
      </c>
      <c r="I2487" t="str">
        <f t="shared" si="38"/>
        <v>VINTAGE CHRISTMAS STOCKING [23311]</v>
      </c>
    </row>
    <row r="2488" spans="1:9" x14ac:dyDescent="0.3">
      <c r="A2488" s="1">
        <v>23312</v>
      </c>
      <c r="B2488" t="s">
        <v>3660</v>
      </c>
      <c r="C2488" s="1">
        <v>4.1900000000000004</v>
      </c>
      <c r="D2488" s="1">
        <v>237</v>
      </c>
      <c r="E2488" s="2">
        <v>237.166666666666</v>
      </c>
      <c r="F2488" s="1">
        <v>6</v>
      </c>
      <c r="G2488" s="1">
        <v>5964.15</v>
      </c>
      <c r="H2488" s="1" t="s">
        <v>10</v>
      </c>
      <c r="I2488" t="str">
        <f t="shared" si="38"/>
        <v>VINTAGE CHRISTMAS GIFT SACK [23312]</v>
      </c>
    </row>
    <row r="2489" spans="1:9" x14ac:dyDescent="0.3">
      <c r="A2489" s="1">
        <v>23313</v>
      </c>
      <c r="B2489" t="s">
        <v>3659</v>
      </c>
      <c r="C2489" s="1">
        <v>4.9000000000000004</v>
      </c>
      <c r="D2489" s="1">
        <v>415.5</v>
      </c>
      <c r="E2489" s="2">
        <v>498.33333333333297</v>
      </c>
      <c r="F2489" s="1">
        <v>6</v>
      </c>
      <c r="G2489" s="1">
        <v>15798.66</v>
      </c>
      <c r="H2489" s="1" t="s">
        <v>10</v>
      </c>
      <c r="I2489" t="str">
        <f t="shared" si="38"/>
        <v>VINTAGE CHRISTMAS BUNTING [23313]</v>
      </c>
    </row>
    <row r="2490" spans="1:9" x14ac:dyDescent="0.3">
      <c r="A2490" s="1">
        <v>23314</v>
      </c>
      <c r="B2490" t="s">
        <v>3658</v>
      </c>
      <c r="C2490" s="1">
        <v>12.65</v>
      </c>
      <c r="D2490" s="1">
        <v>80.5</v>
      </c>
      <c r="E2490" s="2">
        <v>67.8333333333333</v>
      </c>
      <c r="F2490" s="1">
        <v>6</v>
      </c>
      <c r="G2490" s="1">
        <v>5012.96</v>
      </c>
      <c r="H2490" s="1" t="s">
        <v>10</v>
      </c>
      <c r="I2490" t="str">
        <f t="shared" si="38"/>
        <v>VINTAGE CHRISTMAS TABLECLOTH [23314]</v>
      </c>
    </row>
    <row r="2491" spans="1:9" x14ac:dyDescent="0.3">
      <c r="A2491" s="1">
        <v>23315</v>
      </c>
      <c r="B2491" t="s">
        <v>3657</v>
      </c>
      <c r="C2491" s="1">
        <v>9.9499999999999993</v>
      </c>
      <c r="D2491" s="1">
        <v>39</v>
      </c>
      <c r="E2491" s="2">
        <v>30.428571428571399</v>
      </c>
      <c r="F2491" s="1">
        <v>7</v>
      </c>
      <c r="G2491" s="1">
        <v>2094.2399999999998</v>
      </c>
      <c r="H2491" s="1" t="s">
        <v>9</v>
      </c>
      <c r="I2491" t="str">
        <f t="shared" si="38"/>
        <v>IVORY REFECTORY CLOCK [23315]</v>
      </c>
    </row>
    <row r="2492" spans="1:9" x14ac:dyDescent="0.3">
      <c r="A2492" s="1">
        <v>23316</v>
      </c>
      <c r="B2492" t="s">
        <v>3656</v>
      </c>
      <c r="C2492" s="1">
        <v>9.9700000000000006</v>
      </c>
      <c r="D2492" s="1">
        <v>44</v>
      </c>
      <c r="E2492" s="2">
        <v>35.714285714285701</v>
      </c>
      <c r="F2492" s="1">
        <v>7</v>
      </c>
      <c r="G2492" s="1">
        <v>2501.64</v>
      </c>
      <c r="H2492" s="1" t="s">
        <v>9</v>
      </c>
      <c r="I2492" t="str">
        <f t="shared" si="38"/>
        <v>RED REFECTORY CLOCK [23316]</v>
      </c>
    </row>
    <row r="2493" spans="1:9" x14ac:dyDescent="0.3">
      <c r="A2493" s="1">
        <v>23317</v>
      </c>
      <c r="B2493" t="s">
        <v>3655</v>
      </c>
      <c r="C2493" s="1">
        <v>10.55</v>
      </c>
      <c r="D2493" s="1">
        <v>28</v>
      </c>
      <c r="E2493" s="2">
        <v>24.714285714285701</v>
      </c>
      <c r="F2493" s="1">
        <v>7</v>
      </c>
      <c r="G2493" s="1">
        <v>1777.46</v>
      </c>
      <c r="H2493" s="1" t="s">
        <v>9</v>
      </c>
      <c r="I2493" t="str">
        <f t="shared" si="38"/>
        <v>BLUE REFECTORY CLOCK [23317]</v>
      </c>
    </row>
    <row r="2494" spans="1:9" x14ac:dyDescent="0.3">
      <c r="A2494" s="1">
        <v>23318</v>
      </c>
      <c r="B2494" t="s">
        <v>3654</v>
      </c>
      <c r="C2494" s="1">
        <v>2.33</v>
      </c>
      <c r="D2494" s="1">
        <v>529.5</v>
      </c>
      <c r="E2494" s="2">
        <v>634.83333333333303</v>
      </c>
      <c r="F2494" s="1">
        <v>6</v>
      </c>
      <c r="G2494" s="1">
        <v>9162.41</v>
      </c>
      <c r="H2494" s="1" t="s">
        <v>10</v>
      </c>
      <c r="I2494" t="str">
        <f t="shared" si="38"/>
        <v>BOX OF 6 MINI VINTAGE CRACKERS [23318]</v>
      </c>
    </row>
    <row r="2495" spans="1:9" x14ac:dyDescent="0.3">
      <c r="A2495" s="1">
        <v>23319</v>
      </c>
      <c r="B2495" t="s">
        <v>3653</v>
      </c>
      <c r="C2495" s="1">
        <v>2.3849999999999998</v>
      </c>
      <c r="D2495" s="1">
        <v>539</v>
      </c>
      <c r="E2495" s="1">
        <v>620</v>
      </c>
      <c r="F2495" s="1">
        <v>6</v>
      </c>
      <c r="G2495" s="1">
        <v>9219.5300000000007</v>
      </c>
      <c r="H2495" s="1" t="s">
        <v>10</v>
      </c>
      <c r="I2495" t="str">
        <f t="shared" si="38"/>
        <v>BOX OF 6 MINI 50'S CRACKERS [23319]</v>
      </c>
    </row>
    <row r="2496" spans="1:9" x14ac:dyDescent="0.3">
      <c r="A2496" s="1">
        <v>23320</v>
      </c>
      <c r="B2496" t="s">
        <v>3652</v>
      </c>
      <c r="C2496" s="2">
        <v>2.7649999999999899</v>
      </c>
      <c r="D2496" s="1">
        <v>471</v>
      </c>
      <c r="E2496" s="1">
        <v>443.5</v>
      </c>
      <c r="F2496" s="1">
        <v>6</v>
      </c>
      <c r="G2496" s="1">
        <v>7053.57</v>
      </c>
      <c r="H2496" s="1" t="s">
        <v>10</v>
      </c>
      <c r="I2496" t="str">
        <f t="shared" si="38"/>
        <v>GIANT 50'S CHRISTMAS CRACKER [23320]</v>
      </c>
    </row>
    <row r="2497" spans="1:9" x14ac:dyDescent="0.3">
      <c r="A2497" s="1">
        <v>23321</v>
      </c>
      <c r="B2497" t="s">
        <v>3651</v>
      </c>
      <c r="C2497" s="1">
        <v>1.7</v>
      </c>
      <c r="D2497" s="1">
        <v>744</v>
      </c>
      <c r="E2497" s="2">
        <v>673.71428571428498</v>
      </c>
      <c r="F2497" s="1">
        <v>7</v>
      </c>
      <c r="G2497" s="1">
        <v>8438.5400000000009</v>
      </c>
      <c r="H2497" s="1" t="s">
        <v>10</v>
      </c>
      <c r="I2497" t="str">
        <f t="shared" si="38"/>
        <v>SMALL WHITE HEART OF WICKER [23321]</v>
      </c>
    </row>
    <row r="2498" spans="1:9" x14ac:dyDescent="0.3">
      <c r="A2498" s="1">
        <v>23322</v>
      </c>
      <c r="B2498" t="s">
        <v>3650</v>
      </c>
      <c r="C2498" s="1">
        <v>2.92</v>
      </c>
      <c r="D2498" s="1">
        <v>472</v>
      </c>
      <c r="E2498" s="2">
        <v>438.42857142857099</v>
      </c>
      <c r="F2498" s="1">
        <v>7</v>
      </c>
      <c r="G2498" s="2">
        <v>8878.2099999999991</v>
      </c>
      <c r="H2498" s="1" t="s">
        <v>10</v>
      </c>
      <c r="I2498" t="str">
        <f t="shared" si="38"/>
        <v>LARGE WHITE HEART OF WICKER [23322]</v>
      </c>
    </row>
    <row r="2499" spans="1:9" x14ac:dyDescent="0.3">
      <c r="A2499" s="1">
        <v>23323</v>
      </c>
      <c r="B2499" t="s">
        <v>3649</v>
      </c>
      <c r="C2499" s="1">
        <v>2.14</v>
      </c>
      <c r="D2499" s="1">
        <v>136</v>
      </c>
      <c r="E2499" s="2">
        <v>209.85714285714201</v>
      </c>
      <c r="F2499" s="1">
        <v>7</v>
      </c>
      <c r="G2499" s="2">
        <v>3146.7799999999902</v>
      </c>
      <c r="H2499" s="1" t="s">
        <v>10</v>
      </c>
      <c r="I2499" t="str">
        <f t="shared" ref="I2499:I2562" si="39">B2499&amp;" ["&amp;A2499&amp;"]"</f>
        <v>WHITE WICKER STAR [23323]</v>
      </c>
    </row>
    <row r="2500" spans="1:9" x14ac:dyDescent="0.3">
      <c r="A2500" s="1">
        <v>23324</v>
      </c>
      <c r="B2500" t="s">
        <v>3648</v>
      </c>
      <c r="C2500" s="1">
        <v>2.08</v>
      </c>
      <c r="D2500" s="1">
        <v>41.5</v>
      </c>
      <c r="E2500" s="1">
        <v>49.875</v>
      </c>
      <c r="F2500" s="1">
        <v>5</v>
      </c>
      <c r="G2500" s="1">
        <v>816.04</v>
      </c>
      <c r="H2500" s="1" t="s">
        <v>9</v>
      </c>
      <c r="I2500" t="str">
        <f t="shared" si="39"/>
        <v>RUSTIC STRAWBERRY JAM POT LARGE [23324]</v>
      </c>
    </row>
    <row r="2501" spans="1:9" x14ac:dyDescent="0.3">
      <c r="A2501" s="1">
        <v>23325</v>
      </c>
      <c r="B2501" t="s">
        <v>3647</v>
      </c>
      <c r="C2501" s="1">
        <v>1.65</v>
      </c>
      <c r="D2501" s="1">
        <v>70</v>
      </c>
      <c r="E2501" s="1">
        <v>66</v>
      </c>
      <c r="F2501" s="1">
        <v>4</v>
      </c>
      <c r="G2501" s="2">
        <v>740.93999999999903</v>
      </c>
      <c r="H2501" s="1" t="s">
        <v>10</v>
      </c>
      <c r="I2501" t="str">
        <f t="shared" si="39"/>
        <v>RUSTIC STRAWBERRY JAM POT SMALL [23325]</v>
      </c>
    </row>
    <row r="2502" spans="1:9" x14ac:dyDescent="0.3">
      <c r="A2502" s="1">
        <v>23326</v>
      </c>
      <c r="B2502" t="s">
        <v>3646</v>
      </c>
      <c r="C2502" s="1">
        <v>0.62</v>
      </c>
      <c r="D2502" s="1">
        <v>712</v>
      </c>
      <c r="E2502" s="1">
        <v>688.4</v>
      </c>
      <c r="F2502" s="1">
        <v>5</v>
      </c>
      <c r="G2502" s="1">
        <v>2237.08</v>
      </c>
      <c r="H2502" s="1" t="s">
        <v>10</v>
      </c>
      <c r="I2502" t="str">
        <f t="shared" si="39"/>
        <v>HANGING MINI COLOURED BOTTLES [23326]</v>
      </c>
    </row>
    <row r="2503" spans="1:9" x14ac:dyDescent="0.3">
      <c r="A2503" s="1">
        <v>23327</v>
      </c>
      <c r="B2503" t="s">
        <v>3645</v>
      </c>
      <c r="C2503" s="1">
        <v>0.61</v>
      </c>
      <c r="D2503" s="1">
        <v>361</v>
      </c>
      <c r="E2503" s="1">
        <v>346.8</v>
      </c>
      <c r="F2503" s="1">
        <v>5</v>
      </c>
      <c r="G2503" s="2">
        <v>1051.1399999999901</v>
      </c>
      <c r="H2503" s="1" t="s">
        <v>10</v>
      </c>
      <c r="I2503" t="str">
        <f t="shared" si="39"/>
        <v>HANGING CLEAR MINI BOTTLE [23327]</v>
      </c>
    </row>
    <row r="2504" spans="1:9" x14ac:dyDescent="0.3">
      <c r="A2504" s="1">
        <v>23328</v>
      </c>
      <c r="B2504" t="s">
        <v>3644</v>
      </c>
      <c r="C2504" s="1">
        <v>4.3</v>
      </c>
      <c r="D2504" s="1">
        <v>530</v>
      </c>
      <c r="E2504" s="1">
        <v>568.20000000000005</v>
      </c>
      <c r="F2504" s="1">
        <v>5</v>
      </c>
      <c r="G2504" s="1">
        <v>13269.49</v>
      </c>
      <c r="H2504" s="1" t="s">
        <v>10</v>
      </c>
      <c r="I2504" t="str">
        <f t="shared" si="39"/>
        <v>SET 6 SCHOOL MILK BOTTLES IN CRATE [23328]</v>
      </c>
    </row>
    <row r="2505" spans="1:9" x14ac:dyDescent="0.3">
      <c r="A2505" s="1">
        <v>23329</v>
      </c>
      <c r="B2505" t="s">
        <v>3643</v>
      </c>
      <c r="C2505" s="1">
        <v>1.66</v>
      </c>
      <c r="D2505" s="1">
        <v>390</v>
      </c>
      <c r="E2505" s="1">
        <v>353.4</v>
      </c>
      <c r="F2505" s="1">
        <v>5</v>
      </c>
      <c r="G2505" s="1">
        <v>3038.19</v>
      </c>
      <c r="H2505" s="1" t="s">
        <v>10</v>
      </c>
      <c r="I2505" t="str">
        <f t="shared" si="39"/>
        <v>DECORATIVE WICKER HEART LARGE [23329]</v>
      </c>
    </row>
    <row r="2506" spans="1:9" x14ac:dyDescent="0.3">
      <c r="A2506" s="1">
        <v>23330</v>
      </c>
      <c r="B2506" t="s">
        <v>3642</v>
      </c>
      <c r="C2506" s="1">
        <v>1.27</v>
      </c>
      <c r="D2506" s="1">
        <v>321</v>
      </c>
      <c r="E2506" s="1">
        <v>358.8</v>
      </c>
      <c r="F2506" s="1">
        <v>5</v>
      </c>
      <c r="G2506" s="2">
        <v>2286.9699999999998</v>
      </c>
      <c r="H2506" s="1" t="s">
        <v>10</v>
      </c>
      <c r="I2506" t="str">
        <f t="shared" si="39"/>
        <v>DECORATIVE WICKER HEART MEDIUM [23330]</v>
      </c>
    </row>
    <row r="2507" spans="1:9" x14ac:dyDescent="0.3">
      <c r="A2507" s="1">
        <v>23331</v>
      </c>
      <c r="B2507" t="s">
        <v>3641</v>
      </c>
      <c r="C2507" s="1">
        <v>0.68</v>
      </c>
      <c r="D2507" s="1">
        <v>377</v>
      </c>
      <c r="E2507" s="1">
        <v>319.2</v>
      </c>
      <c r="F2507" s="1">
        <v>5</v>
      </c>
      <c r="G2507" s="1">
        <v>1062.28</v>
      </c>
      <c r="H2507" s="1" t="s">
        <v>10</v>
      </c>
      <c r="I2507" t="str">
        <f t="shared" si="39"/>
        <v>DECORATIVE WICKER HEART SMALL [23331]</v>
      </c>
    </row>
    <row r="2508" spans="1:9" x14ac:dyDescent="0.3">
      <c r="A2508" s="1">
        <v>23332</v>
      </c>
      <c r="B2508" t="s">
        <v>3640</v>
      </c>
      <c r="C2508" s="1">
        <v>1.69</v>
      </c>
      <c r="D2508" s="1">
        <v>472</v>
      </c>
      <c r="E2508" s="1">
        <v>411.8</v>
      </c>
      <c r="F2508" s="1">
        <v>5</v>
      </c>
      <c r="G2508" s="1">
        <v>3542.71</v>
      </c>
      <c r="H2508" s="1" t="s">
        <v>10</v>
      </c>
      <c r="I2508" t="str">
        <f t="shared" si="39"/>
        <v>IVORY WICKER HEART LARGE [23332]</v>
      </c>
    </row>
    <row r="2509" spans="1:9" x14ac:dyDescent="0.3">
      <c r="A2509" s="1">
        <v>23333</v>
      </c>
      <c r="B2509" t="s">
        <v>3639</v>
      </c>
      <c r="C2509" s="1">
        <v>1.27</v>
      </c>
      <c r="D2509" s="1">
        <v>378</v>
      </c>
      <c r="E2509" s="1">
        <v>417.8</v>
      </c>
      <c r="F2509" s="1">
        <v>5</v>
      </c>
      <c r="G2509" s="1">
        <v>2695.45</v>
      </c>
      <c r="H2509" s="1" t="s">
        <v>10</v>
      </c>
      <c r="I2509" t="str">
        <f t="shared" si="39"/>
        <v>IVORY WICKER HEART MEDIUM [23333]</v>
      </c>
    </row>
    <row r="2510" spans="1:9" x14ac:dyDescent="0.3">
      <c r="A2510" s="1">
        <v>23334</v>
      </c>
      <c r="B2510" t="s">
        <v>3638</v>
      </c>
      <c r="C2510" s="1">
        <v>0.67</v>
      </c>
      <c r="D2510" s="1">
        <v>504</v>
      </c>
      <c r="E2510" s="1">
        <v>454.2</v>
      </c>
      <c r="F2510" s="1">
        <v>5</v>
      </c>
      <c r="G2510" s="1">
        <v>1491.75</v>
      </c>
      <c r="H2510" s="1" t="s">
        <v>10</v>
      </c>
      <c r="I2510" t="str">
        <f t="shared" si="39"/>
        <v>IVORY WICKER HEART SMALL [23334]</v>
      </c>
    </row>
    <row r="2511" spans="1:9" x14ac:dyDescent="0.3">
      <c r="A2511" s="1">
        <v>23335</v>
      </c>
      <c r="B2511" t="s">
        <v>3637</v>
      </c>
      <c r="C2511" s="1">
        <v>2.17</v>
      </c>
      <c r="D2511" s="1">
        <v>42</v>
      </c>
      <c r="E2511" s="2">
        <v>53.857142857142797</v>
      </c>
      <c r="F2511" s="1">
        <v>7</v>
      </c>
      <c r="G2511" s="1">
        <v>790.78</v>
      </c>
      <c r="H2511" s="1" t="s">
        <v>9</v>
      </c>
      <c r="I2511" t="str">
        <f t="shared" si="39"/>
        <v>EGG FRYING PAN IVORY [23335]</v>
      </c>
    </row>
    <row r="2512" spans="1:9" x14ac:dyDescent="0.3">
      <c r="A2512" s="1">
        <v>23336</v>
      </c>
      <c r="B2512" t="s">
        <v>3636</v>
      </c>
      <c r="C2512" s="1">
        <v>2.37</v>
      </c>
      <c r="D2512" s="1">
        <v>27</v>
      </c>
      <c r="E2512" s="2">
        <v>32.142857142857103</v>
      </c>
      <c r="F2512" s="1">
        <v>7</v>
      </c>
      <c r="G2512" s="1">
        <v>519.25</v>
      </c>
      <c r="H2512" s="1" t="s">
        <v>9</v>
      </c>
      <c r="I2512" t="str">
        <f t="shared" si="39"/>
        <v>EGG FRYING PAN PINK [23336]</v>
      </c>
    </row>
    <row r="2513" spans="1:9" x14ac:dyDescent="0.3">
      <c r="A2513" s="1">
        <v>23337</v>
      </c>
      <c r="B2513" t="s">
        <v>3635</v>
      </c>
      <c r="C2513" s="1">
        <v>2.16</v>
      </c>
      <c r="D2513" s="1">
        <v>19</v>
      </c>
      <c r="E2513" s="2">
        <v>25.714285714285701</v>
      </c>
      <c r="F2513" s="1">
        <v>7</v>
      </c>
      <c r="G2513" s="1">
        <v>388.75</v>
      </c>
      <c r="H2513" s="1" t="s">
        <v>9</v>
      </c>
      <c r="I2513" t="str">
        <f t="shared" si="39"/>
        <v>EGG FRYING PAN MINT [23337]</v>
      </c>
    </row>
    <row r="2514" spans="1:9" x14ac:dyDescent="0.3">
      <c r="A2514" s="1">
        <v>23338</v>
      </c>
      <c r="B2514" t="s">
        <v>3634</v>
      </c>
      <c r="C2514" s="1">
        <v>2.11</v>
      </c>
      <c r="D2514" s="1">
        <v>71</v>
      </c>
      <c r="E2514" s="2">
        <v>61.571428571428498</v>
      </c>
      <c r="F2514" s="1">
        <v>7</v>
      </c>
      <c r="G2514" s="1">
        <v>915.4</v>
      </c>
      <c r="H2514" s="1" t="s">
        <v>10</v>
      </c>
      <c r="I2514" t="str">
        <f t="shared" si="39"/>
        <v>EGG FRYING PAN RED [23338]</v>
      </c>
    </row>
    <row r="2515" spans="1:9" x14ac:dyDescent="0.3">
      <c r="A2515" s="1">
        <v>23339</v>
      </c>
      <c r="B2515" t="s">
        <v>3633</v>
      </c>
      <c r="C2515" s="1">
        <v>2.2000000000000002</v>
      </c>
      <c r="D2515" s="1">
        <v>24</v>
      </c>
      <c r="E2515" s="2">
        <v>24.714285714285701</v>
      </c>
      <c r="F2515" s="1">
        <v>7</v>
      </c>
      <c r="G2515" s="1">
        <v>400.84</v>
      </c>
      <c r="H2515" s="1" t="s">
        <v>9</v>
      </c>
      <c r="I2515" t="str">
        <f t="shared" si="39"/>
        <v>EGG FRYING PAN BLUE [23339]</v>
      </c>
    </row>
    <row r="2516" spans="1:9" x14ac:dyDescent="0.3">
      <c r="A2516" s="1">
        <v>23340</v>
      </c>
      <c r="B2516" t="s">
        <v>3632</v>
      </c>
      <c r="C2516" s="1">
        <v>1.64</v>
      </c>
      <c r="D2516" s="1">
        <v>265.5</v>
      </c>
      <c r="E2516" s="2">
        <v>416.666666666666</v>
      </c>
      <c r="F2516" s="1">
        <v>6</v>
      </c>
      <c r="G2516" s="2">
        <v>4034.08</v>
      </c>
      <c r="H2516" s="1" t="s">
        <v>10</v>
      </c>
      <c r="I2516" t="str">
        <f t="shared" si="39"/>
        <v>VINTAGE CHRISTMAS CAKE FRILL [23340]</v>
      </c>
    </row>
    <row r="2517" spans="1:9" x14ac:dyDescent="0.3">
      <c r="A2517" s="1">
        <v>23341</v>
      </c>
      <c r="B2517" t="s">
        <v>3631</v>
      </c>
      <c r="C2517" s="1">
        <v>8.77</v>
      </c>
      <c r="D2517" s="1">
        <v>39</v>
      </c>
      <c r="E2517" s="2">
        <v>43.857142857142797</v>
      </c>
      <c r="F2517" s="1">
        <v>7</v>
      </c>
      <c r="G2517" s="1">
        <v>2741.35</v>
      </c>
      <c r="H2517" s="1" t="s">
        <v>9</v>
      </c>
      <c r="I2517" t="str">
        <f t="shared" si="39"/>
        <v>PINK DINER WALL CLOCK [23341]</v>
      </c>
    </row>
    <row r="2518" spans="1:9" x14ac:dyDescent="0.3">
      <c r="A2518" s="1">
        <v>23342</v>
      </c>
      <c r="B2518" t="s">
        <v>3630</v>
      </c>
      <c r="C2518" s="1">
        <v>8.5</v>
      </c>
      <c r="D2518" s="1">
        <v>46</v>
      </c>
      <c r="E2518" s="1">
        <v>46.625</v>
      </c>
      <c r="F2518" s="1">
        <v>7</v>
      </c>
      <c r="G2518" s="1">
        <v>3176.41</v>
      </c>
      <c r="H2518" s="1" t="s">
        <v>9</v>
      </c>
      <c r="I2518" t="str">
        <f t="shared" si="39"/>
        <v>MINT DINER WALL CLOCK [23342]</v>
      </c>
    </row>
    <row r="2519" spans="1:9" x14ac:dyDescent="0.3">
      <c r="A2519" s="1">
        <v>23343</v>
      </c>
      <c r="B2519" t="s">
        <v>3629</v>
      </c>
      <c r="C2519" s="1">
        <v>2.11</v>
      </c>
      <c r="D2519" s="1">
        <v>777</v>
      </c>
      <c r="E2519" s="2">
        <v>868.28571428571399</v>
      </c>
      <c r="F2519" s="1">
        <v>7</v>
      </c>
      <c r="G2519" s="2">
        <v>13972.71</v>
      </c>
      <c r="H2519" s="1" t="s">
        <v>10</v>
      </c>
      <c r="I2519" t="str">
        <f t="shared" si="39"/>
        <v>JUMBO BAG VINTAGE CHRISTMAS [23343]</v>
      </c>
    </row>
    <row r="2520" spans="1:9" x14ac:dyDescent="0.3">
      <c r="A2520" s="1">
        <v>23344</v>
      </c>
      <c r="B2520" t="s">
        <v>3628</v>
      </c>
      <c r="C2520" s="1">
        <v>2.0699999999999998</v>
      </c>
      <c r="D2520" s="1">
        <v>1085</v>
      </c>
      <c r="E2520" s="2">
        <v>1469.2857142857099</v>
      </c>
      <c r="F2520" s="1">
        <v>7</v>
      </c>
      <c r="G2520" s="1">
        <v>23772.07</v>
      </c>
      <c r="H2520" s="1" t="s">
        <v>10</v>
      </c>
      <c r="I2520" t="str">
        <f t="shared" si="39"/>
        <v>JUMBO BAG 50'S CHRISTMAS [23344]</v>
      </c>
    </row>
    <row r="2521" spans="1:9" x14ac:dyDescent="0.3">
      <c r="A2521" s="1">
        <v>23345</v>
      </c>
      <c r="B2521" t="s">
        <v>3627</v>
      </c>
      <c r="C2521" s="2">
        <v>1.2149999999999901</v>
      </c>
      <c r="D2521" s="1">
        <v>361.5</v>
      </c>
      <c r="E2521" s="1">
        <v>408.5</v>
      </c>
      <c r="F2521" s="1">
        <v>6</v>
      </c>
      <c r="G2521" s="1">
        <v>2886.25</v>
      </c>
      <c r="H2521" s="1" t="s">
        <v>10</v>
      </c>
      <c r="I2521" t="str">
        <f t="shared" si="39"/>
        <v>DOLLY GIRL BEAKER [23345]</v>
      </c>
    </row>
    <row r="2522" spans="1:9" x14ac:dyDescent="0.3">
      <c r="A2522" s="1">
        <v>23346</v>
      </c>
      <c r="B2522" t="s">
        <v>3626</v>
      </c>
      <c r="C2522" s="1">
        <v>1.21</v>
      </c>
      <c r="D2522" s="1">
        <v>458</v>
      </c>
      <c r="E2522" s="1">
        <v>438</v>
      </c>
      <c r="F2522" s="1">
        <v>6</v>
      </c>
      <c r="G2522" s="2">
        <v>3112.3399999999901</v>
      </c>
      <c r="H2522" s="1" t="s">
        <v>10</v>
      </c>
      <c r="I2522" t="str">
        <f t="shared" si="39"/>
        <v>SPACEBOY BEAKER [23346]</v>
      </c>
    </row>
    <row r="2523" spans="1:9" x14ac:dyDescent="0.3">
      <c r="A2523" s="1">
        <v>23347</v>
      </c>
      <c r="B2523" t="s">
        <v>3625</v>
      </c>
      <c r="C2523" s="1">
        <v>1.3149999999999999</v>
      </c>
      <c r="D2523" s="1">
        <v>84.5</v>
      </c>
      <c r="E2523" s="2">
        <v>143.333333333333</v>
      </c>
      <c r="F2523" s="1">
        <v>6</v>
      </c>
      <c r="G2523" s="1">
        <v>1077.3</v>
      </c>
      <c r="H2523" s="1" t="s">
        <v>10</v>
      </c>
      <c r="I2523" t="str">
        <f t="shared" si="39"/>
        <v>I LOVE LONDON BEAKER [23347]</v>
      </c>
    </row>
    <row r="2524" spans="1:9" x14ac:dyDescent="0.3">
      <c r="A2524" s="1">
        <v>23348</v>
      </c>
      <c r="B2524" t="s">
        <v>3624</v>
      </c>
      <c r="C2524" s="1">
        <v>3.1850000000000001</v>
      </c>
      <c r="D2524" s="1">
        <v>30</v>
      </c>
      <c r="E2524" s="1">
        <v>93.25</v>
      </c>
      <c r="F2524" s="1">
        <v>8</v>
      </c>
      <c r="G2524" s="1">
        <v>1633.81</v>
      </c>
      <c r="H2524" s="1" t="s">
        <v>9</v>
      </c>
      <c r="I2524" t="str">
        <f t="shared" si="39"/>
        <v>CHILDRENS TOY COOKING UTENSIL SET [23348]</v>
      </c>
    </row>
    <row r="2525" spans="1:9" x14ac:dyDescent="0.3">
      <c r="A2525" s="1">
        <v>23349</v>
      </c>
      <c r="B2525" t="s">
        <v>3623</v>
      </c>
      <c r="C2525" s="1">
        <v>1.28</v>
      </c>
      <c r="D2525" s="1">
        <v>640</v>
      </c>
      <c r="E2525" s="1">
        <v>644.20000000000005</v>
      </c>
      <c r="F2525" s="1">
        <v>5</v>
      </c>
      <c r="G2525" s="1">
        <v>4342.6000000000004</v>
      </c>
      <c r="H2525" s="1" t="s">
        <v>10</v>
      </c>
      <c r="I2525" t="str">
        <f t="shared" si="39"/>
        <v>ROLL WRAP VINTAGE CHRISTMAS [23349]</v>
      </c>
    </row>
    <row r="2526" spans="1:9" x14ac:dyDescent="0.3">
      <c r="A2526" s="1">
        <v>23350</v>
      </c>
      <c r="B2526" t="s">
        <v>3622</v>
      </c>
      <c r="C2526" s="1">
        <v>1.27</v>
      </c>
      <c r="D2526" s="1">
        <v>619</v>
      </c>
      <c r="E2526" s="1">
        <v>542.4</v>
      </c>
      <c r="F2526" s="1">
        <v>5</v>
      </c>
      <c r="G2526" s="1">
        <v>3445.08</v>
      </c>
      <c r="H2526" s="1" t="s">
        <v>10</v>
      </c>
      <c r="I2526" t="str">
        <f t="shared" si="39"/>
        <v>ROLL WRAP VINTAGE SPOT [23350]</v>
      </c>
    </row>
    <row r="2527" spans="1:9" x14ac:dyDescent="0.3">
      <c r="A2527" s="1">
        <v>23351</v>
      </c>
      <c r="B2527" t="s">
        <v>3621</v>
      </c>
      <c r="C2527" s="1">
        <v>1.29</v>
      </c>
      <c r="D2527" s="1">
        <v>530</v>
      </c>
      <c r="E2527" s="1">
        <v>707</v>
      </c>
      <c r="F2527" s="1">
        <v>5</v>
      </c>
      <c r="G2527" s="1">
        <v>4875.6499999999996</v>
      </c>
      <c r="H2527" s="1" t="s">
        <v>10</v>
      </c>
      <c r="I2527" t="str">
        <f t="shared" si="39"/>
        <v>ROLL WRAP 50'S CHRISTMAS [23351]</v>
      </c>
    </row>
    <row r="2528" spans="1:9" x14ac:dyDescent="0.3">
      <c r="A2528" s="1">
        <v>23352</v>
      </c>
      <c r="B2528" t="s">
        <v>3620</v>
      </c>
      <c r="C2528" s="1">
        <v>1.28</v>
      </c>
      <c r="D2528" s="1">
        <v>392</v>
      </c>
      <c r="E2528" s="1">
        <v>360</v>
      </c>
      <c r="F2528" s="1">
        <v>5</v>
      </c>
      <c r="G2528" s="1">
        <v>2459.1999999999998</v>
      </c>
      <c r="H2528" s="1" t="s">
        <v>10</v>
      </c>
      <c r="I2528" t="str">
        <f t="shared" si="39"/>
        <v>ROLL WRAP 50'S RED CHRISTMAS [23352]</v>
      </c>
    </row>
    <row r="2529" spans="1:9" x14ac:dyDescent="0.3">
      <c r="A2529" s="1">
        <v>23353</v>
      </c>
      <c r="B2529" t="s">
        <v>3619</v>
      </c>
      <c r="C2529" s="1">
        <v>0.86</v>
      </c>
      <c r="D2529" s="1">
        <v>753</v>
      </c>
      <c r="E2529" s="1">
        <v>801.4</v>
      </c>
      <c r="F2529" s="1">
        <v>5</v>
      </c>
      <c r="G2529" s="1">
        <v>3510.05</v>
      </c>
      <c r="H2529" s="1" t="s">
        <v>10</v>
      </c>
      <c r="I2529" t="str">
        <f t="shared" si="39"/>
        <v>6 GIFT TAGS VINTAGE CHRISTMAS [23353]</v>
      </c>
    </row>
    <row r="2530" spans="1:9" x14ac:dyDescent="0.3">
      <c r="A2530" s="1">
        <v>23354</v>
      </c>
      <c r="B2530" t="s">
        <v>3618</v>
      </c>
      <c r="C2530" s="1">
        <v>0.85</v>
      </c>
      <c r="D2530" s="1">
        <v>742</v>
      </c>
      <c r="E2530" s="1">
        <v>748</v>
      </c>
      <c r="F2530" s="1">
        <v>5</v>
      </c>
      <c r="G2530" s="2">
        <v>3429.3999999999901</v>
      </c>
      <c r="H2530" s="1" t="s">
        <v>10</v>
      </c>
      <c r="I2530" t="str">
        <f t="shared" si="39"/>
        <v>6 GIFT TAGS 50'S CHRISTMAS [23354]</v>
      </c>
    </row>
    <row r="2531" spans="1:9" x14ac:dyDescent="0.3">
      <c r="A2531" s="1">
        <v>23355</v>
      </c>
      <c r="B2531" t="s">
        <v>3617</v>
      </c>
      <c r="C2531" s="1">
        <v>4.7</v>
      </c>
      <c r="D2531" s="1">
        <v>1329</v>
      </c>
      <c r="E2531" s="1">
        <v>1163.2</v>
      </c>
      <c r="F2531" s="1">
        <v>5</v>
      </c>
      <c r="G2531" s="1">
        <v>28718.799999999999</v>
      </c>
      <c r="H2531" s="1" t="s">
        <v>10</v>
      </c>
      <c r="I2531" t="str">
        <f t="shared" si="39"/>
        <v>HOT WATER BOTTLE KEEP CALM [23355]</v>
      </c>
    </row>
    <row r="2532" spans="1:9" x14ac:dyDescent="0.3">
      <c r="A2532" s="1">
        <v>23356</v>
      </c>
      <c r="B2532" t="s">
        <v>3616</v>
      </c>
      <c r="C2532" s="1">
        <v>5.72</v>
      </c>
      <c r="D2532" s="1">
        <v>509</v>
      </c>
      <c r="E2532" s="1">
        <v>471.8</v>
      </c>
      <c r="F2532" s="1">
        <v>5</v>
      </c>
      <c r="G2532" s="2">
        <v>13334.32</v>
      </c>
      <c r="H2532" s="1" t="s">
        <v>10</v>
      </c>
      <c r="I2532" t="str">
        <f t="shared" si="39"/>
        <v>LOVE HOT WATER BOTTLE [23356]</v>
      </c>
    </row>
    <row r="2533" spans="1:9" x14ac:dyDescent="0.3">
      <c r="A2533" s="1">
        <v>23357</v>
      </c>
      <c r="B2533" t="s">
        <v>3615</v>
      </c>
      <c r="C2533" s="1">
        <v>4.74</v>
      </c>
      <c r="D2533" s="1">
        <v>93</v>
      </c>
      <c r="E2533" s="1">
        <v>90</v>
      </c>
      <c r="F2533" s="1">
        <v>5</v>
      </c>
      <c r="G2533" s="1">
        <v>1982.05</v>
      </c>
      <c r="H2533" s="1" t="s">
        <v>10</v>
      </c>
      <c r="I2533" t="str">
        <f t="shared" si="39"/>
        <v>HOT WATER BOTTLE SEX BOMB [23357]</v>
      </c>
    </row>
    <row r="2534" spans="1:9" x14ac:dyDescent="0.3">
      <c r="A2534" s="1">
        <v>23358</v>
      </c>
      <c r="B2534" t="s">
        <v>3614</v>
      </c>
      <c r="C2534" s="1">
        <v>3.75</v>
      </c>
      <c r="D2534" s="1">
        <v>134</v>
      </c>
      <c r="E2534" s="1">
        <v>118.8</v>
      </c>
      <c r="F2534" s="1">
        <v>5</v>
      </c>
      <c r="G2534" s="1">
        <v>2008.38</v>
      </c>
      <c r="H2534" s="1" t="s">
        <v>10</v>
      </c>
      <c r="I2534" t="str">
        <f t="shared" si="39"/>
        <v>HOT STUFF HOT WATER BOTTLE [23358]</v>
      </c>
    </row>
    <row r="2535" spans="1:9" x14ac:dyDescent="0.3">
      <c r="A2535" s="1">
        <v>23359</v>
      </c>
      <c r="B2535" t="s">
        <v>3613</v>
      </c>
      <c r="C2535" s="1">
        <v>1.95</v>
      </c>
      <c r="D2535" s="1">
        <v>110</v>
      </c>
      <c r="E2535" s="1">
        <v>123.75</v>
      </c>
      <c r="F2535" s="1">
        <v>5</v>
      </c>
      <c r="G2535" s="1">
        <v>1866.46</v>
      </c>
      <c r="H2535" s="1" t="s">
        <v>10</v>
      </c>
      <c r="I2535" t="str">
        <f t="shared" si="39"/>
        <v>SET OF 12 T-LIGHTS VINTAGE DOILEY [23359]</v>
      </c>
    </row>
    <row r="2536" spans="1:9" x14ac:dyDescent="0.3">
      <c r="A2536" s="1">
        <v>23360</v>
      </c>
      <c r="B2536" t="s">
        <v>3612</v>
      </c>
      <c r="C2536" s="1">
        <v>1.95</v>
      </c>
      <c r="D2536" s="1">
        <v>156.5</v>
      </c>
      <c r="E2536" s="1">
        <v>147.75</v>
      </c>
      <c r="F2536" s="1">
        <v>5</v>
      </c>
      <c r="G2536" s="1">
        <v>2286.4</v>
      </c>
      <c r="H2536" s="1" t="s">
        <v>10</v>
      </c>
      <c r="I2536" t="str">
        <f t="shared" si="39"/>
        <v>SET 8 CANDLES VINTAGE DOILEY [23360]</v>
      </c>
    </row>
    <row r="2537" spans="1:9" x14ac:dyDescent="0.3">
      <c r="A2537" s="1">
        <v>23365</v>
      </c>
      <c r="B2537" t="s">
        <v>3611</v>
      </c>
      <c r="C2537" s="1">
        <v>0.68500000000000005</v>
      </c>
      <c r="D2537" s="1">
        <v>428.5</v>
      </c>
      <c r="E2537" s="1">
        <v>464.25</v>
      </c>
      <c r="F2537" s="1">
        <v>4</v>
      </c>
      <c r="G2537" s="1">
        <v>1463.08</v>
      </c>
      <c r="H2537" s="1" t="s">
        <v>10</v>
      </c>
      <c r="I2537" t="str">
        <f t="shared" si="39"/>
        <v>SET 12 COLOUR PENCILS LOVE LONDON [23365]</v>
      </c>
    </row>
    <row r="2538" spans="1:9" x14ac:dyDescent="0.3">
      <c r="A2538" s="1">
        <v>23366</v>
      </c>
      <c r="B2538" t="s">
        <v>3610</v>
      </c>
      <c r="C2538" s="1">
        <v>0.66</v>
      </c>
      <c r="D2538" s="1">
        <v>230</v>
      </c>
      <c r="E2538" s="2">
        <v>321.28571428571399</v>
      </c>
      <c r="F2538" s="1">
        <v>4</v>
      </c>
      <c r="G2538" s="1">
        <v>1667.95</v>
      </c>
      <c r="H2538" s="1" t="s">
        <v>10</v>
      </c>
      <c r="I2538" t="str">
        <f t="shared" si="39"/>
        <v>SET 12 COLOUR PENCILS DOILEY [23366]</v>
      </c>
    </row>
    <row r="2539" spans="1:9" x14ac:dyDescent="0.3">
      <c r="A2539" s="1">
        <v>23367</v>
      </c>
      <c r="B2539" t="s">
        <v>3609</v>
      </c>
      <c r="C2539" s="2">
        <v>0.70499999999999996</v>
      </c>
      <c r="D2539" s="1">
        <v>755.5</v>
      </c>
      <c r="E2539" s="1">
        <v>819.5</v>
      </c>
      <c r="F2539" s="1">
        <v>4</v>
      </c>
      <c r="G2539" s="1">
        <v>2491.1999999999998</v>
      </c>
      <c r="H2539" s="1" t="s">
        <v>10</v>
      </c>
      <c r="I2539" t="str">
        <f t="shared" si="39"/>
        <v>SET 12 COLOUR PENCILS SPACEBOY [23367]</v>
      </c>
    </row>
    <row r="2540" spans="1:9" x14ac:dyDescent="0.3">
      <c r="A2540" s="1">
        <v>23368</v>
      </c>
      <c r="B2540" t="s">
        <v>3608</v>
      </c>
      <c r="C2540" s="1">
        <v>0.7</v>
      </c>
      <c r="D2540" s="1">
        <v>569</v>
      </c>
      <c r="E2540" s="1">
        <v>594.75</v>
      </c>
      <c r="F2540" s="1">
        <v>4</v>
      </c>
      <c r="G2540" s="1">
        <v>1679.55</v>
      </c>
      <c r="H2540" s="1" t="s">
        <v>10</v>
      </c>
      <c r="I2540" t="str">
        <f t="shared" si="39"/>
        <v>SET 12 COLOUR PENCILS DOLLY GIRL [23368]</v>
      </c>
    </row>
    <row r="2541" spans="1:9" x14ac:dyDescent="0.3">
      <c r="A2541" s="1">
        <v>23369</v>
      </c>
      <c r="B2541" t="s">
        <v>3607</v>
      </c>
      <c r="C2541" s="1">
        <v>1.3049999999999999</v>
      </c>
      <c r="D2541" s="1">
        <v>260.5</v>
      </c>
      <c r="E2541" s="1">
        <v>276.25</v>
      </c>
      <c r="F2541" s="1">
        <v>4</v>
      </c>
      <c r="G2541" s="1">
        <v>1581.06</v>
      </c>
      <c r="H2541" s="1" t="s">
        <v>10</v>
      </c>
      <c r="I2541" t="str">
        <f t="shared" si="39"/>
        <v>SET 36 COLOUR PENCILS LOVE LONDON [23369]</v>
      </c>
    </row>
    <row r="2542" spans="1:9" x14ac:dyDescent="0.3">
      <c r="A2542" s="1">
        <v>23370</v>
      </c>
      <c r="B2542" t="s">
        <v>3606</v>
      </c>
      <c r="C2542" s="1">
        <v>1.25</v>
      </c>
      <c r="D2542" s="1">
        <v>109</v>
      </c>
      <c r="E2542" s="2">
        <v>221.42857142857099</v>
      </c>
      <c r="F2542" s="1">
        <v>4</v>
      </c>
      <c r="G2542" s="1">
        <v>2151.6</v>
      </c>
      <c r="H2542" s="1" t="s">
        <v>10</v>
      </c>
      <c r="I2542" t="str">
        <f t="shared" si="39"/>
        <v>SET 36 COLOUR PENCILS DOILEY [23370]</v>
      </c>
    </row>
    <row r="2543" spans="1:9" x14ac:dyDescent="0.3">
      <c r="A2543" s="1">
        <v>23371</v>
      </c>
      <c r="B2543" t="s">
        <v>3605</v>
      </c>
      <c r="C2543" s="2">
        <v>1.3599999999999901</v>
      </c>
      <c r="D2543" s="1">
        <v>388</v>
      </c>
      <c r="E2543" s="1">
        <v>426.25</v>
      </c>
      <c r="F2543" s="1">
        <v>4</v>
      </c>
      <c r="G2543" s="1">
        <v>2304.7800000000002</v>
      </c>
      <c r="H2543" s="1" t="s">
        <v>10</v>
      </c>
      <c r="I2543" t="str">
        <f t="shared" si="39"/>
        <v>SET 36 COLOUR PENCILS SPACEBOY [23371]</v>
      </c>
    </row>
    <row r="2544" spans="1:9" x14ac:dyDescent="0.3">
      <c r="A2544" s="1">
        <v>23372</v>
      </c>
      <c r="B2544" t="s">
        <v>3604</v>
      </c>
      <c r="C2544" s="1">
        <v>1.3</v>
      </c>
      <c r="D2544" s="1">
        <v>353.5</v>
      </c>
      <c r="E2544" s="1">
        <v>347.25</v>
      </c>
      <c r="F2544" s="1">
        <v>4</v>
      </c>
      <c r="G2544" s="1">
        <v>1750.29</v>
      </c>
      <c r="H2544" s="1" t="s">
        <v>10</v>
      </c>
      <c r="I2544" t="str">
        <f t="shared" si="39"/>
        <v>SET 36 COLOUR PENCILS DOLLY GIRL [23372]</v>
      </c>
    </row>
    <row r="2545" spans="1:9" x14ac:dyDescent="0.3">
      <c r="A2545" s="1">
        <v>23373</v>
      </c>
      <c r="B2545" t="s">
        <v>3603</v>
      </c>
      <c r="C2545" s="1">
        <v>0.82</v>
      </c>
      <c r="D2545" s="1">
        <v>295</v>
      </c>
      <c r="E2545" s="1">
        <v>321.60000000000002</v>
      </c>
      <c r="F2545" s="1">
        <v>5</v>
      </c>
      <c r="G2545" s="2">
        <v>1313.3899999999901</v>
      </c>
      <c r="H2545" s="1" t="s">
        <v>10</v>
      </c>
      <c r="I2545" t="str">
        <f t="shared" si="39"/>
        <v>VINTAGE CHRISTMAS PAPER GIFT BAG [23373]</v>
      </c>
    </row>
    <row r="2546" spans="1:9" x14ac:dyDescent="0.3">
      <c r="A2546" s="1">
        <v>23374</v>
      </c>
      <c r="B2546" t="s">
        <v>3602</v>
      </c>
      <c r="C2546" s="1">
        <v>0.8</v>
      </c>
      <c r="D2546" s="1">
        <v>463</v>
      </c>
      <c r="E2546" s="1">
        <v>491.2</v>
      </c>
      <c r="F2546" s="1">
        <v>5</v>
      </c>
      <c r="G2546" s="1">
        <v>1962.83</v>
      </c>
      <c r="H2546" s="1" t="s">
        <v>10</v>
      </c>
      <c r="I2546" t="str">
        <f t="shared" si="39"/>
        <v>RED SPOT PAPER GIFT BAG [23374]</v>
      </c>
    </row>
    <row r="2547" spans="1:9" x14ac:dyDescent="0.3">
      <c r="A2547" s="1">
        <v>23375</v>
      </c>
      <c r="B2547" t="s">
        <v>3601</v>
      </c>
      <c r="C2547" s="1">
        <v>0.84</v>
      </c>
      <c r="D2547" s="1">
        <v>266</v>
      </c>
      <c r="E2547" s="1">
        <v>268.39999999999998</v>
      </c>
      <c r="F2547" s="1">
        <v>5</v>
      </c>
      <c r="G2547" s="1">
        <v>1100.69</v>
      </c>
      <c r="H2547" s="1" t="s">
        <v>10</v>
      </c>
      <c r="I2547" t="str">
        <f t="shared" si="39"/>
        <v>50'S CHRISTMAS PAPER GIFT BAG [23375]</v>
      </c>
    </row>
    <row r="2548" spans="1:9" x14ac:dyDescent="0.3">
      <c r="A2548" s="1">
        <v>23376</v>
      </c>
      <c r="B2548" t="s">
        <v>3600</v>
      </c>
      <c r="C2548" s="2">
        <v>0.42</v>
      </c>
      <c r="D2548" s="1">
        <v>851</v>
      </c>
      <c r="E2548" s="1">
        <v>759.75</v>
      </c>
      <c r="F2548" s="1">
        <v>4</v>
      </c>
      <c r="G2548" s="1">
        <v>1384.91</v>
      </c>
      <c r="H2548" s="1" t="s">
        <v>10</v>
      </c>
      <c r="I2548" t="str">
        <f t="shared" si="39"/>
        <v>PACK OF 12 VINTAGE CHRISTMAS TISSUE [23376]</v>
      </c>
    </row>
    <row r="2549" spans="1:9" x14ac:dyDescent="0.3">
      <c r="A2549" s="1">
        <v>23377</v>
      </c>
      <c r="B2549" t="s">
        <v>3599</v>
      </c>
      <c r="C2549" s="2">
        <v>0.45499999999999902</v>
      </c>
      <c r="D2549" s="1">
        <v>367.5</v>
      </c>
      <c r="E2549" s="1">
        <v>337.75</v>
      </c>
      <c r="F2549" s="1">
        <v>4</v>
      </c>
      <c r="G2549" s="1">
        <v>592.45000000000005</v>
      </c>
      <c r="H2549" s="1" t="s">
        <v>10</v>
      </c>
      <c r="I2549" t="str">
        <f t="shared" si="39"/>
        <v>PACK OF 12 DOLLY GIRL TISSUES [23377]</v>
      </c>
    </row>
    <row r="2550" spans="1:9" x14ac:dyDescent="0.3">
      <c r="A2550" s="1">
        <v>23378</v>
      </c>
      <c r="B2550" t="s">
        <v>3598</v>
      </c>
      <c r="C2550" s="2">
        <v>0.42499999999999999</v>
      </c>
      <c r="D2550" s="1">
        <v>1123.5</v>
      </c>
      <c r="E2550" s="1">
        <v>999.25</v>
      </c>
      <c r="F2550" s="1">
        <v>4</v>
      </c>
      <c r="G2550" s="1">
        <v>1840.08</v>
      </c>
      <c r="H2550" s="1" t="s">
        <v>10</v>
      </c>
      <c r="I2550" t="str">
        <f t="shared" si="39"/>
        <v>PACK OF 12 50'S CHRISTMAS TISSUES [23378]</v>
      </c>
    </row>
    <row r="2551" spans="1:9" x14ac:dyDescent="0.3">
      <c r="A2551" s="1">
        <v>23379</v>
      </c>
      <c r="B2551" t="s">
        <v>3597</v>
      </c>
      <c r="C2551" s="2">
        <v>0.41499999999999998</v>
      </c>
      <c r="D2551" s="1">
        <v>224.5</v>
      </c>
      <c r="E2551" s="1">
        <v>305</v>
      </c>
      <c r="F2551" s="1">
        <v>4</v>
      </c>
      <c r="G2551" s="2">
        <v>465.35999999999899</v>
      </c>
      <c r="H2551" s="1" t="s">
        <v>10</v>
      </c>
      <c r="I2551" t="str">
        <f t="shared" si="39"/>
        <v>PACK OF 12 RED APPLE TISSUES [23379]</v>
      </c>
    </row>
    <row r="2552" spans="1:9" x14ac:dyDescent="0.3">
      <c r="A2552" s="1">
        <v>23380</v>
      </c>
      <c r="B2552" t="s">
        <v>3596</v>
      </c>
      <c r="C2552" s="1">
        <v>0.39500000000000002</v>
      </c>
      <c r="D2552" s="1">
        <v>324</v>
      </c>
      <c r="E2552" s="2">
        <v>390.666666666666</v>
      </c>
      <c r="F2552" s="1">
        <v>4</v>
      </c>
      <c r="G2552" s="1">
        <v>983.5</v>
      </c>
      <c r="H2552" s="1" t="s">
        <v>10</v>
      </c>
      <c r="I2552" t="str">
        <f t="shared" si="39"/>
        <v>PACK OF 12 DOILEY TISSUES [23380]</v>
      </c>
    </row>
    <row r="2553" spans="1:9" x14ac:dyDescent="0.3">
      <c r="A2553" s="1">
        <v>23381</v>
      </c>
      <c r="B2553" t="s">
        <v>3595</v>
      </c>
      <c r="C2553" s="1">
        <v>0.40500000000000003</v>
      </c>
      <c r="D2553" s="1">
        <v>236</v>
      </c>
      <c r="E2553" s="1">
        <v>374</v>
      </c>
      <c r="F2553" s="1">
        <v>4</v>
      </c>
      <c r="G2553" s="1">
        <v>562.88</v>
      </c>
      <c r="H2553" s="1" t="s">
        <v>10</v>
      </c>
      <c r="I2553" t="str">
        <f t="shared" si="39"/>
        <v>PACK OF 12 VINTAGE LEAF TISSUES [23381]</v>
      </c>
    </row>
    <row r="2554" spans="1:9" x14ac:dyDescent="0.3">
      <c r="A2554" s="1">
        <v>23382</v>
      </c>
      <c r="B2554" t="s">
        <v>3594</v>
      </c>
      <c r="C2554" s="1">
        <v>4.13</v>
      </c>
      <c r="D2554" s="1">
        <v>701</v>
      </c>
      <c r="E2554" s="1">
        <v>625</v>
      </c>
      <c r="F2554" s="1">
        <v>3</v>
      </c>
      <c r="G2554" s="1">
        <v>7356.18</v>
      </c>
      <c r="H2554" s="1" t="s">
        <v>10</v>
      </c>
      <c r="I2554" t="str">
        <f t="shared" si="39"/>
        <v>BOX OF 6 CHRISTMAS CAKE DECORATIONS [23382]</v>
      </c>
    </row>
    <row r="2555" spans="1:9" x14ac:dyDescent="0.3">
      <c r="A2555" s="1">
        <v>23388</v>
      </c>
      <c r="B2555" t="s">
        <v>3593</v>
      </c>
      <c r="C2555" s="1">
        <v>4.1500000000000004</v>
      </c>
      <c r="D2555" s="1">
        <v>175</v>
      </c>
      <c r="E2555" s="1">
        <v>164.2</v>
      </c>
      <c r="F2555" s="1">
        <v>4</v>
      </c>
      <c r="G2555" s="1">
        <v>3432.09</v>
      </c>
      <c r="H2555" s="1" t="s">
        <v>10</v>
      </c>
      <c r="I2555" t="str">
        <f t="shared" si="39"/>
        <v>WOODLAND MINI BACKPACK [23388]</v>
      </c>
    </row>
    <row r="2556" spans="1:9" x14ac:dyDescent="0.3">
      <c r="A2556" s="1">
        <v>23389</v>
      </c>
      <c r="B2556" t="s">
        <v>3592</v>
      </c>
      <c r="C2556" s="1">
        <v>4.1500000000000004</v>
      </c>
      <c r="D2556" s="1">
        <v>165</v>
      </c>
      <c r="E2556" s="2">
        <v>185.833333333333</v>
      </c>
      <c r="F2556" s="1">
        <v>4</v>
      </c>
      <c r="G2556" s="1">
        <v>4751.49</v>
      </c>
      <c r="H2556" s="1" t="s">
        <v>10</v>
      </c>
      <c r="I2556" t="str">
        <f t="shared" si="39"/>
        <v>SPACEBOY MINI BACKPACK [23389]</v>
      </c>
    </row>
    <row r="2557" spans="1:9" x14ac:dyDescent="0.3">
      <c r="A2557" s="1">
        <v>23390</v>
      </c>
      <c r="B2557" t="s">
        <v>3591</v>
      </c>
      <c r="C2557" s="1">
        <v>4.1100000000000003</v>
      </c>
      <c r="D2557" s="1">
        <v>96.5</v>
      </c>
      <c r="E2557" s="1">
        <v>124.5</v>
      </c>
      <c r="F2557" s="1">
        <v>4</v>
      </c>
      <c r="G2557" s="1">
        <v>3025.59</v>
      </c>
      <c r="H2557" s="1" t="s">
        <v>10</v>
      </c>
      <c r="I2557" t="str">
        <f t="shared" si="39"/>
        <v>DOLLY GIRL MINI BACKPACK [23390]</v>
      </c>
    </row>
    <row r="2558" spans="1:9" x14ac:dyDescent="0.3">
      <c r="A2558" s="1">
        <v>23391</v>
      </c>
      <c r="B2558" t="s">
        <v>3590</v>
      </c>
      <c r="C2558" s="1">
        <v>4.21</v>
      </c>
      <c r="D2558" s="1">
        <v>59</v>
      </c>
      <c r="E2558" s="1">
        <v>77.8</v>
      </c>
      <c r="F2558" s="1">
        <v>4</v>
      </c>
      <c r="G2558" s="2">
        <v>1628.1699999999901</v>
      </c>
      <c r="H2558" s="1" t="s">
        <v>9</v>
      </c>
      <c r="I2558" t="str">
        <f t="shared" si="39"/>
        <v>I LOVE LONDON MINI BACKPACK [23391]</v>
      </c>
    </row>
    <row r="2559" spans="1:9" x14ac:dyDescent="0.3">
      <c r="A2559" s="1">
        <v>23392</v>
      </c>
      <c r="B2559" t="s">
        <v>3589</v>
      </c>
      <c r="C2559" s="1">
        <v>2.29</v>
      </c>
      <c r="D2559" s="1">
        <v>194</v>
      </c>
      <c r="E2559" s="1">
        <v>165.5</v>
      </c>
      <c r="F2559" s="1">
        <v>4</v>
      </c>
      <c r="G2559" s="1">
        <v>1475.03</v>
      </c>
      <c r="H2559" s="1" t="s">
        <v>10</v>
      </c>
      <c r="I2559" t="str">
        <f t="shared" si="39"/>
        <v>SPACEBOY ROCKET LOLLY MAKERS [23392]</v>
      </c>
    </row>
    <row r="2560" spans="1:9" x14ac:dyDescent="0.3">
      <c r="A2560" s="1">
        <v>23393</v>
      </c>
      <c r="B2560" t="s">
        <v>3588</v>
      </c>
      <c r="C2560" s="1">
        <v>4.0350000000000001</v>
      </c>
      <c r="D2560" s="1">
        <v>234.5</v>
      </c>
      <c r="E2560" s="1">
        <v>200.25</v>
      </c>
      <c r="F2560" s="1">
        <v>4</v>
      </c>
      <c r="G2560" s="1">
        <v>3207.91</v>
      </c>
      <c r="H2560" s="1" t="s">
        <v>10</v>
      </c>
      <c r="I2560" t="str">
        <f t="shared" si="39"/>
        <v>HOME SWEET HOME CUSHION COVER [23393]</v>
      </c>
    </row>
    <row r="2561" spans="1:9" x14ac:dyDescent="0.3">
      <c r="A2561" s="1">
        <v>23394</v>
      </c>
      <c r="B2561" t="s">
        <v>3587</v>
      </c>
      <c r="C2561" s="1">
        <v>4.2649999999999997</v>
      </c>
      <c r="D2561" s="1">
        <v>117.5</v>
      </c>
      <c r="E2561" s="1">
        <v>108.75</v>
      </c>
      <c r="F2561" s="1">
        <v>4</v>
      </c>
      <c r="G2561" s="2">
        <v>1877.6499999999901</v>
      </c>
      <c r="H2561" s="1" t="s">
        <v>10</v>
      </c>
      <c r="I2561" t="str">
        <f t="shared" si="39"/>
        <v>POSTE FRANCE CUSHION COVER [23394]</v>
      </c>
    </row>
    <row r="2562" spans="1:9" x14ac:dyDescent="0.3">
      <c r="A2562" s="1">
        <v>23395</v>
      </c>
      <c r="B2562" t="s">
        <v>3586</v>
      </c>
      <c r="C2562" s="1">
        <v>4.38</v>
      </c>
      <c r="D2562" s="1">
        <v>228</v>
      </c>
      <c r="E2562" s="1">
        <v>187</v>
      </c>
      <c r="F2562" s="1">
        <v>4</v>
      </c>
      <c r="G2562" s="1">
        <v>3257.08</v>
      </c>
      <c r="H2562" s="1" t="s">
        <v>10</v>
      </c>
      <c r="I2562" t="str">
        <f t="shared" si="39"/>
        <v>BELLE JARDINIERE CUSHION COVER [23395]</v>
      </c>
    </row>
    <row r="2563" spans="1:9" x14ac:dyDescent="0.3">
      <c r="A2563" s="1">
        <v>23396</v>
      </c>
      <c r="B2563" t="s">
        <v>3585</v>
      </c>
      <c r="C2563" s="1">
        <v>4.1500000000000004</v>
      </c>
      <c r="D2563" s="1">
        <v>79</v>
      </c>
      <c r="E2563" s="2">
        <v>93.428571428571402</v>
      </c>
      <c r="F2563" s="1">
        <v>4</v>
      </c>
      <c r="G2563" s="2">
        <v>2750.5299999999902</v>
      </c>
      <c r="H2563" s="1" t="s">
        <v>10</v>
      </c>
      <c r="I2563" t="str">
        <f t="shared" ref="I2563:I2626" si="40">B2563&amp;" ["&amp;A2563&amp;"]"</f>
        <v>BUTTERFLY CUSHION COVER [23396]</v>
      </c>
    </row>
    <row r="2564" spans="1:9" x14ac:dyDescent="0.3">
      <c r="A2564" s="1">
        <v>23397</v>
      </c>
      <c r="B2564" t="s">
        <v>3584</v>
      </c>
      <c r="C2564" s="1">
        <v>10.365</v>
      </c>
      <c r="D2564" s="1">
        <v>150.5</v>
      </c>
      <c r="E2564" s="1">
        <v>122.25</v>
      </c>
      <c r="F2564" s="1">
        <v>4</v>
      </c>
      <c r="G2564" s="1">
        <v>5097.6499999999996</v>
      </c>
      <c r="H2564" s="1" t="s">
        <v>10</v>
      </c>
      <c r="I2564" t="str">
        <f t="shared" si="40"/>
        <v>FOOT STOOL HOME SWEET HOME [23397]</v>
      </c>
    </row>
    <row r="2565" spans="1:9" x14ac:dyDescent="0.3">
      <c r="A2565" s="1">
        <v>23398</v>
      </c>
      <c r="B2565" t="s">
        <v>3583</v>
      </c>
      <c r="C2565" s="1">
        <v>0.88</v>
      </c>
      <c r="D2565" s="1">
        <v>141.5</v>
      </c>
      <c r="E2565" s="1">
        <v>151.5</v>
      </c>
      <c r="F2565" s="1">
        <v>4</v>
      </c>
      <c r="G2565" s="1">
        <v>535.35</v>
      </c>
      <c r="H2565" s="1" t="s">
        <v>10</v>
      </c>
      <c r="I2565" t="str">
        <f t="shared" si="40"/>
        <v>HANGING HEART BONHEUR [23398]</v>
      </c>
    </row>
    <row r="2566" spans="1:9" x14ac:dyDescent="0.3">
      <c r="A2566" s="1">
        <v>23399</v>
      </c>
      <c r="B2566" t="s">
        <v>3582</v>
      </c>
      <c r="C2566" s="1">
        <v>0.91500000000000004</v>
      </c>
      <c r="D2566" s="1">
        <v>497.5</v>
      </c>
      <c r="E2566" s="1">
        <v>478.5</v>
      </c>
      <c r="F2566" s="1">
        <v>4</v>
      </c>
      <c r="G2566" s="1">
        <v>1745.55</v>
      </c>
      <c r="H2566" s="1" t="s">
        <v>10</v>
      </c>
      <c r="I2566" t="str">
        <f t="shared" si="40"/>
        <v>HOME SWEET HOME HANGING HEART [23399]</v>
      </c>
    </row>
    <row r="2567" spans="1:9" x14ac:dyDescent="0.3">
      <c r="A2567" s="1">
        <v>23400</v>
      </c>
      <c r="B2567" t="s">
        <v>3581</v>
      </c>
      <c r="C2567" s="1">
        <v>6.2850000000000001</v>
      </c>
      <c r="D2567" s="1">
        <v>65</v>
      </c>
      <c r="E2567" s="1">
        <v>115.25</v>
      </c>
      <c r="F2567" s="1">
        <v>4</v>
      </c>
      <c r="G2567" s="1">
        <v>2409.34</v>
      </c>
      <c r="H2567" s="1" t="s">
        <v>10</v>
      </c>
      <c r="I2567" t="str">
        <f t="shared" si="40"/>
        <v>SHELF WITH 4 HOOKS HOME SWEET HOME [23400]</v>
      </c>
    </row>
    <row r="2568" spans="1:9" x14ac:dyDescent="0.3">
      <c r="A2568" s="1">
        <v>23401</v>
      </c>
      <c r="B2568" t="s">
        <v>3580</v>
      </c>
      <c r="C2568" s="1">
        <v>5.625</v>
      </c>
      <c r="D2568" s="1">
        <v>112</v>
      </c>
      <c r="E2568" s="1">
        <v>114.75</v>
      </c>
      <c r="F2568" s="1">
        <v>4</v>
      </c>
      <c r="G2568" s="1">
        <v>2354.87</v>
      </c>
      <c r="H2568" s="1" t="s">
        <v>10</v>
      </c>
      <c r="I2568" t="str">
        <f t="shared" si="40"/>
        <v>RUSTIC MIRROR WITH LACE HEART [23401]</v>
      </c>
    </row>
    <row r="2569" spans="1:9" x14ac:dyDescent="0.3">
      <c r="A2569" s="1">
        <v>23402</v>
      </c>
      <c r="B2569" t="s">
        <v>3579</v>
      </c>
      <c r="C2569" s="1">
        <v>3.83</v>
      </c>
      <c r="D2569" s="1">
        <v>52</v>
      </c>
      <c r="E2569" s="1">
        <v>59.2</v>
      </c>
      <c r="F2569" s="1">
        <v>4</v>
      </c>
      <c r="G2569" s="1">
        <v>1147.28</v>
      </c>
      <c r="H2569" s="1" t="s">
        <v>9</v>
      </c>
      <c r="I2569" t="str">
        <f t="shared" si="40"/>
        <v>HOME SWEEET HOME 3 PEG HANGER [23402]</v>
      </c>
    </row>
    <row r="2570" spans="1:9" x14ac:dyDescent="0.3">
      <c r="A2570" s="1">
        <v>23403</v>
      </c>
      <c r="B2570" t="s">
        <v>3578</v>
      </c>
      <c r="C2570" s="1">
        <v>3.6850000000000001</v>
      </c>
      <c r="D2570" s="1">
        <v>169.5</v>
      </c>
      <c r="E2570" s="1">
        <v>156.25</v>
      </c>
      <c r="F2570" s="1">
        <v>4</v>
      </c>
      <c r="G2570" s="1">
        <v>2204.11</v>
      </c>
      <c r="H2570" s="1" t="s">
        <v>10</v>
      </c>
      <c r="I2570" t="str">
        <f t="shared" si="40"/>
        <v>LETTER HOLDER HOME SWEET HOME [23403]</v>
      </c>
    </row>
    <row r="2571" spans="1:9" x14ac:dyDescent="0.3">
      <c r="A2571" s="1">
        <v>23404</v>
      </c>
      <c r="B2571" t="s">
        <v>3577</v>
      </c>
      <c r="C2571" s="1">
        <v>4.57</v>
      </c>
      <c r="D2571" s="1">
        <v>242.5</v>
      </c>
      <c r="E2571" s="1">
        <v>252.75</v>
      </c>
      <c r="F2571" s="1">
        <v>4</v>
      </c>
      <c r="G2571" s="1">
        <v>4561.76</v>
      </c>
      <c r="H2571" s="1" t="s">
        <v>10</v>
      </c>
      <c r="I2571" t="str">
        <f t="shared" si="40"/>
        <v>HOME SWEET HOME BLACKBOARD [23404]</v>
      </c>
    </row>
    <row r="2572" spans="1:9" x14ac:dyDescent="0.3">
      <c r="A2572" s="1">
        <v>23405</v>
      </c>
      <c r="B2572" t="s">
        <v>3576</v>
      </c>
      <c r="C2572" s="1">
        <v>5.3550000000000004</v>
      </c>
      <c r="D2572" s="1">
        <v>64.5</v>
      </c>
      <c r="E2572" s="1">
        <v>63</v>
      </c>
      <c r="F2572" s="1">
        <v>4</v>
      </c>
      <c r="G2572" s="1">
        <v>1311.48</v>
      </c>
      <c r="H2572" s="1" t="s">
        <v>10</v>
      </c>
      <c r="I2572" t="str">
        <f t="shared" si="40"/>
        <v>HOME SWEET HOME 2 DRAWER CABINET [23405]</v>
      </c>
    </row>
    <row r="2573" spans="1:9" x14ac:dyDescent="0.3">
      <c r="A2573" s="1">
        <v>23406</v>
      </c>
      <c r="B2573" t="s">
        <v>3575</v>
      </c>
      <c r="C2573" s="2">
        <v>5.89</v>
      </c>
      <c r="D2573" s="1">
        <v>122.5</v>
      </c>
      <c r="E2573" s="1">
        <v>114</v>
      </c>
      <c r="F2573" s="1">
        <v>4</v>
      </c>
      <c r="G2573" s="1">
        <v>2422.66</v>
      </c>
      <c r="H2573" s="1" t="s">
        <v>10</v>
      </c>
      <c r="I2573" t="str">
        <f t="shared" si="40"/>
        <v>HOME SWEET HOME KEY HOLDER [23406]</v>
      </c>
    </row>
    <row r="2574" spans="1:9" x14ac:dyDescent="0.3">
      <c r="A2574" s="1">
        <v>23407</v>
      </c>
      <c r="B2574" t="s">
        <v>3574</v>
      </c>
      <c r="C2574" s="1">
        <v>10.24</v>
      </c>
      <c r="D2574" s="1">
        <v>79</v>
      </c>
      <c r="E2574" s="1">
        <v>66.25</v>
      </c>
      <c r="F2574" s="1">
        <v>4</v>
      </c>
      <c r="G2574" s="1">
        <v>2709.43</v>
      </c>
      <c r="H2574" s="1" t="s">
        <v>10</v>
      </c>
      <c r="I2574" t="str">
        <f t="shared" si="40"/>
        <v>SET OF 2 TRAYS HOME SWEET HOME [23407]</v>
      </c>
    </row>
    <row r="2575" spans="1:9" x14ac:dyDescent="0.3">
      <c r="A2575" s="1">
        <v>23408</v>
      </c>
      <c r="B2575" t="s">
        <v>3573</v>
      </c>
      <c r="C2575" s="1">
        <v>2.08</v>
      </c>
      <c r="D2575" s="1">
        <v>79.5</v>
      </c>
      <c r="E2575" s="1">
        <v>77.5</v>
      </c>
      <c r="F2575" s="1">
        <v>4</v>
      </c>
      <c r="G2575" s="2">
        <v>644.79999999999995</v>
      </c>
      <c r="H2575" s="1" t="s">
        <v>10</v>
      </c>
      <c r="I2575" t="str">
        <f t="shared" si="40"/>
        <v>PHOTO FRAME LINEN AND LACE SMALL [23408]</v>
      </c>
    </row>
    <row r="2576" spans="1:9" x14ac:dyDescent="0.3">
      <c r="A2576" s="1">
        <v>23409</v>
      </c>
      <c r="B2576" t="s">
        <v>3572</v>
      </c>
      <c r="C2576" s="1">
        <v>3.73</v>
      </c>
      <c r="D2576" s="1">
        <v>59.5</v>
      </c>
      <c r="E2576" s="1">
        <v>53.75</v>
      </c>
      <c r="F2576" s="1">
        <v>4</v>
      </c>
      <c r="G2576" s="1">
        <v>801.68</v>
      </c>
      <c r="H2576" s="1" t="s">
        <v>9</v>
      </c>
      <c r="I2576" t="str">
        <f t="shared" si="40"/>
        <v>PHOTO FRAME LINEN AND LACE LARGE [23409]</v>
      </c>
    </row>
    <row r="2577" spans="1:9" x14ac:dyDescent="0.3">
      <c r="A2577" s="1">
        <v>23410</v>
      </c>
      <c r="B2577" t="s">
        <v>3571</v>
      </c>
      <c r="C2577" s="1">
        <v>8.07</v>
      </c>
      <c r="D2577" s="1">
        <v>14</v>
      </c>
      <c r="E2577" s="1">
        <v>12</v>
      </c>
      <c r="F2577" s="1">
        <v>3</v>
      </c>
      <c r="G2577" s="2">
        <v>290.099999999999</v>
      </c>
      <c r="H2577" s="1" t="s">
        <v>9</v>
      </c>
      <c r="I2577" t="str">
        <f t="shared" si="40"/>
        <v>CURIO CABINET LINEN AND LACE [23410]</v>
      </c>
    </row>
    <row r="2578" spans="1:9" x14ac:dyDescent="0.3">
      <c r="A2578" s="1">
        <v>23411</v>
      </c>
      <c r="B2578" t="s">
        <v>3570</v>
      </c>
      <c r="C2578" s="2">
        <v>4.9349999999999996</v>
      </c>
      <c r="D2578" s="1">
        <v>50</v>
      </c>
      <c r="E2578" s="1">
        <v>56.75</v>
      </c>
      <c r="F2578" s="1">
        <v>4</v>
      </c>
      <c r="G2578" s="2">
        <v>1118.6099999999999</v>
      </c>
      <c r="H2578" s="1" t="s">
        <v>9</v>
      </c>
      <c r="I2578" t="str">
        <f t="shared" si="40"/>
        <v>TRELLIS COAT RACK [23411]</v>
      </c>
    </row>
    <row r="2579" spans="1:9" x14ac:dyDescent="0.3">
      <c r="A2579" s="1">
        <v>23412</v>
      </c>
      <c r="B2579" t="s">
        <v>3569</v>
      </c>
      <c r="C2579" s="1">
        <v>6.51</v>
      </c>
      <c r="D2579" s="1">
        <v>179</v>
      </c>
      <c r="E2579" s="1">
        <v>179</v>
      </c>
      <c r="F2579" s="1">
        <v>2</v>
      </c>
      <c r="G2579" s="1">
        <v>2354.8000000000002</v>
      </c>
      <c r="H2579" s="1" t="s">
        <v>10</v>
      </c>
      <c r="I2579" t="str">
        <f t="shared" si="40"/>
        <v>HEART MIRROR ANTIQUE WHITE [23412]</v>
      </c>
    </row>
    <row r="2580" spans="1:9" x14ac:dyDescent="0.3">
      <c r="A2580" s="1">
        <v>23413</v>
      </c>
      <c r="B2580" t="s">
        <v>3568</v>
      </c>
      <c r="C2580" s="1">
        <v>5.16</v>
      </c>
      <c r="D2580" s="1">
        <v>25</v>
      </c>
      <c r="E2580" s="2">
        <v>28.8333333333333</v>
      </c>
      <c r="F2580" s="1">
        <v>4</v>
      </c>
      <c r="G2580" s="1">
        <v>909.31</v>
      </c>
      <c r="H2580" s="1" t="s">
        <v>9</v>
      </c>
      <c r="I2580" t="str">
        <f t="shared" si="40"/>
        <v>VINTAGE COFFEE GRINDER BOX [23413]</v>
      </c>
    </row>
    <row r="2581" spans="1:9" x14ac:dyDescent="0.3">
      <c r="A2581" s="1">
        <v>23414</v>
      </c>
      <c r="B2581" t="s">
        <v>3567</v>
      </c>
      <c r="C2581" s="1">
        <v>9.83</v>
      </c>
      <c r="D2581" s="1">
        <v>44</v>
      </c>
      <c r="E2581" s="1">
        <v>47</v>
      </c>
      <c r="F2581" s="1">
        <v>3</v>
      </c>
      <c r="G2581" s="1">
        <v>1378.75</v>
      </c>
      <c r="H2581" s="1" t="s">
        <v>9</v>
      </c>
      <c r="I2581" t="str">
        <f t="shared" si="40"/>
        <v>ZINC BOX SIGN HOME [23414]</v>
      </c>
    </row>
    <row r="2582" spans="1:9" x14ac:dyDescent="0.3">
      <c r="A2582" s="1">
        <v>23415</v>
      </c>
      <c r="B2582" t="s">
        <v>3566</v>
      </c>
      <c r="C2582" s="1">
        <v>1.67</v>
      </c>
      <c r="D2582" s="1">
        <v>76</v>
      </c>
      <c r="E2582" s="2">
        <v>74.3333333333333</v>
      </c>
      <c r="F2582" s="1">
        <v>3</v>
      </c>
      <c r="G2582" s="1">
        <v>371.23</v>
      </c>
      <c r="H2582" s="1" t="s">
        <v>10</v>
      </c>
      <c r="I2582" t="str">
        <f t="shared" si="40"/>
        <v>HOME SWEET HOME HOOK [23415]</v>
      </c>
    </row>
    <row r="2583" spans="1:9" x14ac:dyDescent="0.3">
      <c r="A2583" s="1">
        <v>23416</v>
      </c>
      <c r="B2583" t="s">
        <v>3565</v>
      </c>
      <c r="C2583" s="1">
        <v>1.7849999999999999</v>
      </c>
      <c r="D2583" s="1">
        <v>29.5</v>
      </c>
      <c r="E2583" s="1">
        <v>33</v>
      </c>
      <c r="F2583" s="1">
        <v>4</v>
      </c>
      <c r="G2583" s="1">
        <v>184.68</v>
      </c>
      <c r="H2583" s="1" t="s">
        <v>9</v>
      </c>
      <c r="I2583" t="str">
        <f t="shared" si="40"/>
        <v>CHAMBRE HOOK [23416]</v>
      </c>
    </row>
    <row r="2584" spans="1:9" x14ac:dyDescent="0.3">
      <c r="A2584" s="1">
        <v>23417</v>
      </c>
      <c r="B2584" t="s">
        <v>3564</v>
      </c>
      <c r="C2584" s="1">
        <v>1.75</v>
      </c>
      <c r="D2584" s="1">
        <v>19</v>
      </c>
      <c r="E2584" s="2">
        <v>23.6666666666666</v>
      </c>
      <c r="F2584" s="1">
        <v>3</v>
      </c>
      <c r="G2584" s="2">
        <v>125.35</v>
      </c>
      <c r="H2584" s="1" t="s">
        <v>9</v>
      </c>
      <c r="I2584" t="str">
        <f t="shared" si="40"/>
        <v>BATHROOM HOOK [23417]</v>
      </c>
    </row>
    <row r="2585" spans="1:9" x14ac:dyDescent="0.3">
      <c r="A2585" s="1">
        <v>23418</v>
      </c>
      <c r="B2585" t="s">
        <v>3563</v>
      </c>
      <c r="C2585" s="1">
        <v>2.13</v>
      </c>
      <c r="D2585" s="1">
        <v>131.5</v>
      </c>
      <c r="E2585" s="1">
        <v>139.25</v>
      </c>
      <c r="F2585" s="1">
        <v>4</v>
      </c>
      <c r="G2585" s="1">
        <v>1166</v>
      </c>
      <c r="H2585" s="1" t="s">
        <v>10</v>
      </c>
      <c r="I2585" t="str">
        <f t="shared" si="40"/>
        <v>LAVENDER TOILETTE BOTTLE [23418]</v>
      </c>
    </row>
    <row r="2586" spans="1:9" x14ac:dyDescent="0.3">
      <c r="A2586" s="1">
        <v>23419</v>
      </c>
      <c r="B2586" t="s">
        <v>3562</v>
      </c>
      <c r="C2586" s="1">
        <v>2.23</v>
      </c>
      <c r="D2586" s="1">
        <v>129.5</v>
      </c>
      <c r="E2586" s="1">
        <v>118.25</v>
      </c>
      <c r="F2586" s="1">
        <v>4</v>
      </c>
      <c r="G2586" s="1">
        <v>1043.72</v>
      </c>
      <c r="H2586" s="1" t="s">
        <v>10</v>
      </c>
      <c r="I2586" t="str">
        <f t="shared" si="40"/>
        <v>HOME SWEET HOME BOTTLE [23419]</v>
      </c>
    </row>
    <row r="2587" spans="1:9" x14ac:dyDescent="0.3">
      <c r="A2587" s="1">
        <v>23420</v>
      </c>
      <c r="B2587" t="s">
        <v>3561</v>
      </c>
      <c r="C2587" s="1">
        <v>2.08</v>
      </c>
      <c r="D2587" s="1">
        <v>41.5</v>
      </c>
      <c r="E2587" s="1">
        <v>41</v>
      </c>
      <c r="F2587" s="1">
        <v>4</v>
      </c>
      <c r="G2587" s="1">
        <v>351.37</v>
      </c>
      <c r="H2587" s="1" t="s">
        <v>9</v>
      </c>
      <c r="I2587" t="str">
        <f t="shared" si="40"/>
        <v>PANTRY HOOK TEA STRAINER [23420]</v>
      </c>
    </row>
    <row r="2588" spans="1:9" x14ac:dyDescent="0.3">
      <c r="A2588" s="1">
        <v>23421</v>
      </c>
      <c r="B2588" t="s">
        <v>3560</v>
      </c>
      <c r="C2588" s="1">
        <v>2.1150000000000002</v>
      </c>
      <c r="D2588" s="1">
        <v>49</v>
      </c>
      <c r="E2588" s="1">
        <v>40</v>
      </c>
      <c r="F2588" s="1">
        <v>4</v>
      </c>
      <c r="G2588" s="1">
        <v>349.2</v>
      </c>
      <c r="H2588" s="1" t="s">
        <v>9</v>
      </c>
      <c r="I2588" t="str">
        <f t="shared" si="40"/>
        <v>PANTRY HOOK SPATULA [23421]</v>
      </c>
    </row>
    <row r="2589" spans="1:9" x14ac:dyDescent="0.3">
      <c r="A2589" s="1">
        <v>23422</v>
      </c>
      <c r="B2589" t="s">
        <v>3559</v>
      </c>
      <c r="C2589" s="1">
        <v>2.3250000000000002</v>
      </c>
      <c r="D2589" s="1">
        <v>62.5</v>
      </c>
      <c r="E2589" s="1">
        <v>53.25</v>
      </c>
      <c r="F2589" s="1">
        <v>4</v>
      </c>
      <c r="G2589" s="1">
        <v>477.89</v>
      </c>
      <c r="H2589" s="1" t="s">
        <v>10</v>
      </c>
      <c r="I2589" t="str">
        <f t="shared" si="40"/>
        <v>PANTRY HOOK BALLOON WHISK [23422]</v>
      </c>
    </row>
    <row r="2590" spans="1:9" x14ac:dyDescent="0.3">
      <c r="A2590" s="1">
        <v>23423</v>
      </c>
      <c r="B2590" t="s">
        <v>3558</v>
      </c>
      <c r="C2590" s="1">
        <v>4.04</v>
      </c>
      <c r="D2590" s="1">
        <v>53.5</v>
      </c>
      <c r="E2590" s="1">
        <v>54.75</v>
      </c>
      <c r="F2590" s="1">
        <v>4</v>
      </c>
      <c r="G2590" s="1">
        <v>876.9</v>
      </c>
      <c r="H2590" s="1" t="s">
        <v>9</v>
      </c>
      <c r="I2590" t="str">
        <f t="shared" si="40"/>
        <v>PANTRY 3 HOOK ROLLING PIN HANGER [23423]</v>
      </c>
    </row>
    <row r="2591" spans="1:9" x14ac:dyDescent="0.3">
      <c r="A2591" s="1">
        <v>23424</v>
      </c>
      <c r="B2591" t="s">
        <v>3557</v>
      </c>
      <c r="C2591" s="1">
        <v>5.7450000000000001</v>
      </c>
      <c r="D2591" s="1">
        <v>135</v>
      </c>
      <c r="E2591" s="1">
        <v>115.5</v>
      </c>
      <c r="F2591" s="1">
        <v>4</v>
      </c>
      <c r="G2591" s="1">
        <v>2509.62</v>
      </c>
      <c r="H2591" s="1" t="s">
        <v>10</v>
      </c>
      <c r="I2591" t="str">
        <f t="shared" si="40"/>
        <v>GINGHAM RECIPE BOOK BOX [23424]</v>
      </c>
    </row>
    <row r="2592" spans="1:9" x14ac:dyDescent="0.3">
      <c r="A2592" s="1">
        <v>23425</v>
      </c>
      <c r="B2592" t="s">
        <v>3556</v>
      </c>
      <c r="C2592" s="1">
        <v>2.67</v>
      </c>
      <c r="D2592" s="1">
        <v>63</v>
      </c>
      <c r="E2592" s="1">
        <v>68.75</v>
      </c>
      <c r="F2592" s="1">
        <v>4</v>
      </c>
      <c r="G2592" s="1">
        <v>621.44000000000005</v>
      </c>
      <c r="H2592" s="1" t="s">
        <v>10</v>
      </c>
      <c r="I2592" t="str">
        <f t="shared" si="40"/>
        <v>STORAGE TIN HOME SWEET HOME [23425]</v>
      </c>
    </row>
    <row r="2593" spans="1:9" x14ac:dyDescent="0.3">
      <c r="A2593" s="1">
        <v>23426</v>
      </c>
      <c r="B2593" t="s">
        <v>3555</v>
      </c>
      <c r="C2593" s="1">
        <v>2.7149999999999999</v>
      </c>
      <c r="D2593" s="1">
        <v>386.5</v>
      </c>
      <c r="E2593" s="1">
        <v>318.75</v>
      </c>
      <c r="F2593" s="1">
        <v>4</v>
      </c>
      <c r="G2593" s="1">
        <v>3444.43</v>
      </c>
      <c r="H2593" s="1" t="s">
        <v>10</v>
      </c>
      <c r="I2593" t="str">
        <f t="shared" si="40"/>
        <v>METAL SIGN DROP YOUR PANTS [23426]</v>
      </c>
    </row>
    <row r="2594" spans="1:9" x14ac:dyDescent="0.3">
      <c r="A2594" s="1">
        <v>23427</v>
      </c>
      <c r="B2594" t="s">
        <v>3554</v>
      </c>
      <c r="C2594" s="1">
        <v>12.39</v>
      </c>
      <c r="D2594" s="1">
        <v>54.5</v>
      </c>
      <c r="E2594" s="1">
        <v>59.25</v>
      </c>
      <c r="F2594" s="1">
        <v>4</v>
      </c>
      <c r="G2594" s="1">
        <v>2860.58</v>
      </c>
      <c r="H2594" s="1" t="s">
        <v>9</v>
      </c>
      <c r="I2594" t="str">
        <f t="shared" si="40"/>
        <v>STOOL HOME SWEET HOME [23427]</v>
      </c>
    </row>
    <row r="2595" spans="1:9" x14ac:dyDescent="0.3">
      <c r="A2595" s="1">
        <v>23428</v>
      </c>
      <c r="B2595" t="s">
        <v>3553</v>
      </c>
      <c r="C2595" s="1">
        <v>8.8249999999999993</v>
      </c>
      <c r="D2595" s="1">
        <v>38.5</v>
      </c>
      <c r="E2595" s="1">
        <v>38.5</v>
      </c>
      <c r="F2595" s="1">
        <v>2</v>
      </c>
      <c r="G2595" s="1">
        <v>675.91</v>
      </c>
      <c r="H2595" s="1" t="s">
        <v>9</v>
      </c>
      <c r="I2595" t="str">
        <f t="shared" si="40"/>
        <v>IVORY RETRO KITCHEN WALL CLOCK [23428]</v>
      </c>
    </row>
    <row r="2596" spans="1:9" x14ac:dyDescent="0.3">
      <c r="A2596" s="1">
        <v>23429</v>
      </c>
      <c r="B2596" t="s">
        <v>3552</v>
      </c>
      <c r="C2596" s="1">
        <v>8.4250000000000007</v>
      </c>
      <c r="D2596" s="1">
        <v>23.5</v>
      </c>
      <c r="E2596" s="1">
        <v>23.5</v>
      </c>
      <c r="F2596" s="1">
        <v>2</v>
      </c>
      <c r="G2596" s="1">
        <v>400.01</v>
      </c>
      <c r="H2596" s="1" t="s">
        <v>9</v>
      </c>
      <c r="I2596" t="str">
        <f t="shared" si="40"/>
        <v>RED RETRO KITCHEN WALL CLOCK [23429]</v>
      </c>
    </row>
    <row r="2597" spans="1:9" x14ac:dyDescent="0.3">
      <c r="A2597" s="1">
        <v>23430</v>
      </c>
      <c r="B2597" t="s">
        <v>3551</v>
      </c>
      <c r="C2597" s="1">
        <v>8.4350000000000005</v>
      </c>
      <c r="D2597" s="1">
        <v>18</v>
      </c>
      <c r="E2597" s="1">
        <v>18</v>
      </c>
      <c r="F2597" s="1">
        <v>2</v>
      </c>
      <c r="G2597" s="1">
        <v>301.88</v>
      </c>
      <c r="H2597" s="1" t="s">
        <v>9</v>
      </c>
      <c r="I2597" t="str">
        <f t="shared" si="40"/>
        <v>BLUE RETRO KITCHEN WALL CLOCK [23430]</v>
      </c>
    </row>
    <row r="2598" spans="1:9" x14ac:dyDescent="0.3">
      <c r="A2598" s="1">
        <v>23431</v>
      </c>
      <c r="B2598" t="s">
        <v>3550</v>
      </c>
      <c r="C2598" s="1">
        <v>0.83</v>
      </c>
      <c r="D2598" s="1">
        <v>235</v>
      </c>
      <c r="E2598" s="1">
        <v>289.8</v>
      </c>
      <c r="F2598" s="1">
        <v>5</v>
      </c>
      <c r="G2598" s="1">
        <v>1171.23</v>
      </c>
      <c r="H2598" s="1" t="s">
        <v>10</v>
      </c>
      <c r="I2598" t="str">
        <f t="shared" si="40"/>
        <v>NATURAL HANGING QUILTED HEARTS [23431]</v>
      </c>
    </row>
    <row r="2599" spans="1:9" x14ac:dyDescent="0.3">
      <c r="A2599" s="1">
        <v>23432</v>
      </c>
      <c r="B2599" t="s">
        <v>3549</v>
      </c>
      <c r="C2599" s="1">
        <v>0.84</v>
      </c>
      <c r="D2599" s="1">
        <v>132</v>
      </c>
      <c r="E2599" s="1">
        <v>255.2</v>
      </c>
      <c r="F2599" s="1">
        <v>5</v>
      </c>
      <c r="G2599" s="1">
        <v>1088.3599999999999</v>
      </c>
      <c r="H2599" s="1" t="s">
        <v>10</v>
      </c>
      <c r="I2599" t="str">
        <f t="shared" si="40"/>
        <v>PRETTY HANGING QUILTED HEARTS [23432]</v>
      </c>
    </row>
    <row r="2600" spans="1:9" x14ac:dyDescent="0.3">
      <c r="A2600" s="1">
        <v>23433</v>
      </c>
      <c r="B2600" t="s">
        <v>3548</v>
      </c>
      <c r="C2600" s="1">
        <v>0.83</v>
      </c>
      <c r="D2600" s="1">
        <v>240</v>
      </c>
      <c r="E2600" s="1">
        <v>251.6</v>
      </c>
      <c r="F2600" s="1">
        <v>5</v>
      </c>
      <c r="G2600" s="1">
        <v>1108.58</v>
      </c>
      <c r="H2600" s="1" t="s">
        <v>10</v>
      </c>
      <c r="I2600" t="str">
        <f t="shared" si="40"/>
        <v>HANGING QUILTED PATCHWORK APPLES [23433]</v>
      </c>
    </row>
    <row r="2601" spans="1:9" x14ac:dyDescent="0.3">
      <c r="A2601" s="1">
        <v>23434</v>
      </c>
      <c r="B2601" t="s">
        <v>3547</v>
      </c>
      <c r="C2601" s="1">
        <v>0.88500000000000001</v>
      </c>
      <c r="D2601" s="1">
        <v>532</v>
      </c>
      <c r="E2601" s="1">
        <v>523.75</v>
      </c>
      <c r="F2601" s="1">
        <v>4</v>
      </c>
      <c r="G2601" s="1">
        <v>1884.17</v>
      </c>
      <c r="H2601" s="1" t="s">
        <v>10</v>
      </c>
      <c r="I2601" t="str">
        <f t="shared" si="40"/>
        <v>3 RAFFIA RIBBONS 50'S CHRISTMAS [23434]</v>
      </c>
    </row>
    <row r="2602" spans="1:9" x14ac:dyDescent="0.3">
      <c r="A2602" s="1">
        <v>23435</v>
      </c>
      <c r="B2602" t="s">
        <v>3546</v>
      </c>
      <c r="C2602" s="1">
        <v>0.86499999999999999</v>
      </c>
      <c r="D2602" s="1">
        <v>200.5</v>
      </c>
      <c r="E2602" s="1">
        <v>206</v>
      </c>
      <c r="F2602" s="1">
        <v>4</v>
      </c>
      <c r="G2602" s="1">
        <v>732.42</v>
      </c>
      <c r="H2602" s="1" t="s">
        <v>10</v>
      </c>
      <c r="I2602" t="str">
        <f t="shared" si="40"/>
        <v>3 RAFFIA RIBBONS VINTAGE CHRISTMAS [23435]</v>
      </c>
    </row>
    <row r="2603" spans="1:9" x14ac:dyDescent="0.3">
      <c r="A2603" s="1">
        <v>23436</v>
      </c>
      <c r="B2603" t="s">
        <v>3545</v>
      </c>
      <c r="C2603" s="1">
        <v>1.25</v>
      </c>
      <c r="D2603" s="1">
        <v>122</v>
      </c>
      <c r="E2603" s="1">
        <v>247.375</v>
      </c>
      <c r="F2603" s="1">
        <v>5</v>
      </c>
      <c r="G2603" s="1">
        <v>2367.39</v>
      </c>
      <c r="H2603" s="1" t="s">
        <v>10</v>
      </c>
      <c r="I2603" t="str">
        <f t="shared" si="40"/>
        <v>GIFT BAG LARGE VINTAGE CHRISTMAS [23436]</v>
      </c>
    </row>
    <row r="2604" spans="1:9" x14ac:dyDescent="0.3">
      <c r="A2604" s="1">
        <v>23437</v>
      </c>
      <c r="B2604" t="s">
        <v>3544</v>
      </c>
      <c r="C2604" s="1">
        <v>1.26</v>
      </c>
      <c r="D2604" s="1">
        <v>63</v>
      </c>
      <c r="E2604" s="1">
        <v>277</v>
      </c>
      <c r="F2604" s="1">
        <v>5</v>
      </c>
      <c r="G2604" s="1">
        <v>2373.63</v>
      </c>
      <c r="H2604" s="1" t="s">
        <v>10</v>
      </c>
      <c r="I2604" t="str">
        <f t="shared" si="40"/>
        <v>50'S CHRISTMAS GIFT BAG LARGE [23437]</v>
      </c>
    </row>
    <row r="2605" spans="1:9" x14ac:dyDescent="0.3">
      <c r="A2605" s="1">
        <v>23438</v>
      </c>
      <c r="B2605" t="s">
        <v>3543</v>
      </c>
      <c r="C2605" s="1">
        <v>1.2549999999999999</v>
      </c>
      <c r="D2605" s="1">
        <v>77</v>
      </c>
      <c r="E2605" s="1">
        <v>226.125</v>
      </c>
      <c r="F2605" s="1">
        <v>5</v>
      </c>
      <c r="G2605" s="1">
        <v>2209.92</v>
      </c>
      <c r="H2605" s="1" t="s">
        <v>10</v>
      </c>
      <c r="I2605" t="str">
        <f t="shared" si="40"/>
        <v>RED SPOT GIFT BAG LARGE [23438]</v>
      </c>
    </row>
    <row r="2606" spans="1:9" x14ac:dyDescent="0.3">
      <c r="A2606" s="1">
        <v>23439</v>
      </c>
      <c r="B2606" t="s">
        <v>3542</v>
      </c>
      <c r="C2606" s="1">
        <v>2.1</v>
      </c>
      <c r="D2606" s="1">
        <v>849</v>
      </c>
      <c r="E2606" s="1">
        <v>797.2</v>
      </c>
      <c r="F2606" s="1">
        <v>5</v>
      </c>
      <c r="G2606" s="1">
        <v>8855.51</v>
      </c>
      <c r="H2606" s="1" t="s">
        <v>10</v>
      </c>
      <c r="I2606" t="str">
        <f t="shared" si="40"/>
        <v>HAND WARMER RED LOVE HEART [23439]</v>
      </c>
    </row>
    <row r="2607" spans="1:9" x14ac:dyDescent="0.3">
      <c r="A2607" s="1">
        <v>23440</v>
      </c>
      <c r="B2607" t="s">
        <v>3541</v>
      </c>
      <c r="C2607" s="1">
        <v>1.9350000000000001</v>
      </c>
      <c r="D2607" s="1">
        <v>82</v>
      </c>
      <c r="E2607" s="1">
        <v>82</v>
      </c>
      <c r="F2607" s="1">
        <v>2</v>
      </c>
      <c r="G2607" s="2">
        <v>299.35999999999899</v>
      </c>
      <c r="H2607" s="1" t="s">
        <v>10</v>
      </c>
      <c r="I2607" t="str">
        <f t="shared" si="40"/>
        <v>PAINT YOUR OWN EGGS IN CRATE [23440]</v>
      </c>
    </row>
    <row r="2608" spans="1:9" x14ac:dyDescent="0.3">
      <c r="A2608" s="1">
        <v>23441</v>
      </c>
      <c r="B2608" t="s">
        <v>3540</v>
      </c>
      <c r="C2608" s="1">
        <v>0.42</v>
      </c>
      <c r="D2608" s="1">
        <v>11</v>
      </c>
      <c r="E2608" s="1">
        <v>11</v>
      </c>
      <c r="F2608" s="1">
        <v>2</v>
      </c>
      <c r="G2608" s="1">
        <v>9.24</v>
      </c>
      <c r="H2608" s="1" t="s">
        <v>9</v>
      </c>
      <c r="I2608" t="str">
        <f t="shared" si="40"/>
        <v>HAND PAINTED HANGING EASTER EGG [23441]</v>
      </c>
    </row>
    <row r="2609" spans="1:9" x14ac:dyDescent="0.3">
      <c r="A2609" s="1">
        <v>23442</v>
      </c>
      <c r="B2609" t="s">
        <v>3539</v>
      </c>
      <c r="C2609" s="1">
        <v>2.08</v>
      </c>
      <c r="D2609" s="1">
        <v>20</v>
      </c>
      <c r="E2609" s="1">
        <v>20</v>
      </c>
      <c r="F2609" s="1">
        <v>2</v>
      </c>
      <c r="G2609" s="1">
        <v>83.2</v>
      </c>
      <c r="H2609" s="1" t="s">
        <v>9</v>
      </c>
      <c r="I2609" t="str">
        <f t="shared" si="40"/>
        <v>12 HANGING EGGS HAND PAINTED [23442]</v>
      </c>
    </row>
    <row r="2610" spans="1:9" x14ac:dyDescent="0.3">
      <c r="A2610" s="1">
        <v>23444</v>
      </c>
      <c r="B2610" t="s">
        <v>3538</v>
      </c>
      <c r="C2610" s="1">
        <v>15</v>
      </c>
      <c r="D2610" s="1">
        <v>9</v>
      </c>
      <c r="E2610" s="1">
        <v>9.875</v>
      </c>
      <c r="F2610" s="1">
        <v>8</v>
      </c>
      <c r="G2610" s="1">
        <v>1200</v>
      </c>
      <c r="H2610" s="1" t="s">
        <v>8</v>
      </c>
      <c r="I2610" t="str">
        <f t="shared" si="40"/>
        <v>Next Day Carriage [23444]</v>
      </c>
    </row>
    <row r="2611" spans="1:9" x14ac:dyDescent="0.3">
      <c r="A2611" s="1">
        <v>23445</v>
      </c>
      <c r="B2611" t="s">
        <v>3537</v>
      </c>
      <c r="C2611" s="1">
        <v>0.83</v>
      </c>
      <c r="D2611" s="1">
        <v>482</v>
      </c>
      <c r="E2611" s="1">
        <v>533.6</v>
      </c>
      <c r="F2611" s="1">
        <v>5</v>
      </c>
      <c r="G2611" s="1">
        <v>2161.2399999999998</v>
      </c>
      <c r="H2611" s="1" t="s">
        <v>10</v>
      </c>
      <c r="I2611" t="str">
        <f t="shared" si="40"/>
        <v>ICE CREAM BUBBLES [23445]</v>
      </c>
    </row>
    <row r="2612" spans="1:9" x14ac:dyDescent="0.3">
      <c r="A2612" s="1">
        <v>23446</v>
      </c>
      <c r="B2612" t="s">
        <v>3536</v>
      </c>
      <c r="C2612" s="2">
        <v>1.5499999999999901</v>
      </c>
      <c r="D2612" s="1">
        <v>78.5</v>
      </c>
      <c r="E2612" s="1">
        <v>78.5</v>
      </c>
      <c r="F2612" s="1">
        <v>2</v>
      </c>
      <c r="G2612" s="1">
        <v>230.25</v>
      </c>
      <c r="H2612" s="1" t="s">
        <v>10</v>
      </c>
      <c r="I2612" t="str">
        <f t="shared" si="40"/>
        <v>BLUE BUNNY EASTER EGG BASKET [23446]</v>
      </c>
    </row>
    <row r="2613" spans="1:9" x14ac:dyDescent="0.3">
      <c r="A2613" s="1">
        <v>23447</v>
      </c>
      <c r="B2613" t="s">
        <v>3535</v>
      </c>
      <c r="C2613" s="2">
        <v>1.5499999999999901</v>
      </c>
      <c r="D2613" s="1">
        <v>79</v>
      </c>
      <c r="E2613" s="1">
        <v>79</v>
      </c>
      <c r="F2613" s="1">
        <v>2</v>
      </c>
      <c r="G2613" s="1">
        <v>231.9</v>
      </c>
      <c r="H2613" s="1" t="s">
        <v>10</v>
      </c>
      <c r="I2613" t="str">
        <f t="shared" si="40"/>
        <v>PINK BUNNY EASTER EGG BASKET [23447]</v>
      </c>
    </row>
    <row r="2614" spans="1:9" x14ac:dyDescent="0.3">
      <c r="A2614" s="1">
        <v>23448</v>
      </c>
      <c r="B2614" t="s">
        <v>3534</v>
      </c>
      <c r="C2614" s="1">
        <v>1.65</v>
      </c>
      <c r="D2614" s="1">
        <v>12.5</v>
      </c>
      <c r="E2614" s="1">
        <v>12.5</v>
      </c>
      <c r="F2614" s="1">
        <v>2</v>
      </c>
      <c r="G2614" s="1">
        <v>41.25</v>
      </c>
      <c r="H2614" s="1" t="s">
        <v>9</v>
      </c>
      <c r="I2614" t="str">
        <f t="shared" si="40"/>
        <v>CREAM BUNNY EASTER EGG BASKET [23448]</v>
      </c>
    </row>
    <row r="2615" spans="1:9" x14ac:dyDescent="0.3">
      <c r="A2615" s="1">
        <v>23449</v>
      </c>
      <c r="B2615" t="s">
        <v>3533</v>
      </c>
      <c r="C2615" s="1">
        <v>1.25</v>
      </c>
      <c r="D2615" s="1">
        <v>12</v>
      </c>
      <c r="E2615" s="1">
        <v>12</v>
      </c>
      <c r="F2615" s="1">
        <v>1</v>
      </c>
      <c r="G2615" s="1">
        <v>15</v>
      </c>
      <c r="H2615" s="1" t="s">
        <v>9</v>
      </c>
      <c r="I2615" t="str">
        <f t="shared" si="40"/>
        <v>SET OF 6 EASTER RAINBOW CHICKS [23449]</v>
      </c>
    </row>
    <row r="2616" spans="1:9" x14ac:dyDescent="0.3">
      <c r="A2616" s="1">
        <v>23451</v>
      </c>
      <c r="B2616" t="s">
        <v>3532</v>
      </c>
      <c r="C2616" s="1">
        <v>2</v>
      </c>
      <c r="D2616" s="1">
        <v>75</v>
      </c>
      <c r="E2616" s="2">
        <v>92.3333333333333</v>
      </c>
      <c r="F2616" s="1">
        <v>3</v>
      </c>
      <c r="G2616" s="1">
        <v>556.16999999999996</v>
      </c>
      <c r="H2616" s="1" t="s">
        <v>10</v>
      </c>
      <c r="I2616" t="str">
        <f t="shared" si="40"/>
        <v>SQUARE MINI PORTRAIT FRAME [23451]</v>
      </c>
    </row>
    <row r="2617" spans="1:9" x14ac:dyDescent="0.3">
      <c r="A2617" s="1">
        <v>23452</v>
      </c>
      <c r="B2617" t="s">
        <v>3531</v>
      </c>
      <c r="C2617" s="1">
        <v>1.96</v>
      </c>
      <c r="D2617" s="1">
        <v>173</v>
      </c>
      <c r="E2617" s="2">
        <v>172.666666666666</v>
      </c>
      <c r="F2617" s="1">
        <v>3</v>
      </c>
      <c r="G2617" s="1">
        <v>1021.76</v>
      </c>
      <c r="H2617" s="1" t="s">
        <v>10</v>
      </c>
      <c r="I2617" t="str">
        <f t="shared" si="40"/>
        <v>HEART MINI PORTRAIT FRAME [23452]</v>
      </c>
    </row>
    <row r="2618" spans="1:9" x14ac:dyDescent="0.3">
      <c r="A2618" s="1">
        <v>23453</v>
      </c>
      <c r="B2618" t="s">
        <v>3530</v>
      </c>
      <c r="C2618" s="1">
        <v>1.95</v>
      </c>
      <c r="D2618" s="1">
        <v>111</v>
      </c>
      <c r="E2618" s="2">
        <v>105.333333333333</v>
      </c>
      <c r="F2618" s="1">
        <v>3</v>
      </c>
      <c r="G2618" s="1">
        <v>615.98</v>
      </c>
      <c r="H2618" s="1" t="s">
        <v>10</v>
      </c>
      <c r="I2618" t="str">
        <f t="shared" si="40"/>
        <v>OVAL  MINI PORTRAIT FRAME [23453]</v>
      </c>
    </row>
    <row r="2619" spans="1:9" x14ac:dyDescent="0.3">
      <c r="A2619" s="1">
        <v>23454</v>
      </c>
      <c r="B2619" t="s">
        <v>3529</v>
      </c>
      <c r="C2619" s="1">
        <v>4.1500000000000004</v>
      </c>
      <c r="D2619" s="1">
        <v>24</v>
      </c>
      <c r="E2619" s="1">
        <v>34.799999999999997</v>
      </c>
      <c r="F2619" s="1">
        <v>3</v>
      </c>
      <c r="G2619" s="1">
        <v>733.2</v>
      </c>
      <c r="H2619" s="1" t="s">
        <v>9</v>
      </c>
      <c r="I2619" t="str">
        <f t="shared" si="40"/>
        <v>SET OF 3 MINI HANGING PORTRAITS [23454]</v>
      </c>
    </row>
    <row r="2620" spans="1:9" x14ac:dyDescent="0.3">
      <c r="A2620" s="1">
        <v>23455</v>
      </c>
      <c r="B2620" t="s">
        <v>3528</v>
      </c>
      <c r="C2620" s="2">
        <v>2.8149999999999999</v>
      </c>
      <c r="D2620" s="1">
        <v>46</v>
      </c>
      <c r="E2620" s="1">
        <v>51.75</v>
      </c>
      <c r="F2620" s="1">
        <v>3</v>
      </c>
      <c r="G2620" s="1">
        <v>569.42999999999995</v>
      </c>
      <c r="H2620" s="1" t="s">
        <v>9</v>
      </c>
      <c r="I2620" t="str">
        <f t="shared" si="40"/>
        <v>SMALL PARLOUR PICTURE FRAME [23455]</v>
      </c>
    </row>
    <row r="2621" spans="1:9" x14ac:dyDescent="0.3">
      <c r="A2621" s="1">
        <v>23456</v>
      </c>
      <c r="B2621" t="s">
        <v>3527</v>
      </c>
      <c r="C2621" s="1">
        <v>4.0549999999999997</v>
      </c>
      <c r="D2621" s="1">
        <v>37</v>
      </c>
      <c r="E2621" s="1">
        <v>39.5</v>
      </c>
      <c r="F2621" s="1">
        <v>3</v>
      </c>
      <c r="G2621" s="1">
        <v>634.1</v>
      </c>
      <c r="H2621" s="1" t="s">
        <v>9</v>
      </c>
      <c r="I2621" t="str">
        <f t="shared" si="40"/>
        <v>MEDIUM PARLOUR PICTURE FRAME [23456]</v>
      </c>
    </row>
    <row r="2622" spans="1:9" x14ac:dyDescent="0.3">
      <c r="A2622" s="1">
        <v>23457</v>
      </c>
      <c r="B2622" t="s">
        <v>3526</v>
      </c>
      <c r="C2622" s="1">
        <v>4.95</v>
      </c>
      <c r="D2622" s="1">
        <v>29.5</v>
      </c>
      <c r="E2622" s="1">
        <v>28</v>
      </c>
      <c r="F2622" s="1">
        <v>3</v>
      </c>
      <c r="G2622" s="1">
        <v>549.88</v>
      </c>
      <c r="H2622" s="1" t="s">
        <v>9</v>
      </c>
      <c r="I2622" t="str">
        <f t="shared" si="40"/>
        <v>LARGE PARLOUR PICTURE FRAME [23457]</v>
      </c>
    </row>
    <row r="2623" spans="1:9" x14ac:dyDescent="0.3">
      <c r="A2623" s="1">
        <v>23458</v>
      </c>
      <c r="B2623" t="s">
        <v>3525</v>
      </c>
      <c r="C2623" s="1">
        <v>14.95</v>
      </c>
      <c r="D2623" s="1">
        <v>12</v>
      </c>
      <c r="E2623" s="1">
        <v>17</v>
      </c>
      <c r="F2623" s="1">
        <v>3</v>
      </c>
      <c r="G2623" s="1">
        <v>762.45</v>
      </c>
      <c r="H2623" s="1" t="s">
        <v>9</v>
      </c>
      <c r="I2623" t="str">
        <f t="shared" si="40"/>
        <v>DOLLY CABINET 3 DRAWERS [23458]</v>
      </c>
    </row>
    <row r="2624" spans="1:9" x14ac:dyDescent="0.3">
      <c r="A2624" s="1">
        <v>23459</v>
      </c>
      <c r="B2624" t="s">
        <v>3524</v>
      </c>
      <c r="C2624" s="1">
        <v>12.5</v>
      </c>
      <c r="D2624" s="1">
        <v>14</v>
      </c>
      <c r="E2624" s="1">
        <v>11</v>
      </c>
      <c r="F2624" s="1">
        <v>3</v>
      </c>
      <c r="G2624" s="1">
        <v>412.5</v>
      </c>
      <c r="H2624" s="1" t="s">
        <v>9</v>
      </c>
      <c r="I2624" t="str">
        <f t="shared" si="40"/>
        <v>DOLLY CABINET 2 DRAWERS [23459]</v>
      </c>
    </row>
    <row r="2625" spans="1:9" x14ac:dyDescent="0.3">
      <c r="A2625" s="1">
        <v>23460</v>
      </c>
      <c r="B2625" t="s">
        <v>3523</v>
      </c>
      <c r="C2625" s="1">
        <v>9.9499999999999993</v>
      </c>
      <c r="D2625" s="1">
        <v>35</v>
      </c>
      <c r="E2625" s="1">
        <v>36</v>
      </c>
      <c r="F2625" s="1">
        <v>3</v>
      </c>
      <c r="G2625" s="1">
        <v>1007.08</v>
      </c>
      <c r="H2625" s="1" t="s">
        <v>9</v>
      </c>
      <c r="I2625" t="str">
        <f t="shared" si="40"/>
        <v>SWEETHEART WALL TIDY [23460]</v>
      </c>
    </row>
    <row r="2626" spans="1:9" x14ac:dyDescent="0.3">
      <c r="A2626" s="1">
        <v>23461</v>
      </c>
      <c r="B2626" t="s">
        <v>3522</v>
      </c>
      <c r="C2626" s="1">
        <v>4.2</v>
      </c>
      <c r="D2626" s="1">
        <v>100.5</v>
      </c>
      <c r="E2626" s="1">
        <v>211.75</v>
      </c>
      <c r="F2626" s="1">
        <v>4</v>
      </c>
      <c r="G2626" s="1">
        <v>3041.21</v>
      </c>
      <c r="H2626" s="1" t="s">
        <v>10</v>
      </c>
      <c r="I2626" t="str">
        <f t="shared" si="40"/>
        <v>SWEETHEART BIRD HOUSE [23461]</v>
      </c>
    </row>
    <row r="2627" spans="1:9" x14ac:dyDescent="0.3">
      <c r="A2627" s="1">
        <v>23462</v>
      </c>
      <c r="B2627" t="s">
        <v>3521</v>
      </c>
      <c r="C2627" s="1">
        <v>19.95</v>
      </c>
      <c r="D2627" s="1">
        <v>17</v>
      </c>
      <c r="E2627" s="1">
        <v>20</v>
      </c>
      <c r="F2627" s="1">
        <v>3</v>
      </c>
      <c r="G2627" s="1">
        <v>1607.04</v>
      </c>
      <c r="H2627" s="1" t="s">
        <v>9</v>
      </c>
      <c r="I2627" t="str">
        <f t="shared" ref="I2627:I2690" si="41">B2627&amp;" ["&amp;A2627&amp;"]"</f>
        <v>ROCOCO WALL MIROR [23462]</v>
      </c>
    </row>
    <row r="2628" spans="1:9" x14ac:dyDescent="0.3">
      <c r="A2628" s="1">
        <v>23463</v>
      </c>
      <c r="B2628" t="s">
        <v>3520</v>
      </c>
      <c r="C2628" s="1">
        <v>9.9499999999999993</v>
      </c>
      <c r="D2628" s="1">
        <v>3</v>
      </c>
      <c r="E2628" s="2">
        <v>4.3333333333333304</v>
      </c>
      <c r="F2628" s="1">
        <v>3</v>
      </c>
      <c r="G2628" s="1">
        <v>139.4</v>
      </c>
      <c r="H2628" s="1" t="s">
        <v>8</v>
      </c>
      <c r="I2628" t="str">
        <f t="shared" si="41"/>
        <v>VINTAGE ZINC WATERING CAN [23463]</v>
      </c>
    </row>
    <row r="2629" spans="1:9" x14ac:dyDescent="0.3">
      <c r="A2629" s="1">
        <v>23464</v>
      </c>
      <c r="B2629" t="s">
        <v>3519</v>
      </c>
      <c r="C2629" s="1">
        <v>5.37</v>
      </c>
      <c r="D2629" s="1">
        <v>5</v>
      </c>
      <c r="E2629" s="1">
        <v>6</v>
      </c>
      <c r="F2629" s="1">
        <v>3</v>
      </c>
      <c r="G2629" s="1">
        <v>99.2</v>
      </c>
      <c r="H2629" s="1" t="s">
        <v>8</v>
      </c>
      <c r="I2629" t="str">
        <f t="shared" si="41"/>
        <v>VINTAGE ZINC WATERING CAN SMALL [23464]</v>
      </c>
    </row>
    <row r="2630" spans="1:9" x14ac:dyDescent="0.3">
      <c r="A2630" s="1">
        <v>23465</v>
      </c>
      <c r="B2630" t="s">
        <v>3518</v>
      </c>
      <c r="C2630" s="1">
        <v>8.25</v>
      </c>
      <c r="D2630" s="1">
        <v>12</v>
      </c>
      <c r="E2630" s="2">
        <v>9.6666666666666607</v>
      </c>
      <c r="F2630" s="1">
        <v>3</v>
      </c>
      <c r="G2630" s="1">
        <v>247.63</v>
      </c>
      <c r="H2630" s="1" t="s">
        <v>9</v>
      </c>
      <c r="I2630" t="str">
        <f t="shared" si="41"/>
        <v>TUSCAN VILLA FEEDING STATION [23465]</v>
      </c>
    </row>
    <row r="2631" spans="1:9" x14ac:dyDescent="0.3">
      <c r="A2631" s="1">
        <v>23466</v>
      </c>
      <c r="B2631" t="s">
        <v>3517</v>
      </c>
      <c r="C2631" s="1">
        <v>8.93</v>
      </c>
      <c r="D2631" s="1">
        <v>10</v>
      </c>
      <c r="E2631" s="1">
        <v>11</v>
      </c>
      <c r="F2631" s="1">
        <v>4</v>
      </c>
      <c r="G2631" s="1">
        <v>498.03</v>
      </c>
      <c r="H2631" s="1" t="s">
        <v>9</v>
      </c>
      <c r="I2631" t="str">
        <f t="shared" si="41"/>
        <v>TUSCAN VILLA DOVECOTE [23466]</v>
      </c>
    </row>
    <row r="2632" spans="1:9" x14ac:dyDescent="0.3">
      <c r="A2632" s="1">
        <v>23467</v>
      </c>
      <c r="B2632" t="s">
        <v>3516</v>
      </c>
      <c r="C2632" s="1">
        <v>3.78</v>
      </c>
      <c r="D2632" s="1">
        <v>12</v>
      </c>
      <c r="E2632" s="2">
        <v>10.6666666666666</v>
      </c>
      <c r="F2632" s="1">
        <v>3</v>
      </c>
      <c r="G2632" s="1">
        <v>120.08</v>
      </c>
      <c r="H2632" s="1" t="s">
        <v>9</v>
      </c>
      <c r="I2632" t="str">
        <f t="shared" si="41"/>
        <v>VINTAGE ZINC PLANTER [23467]</v>
      </c>
    </row>
    <row r="2633" spans="1:9" x14ac:dyDescent="0.3">
      <c r="A2633" s="1">
        <v>23468</v>
      </c>
      <c r="B2633" t="s">
        <v>3515</v>
      </c>
      <c r="C2633" s="1">
        <v>8.25</v>
      </c>
      <c r="D2633" s="1">
        <v>9.5</v>
      </c>
      <c r="E2633" s="1">
        <v>9.5</v>
      </c>
      <c r="F2633" s="1">
        <v>2</v>
      </c>
      <c r="G2633" s="1">
        <v>156.75</v>
      </c>
      <c r="H2633" s="1" t="s">
        <v>8</v>
      </c>
      <c r="I2633" t="str">
        <f t="shared" si="41"/>
        <v>TUSCAN VILLA BIRD TABLE [23468]</v>
      </c>
    </row>
    <row r="2634" spans="1:9" x14ac:dyDescent="0.3">
      <c r="A2634" s="1">
        <v>23469</v>
      </c>
      <c r="B2634" t="s">
        <v>3514</v>
      </c>
      <c r="C2634" s="2">
        <v>4.2549999999999999</v>
      </c>
      <c r="D2634" s="1">
        <v>56.5</v>
      </c>
      <c r="E2634" s="1">
        <v>83</v>
      </c>
      <c r="F2634" s="1">
        <v>4</v>
      </c>
      <c r="G2634" s="1">
        <v>1355.24</v>
      </c>
      <c r="H2634" s="1" t="s">
        <v>9</v>
      </c>
      <c r="I2634" t="str">
        <f t="shared" si="41"/>
        <v>CARD HOLDER LOVE BIRD SMALL [23469]</v>
      </c>
    </row>
    <row r="2635" spans="1:9" x14ac:dyDescent="0.3">
      <c r="A2635" s="1">
        <v>23470</v>
      </c>
      <c r="B2635" t="s">
        <v>3513</v>
      </c>
      <c r="C2635" s="1">
        <v>6.9</v>
      </c>
      <c r="D2635" s="1">
        <v>77</v>
      </c>
      <c r="E2635" s="2">
        <v>77.3333333333333</v>
      </c>
      <c r="F2635" s="1">
        <v>3</v>
      </c>
      <c r="G2635" s="1">
        <v>1460.5</v>
      </c>
      <c r="H2635" s="1" t="s">
        <v>10</v>
      </c>
      <c r="I2635" t="str">
        <f t="shared" si="41"/>
        <v>CARD HOLDER LOVE BIRD LARGE [23470]</v>
      </c>
    </row>
    <row r="2636" spans="1:9" x14ac:dyDescent="0.3">
      <c r="A2636" s="1">
        <v>23471</v>
      </c>
      <c r="B2636" t="s">
        <v>3512</v>
      </c>
      <c r="C2636" s="2">
        <v>9.7549999999999901</v>
      </c>
      <c r="D2636" s="1">
        <v>10.5</v>
      </c>
      <c r="E2636" s="1">
        <v>16.25</v>
      </c>
      <c r="F2636" s="1">
        <v>4</v>
      </c>
      <c r="G2636" s="1">
        <v>616.79</v>
      </c>
      <c r="H2636" s="1" t="s">
        <v>9</v>
      </c>
      <c r="I2636" t="str">
        <f t="shared" si="41"/>
        <v>SIX DRAWER OFFICE TIDY [23471]</v>
      </c>
    </row>
    <row r="2637" spans="1:9" x14ac:dyDescent="0.3">
      <c r="A2637" s="1">
        <v>23472</v>
      </c>
      <c r="B2637" t="s">
        <v>3511</v>
      </c>
      <c r="C2637" s="1">
        <v>14.95</v>
      </c>
      <c r="D2637" s="1">
        <v>18</v>
      </c>
      <c r="E2637" s="2">
        <v>19.3333333333333</v>
      </c>
      <c r="F2637" s="1">
        <v>3</v>
      </c>
      <c r="G2637" s="1">
        <v>894.42</v>
      </c>
      <c r="H2637" s="1" t="s">
        <v>9</v>
      </c>
      <c r="I2637" t="str">
        <f t="shared" si="41"/>
        <v>NINE DRAWER OFFICE TIDY [23472]</v>
      </c>
    </row>
    <row r="2638" spans="1:9" x14ac:dyDescent="0.3">
      <c r="A2638" s="1">
        <v>23473</v>
      </c>
      <c r="B2638" t="s">
        <v>3510</v>
      </c>
      <c r="C2638" s="1">
        <v>0.83</v>
      </c>
      <c r="D2638" s="1">
        <v>259</v>
      </c>
      <c r="E2638" s="1">
        <v>226</v>
      </c>
      <c r="F2638" s="1">
        <v>3</v>
      </c>
      <c r="G2638" s="1">
        <v>552.02</v>
      </c>
      <c r="H2638" s="1" t="s">
        <v>10</v>
      </c>
      <c r="I2638" t="str">
        <f t="shared" si="41"/>
        <v>WOODLAND SMALL RED FELT HEART [23473]</v>
      </c>
    </row>
    <row r="2639" spans="1:9" x14ac:dyDescent="0.3">
      <c r="A2639" s="1">
        <v>23474</v>
      </c>
      <c r="B2639" t="s">
        <v>3509</v>
      </c>
      <c r="C2639" s="1">
        <v>0.87</v>
      </c>
      <c r="D2639" s="1">
        <v>54</v>
      </c>
      <c r="E2639" s="1">
        <v>104</v>
      </c>
      <c r="F2639" s="1">
        <v>3</v>
      </c>
      <c r="G2639" s="1">
        <v>270.95999999999998</v>
      </c>
      <c r="H2639" s="1" t="s">
        <v>9</v>
      </c>
      <c r="I2639" t="str">
        <f t="shared" si="41"/>
        <v>WOODLAND SMALL BLUE FELT HEART [23474]</v>
      </c>
    </row>
    <row r="2640" spans="1:9" x14ac:dyDescent="0.3">
      <c r="A2640" s="1">
        <v>23475</v>
      </c>
      <c r="B2640" t="s">
        <v>3508</v>
      </c>
      <c r="C2640" s="1">
        <v>0.85</v>
      </c>
      <c r="D2640" s="1">
        <v>38</v>
      </c>
      <c r="E2640" s="2">
        <v>95.3333333333333</v>
      </c>
      <c r="F2640" s="1">
        <v>3</v>
      </c>
      <c r="G2640" s="1">
        <v>242.18</v>
      </c>
      <c r="H2640" s="1" t="s">
        <v>9</v>
      </c>
      <c r="I2640" t="str">
        <f t="shared" si="41"/>
        <v>WOODLAND SMALL PINK FELT HEART [23475]</v>
      </c>
    </row>
    <row r="2641" spans="1:9" x14ac:dyDescent="0.3">
      <c r="A2641" s="1">
        <v>23476</v>
      </c>
      <c r="B2641" t="s">
        <v>3507</v>
      </c>
      <c r="C2641" s="1">
        <v>1.3</v>
      </c>
      <c r="D2641" s="1">
        <v>102.5</v>
      </c>
      <c r="E2641" s="1">
        <v>102.5</v>
      </c>
      <c r="F2641" s="1">
        <v>2</v>
      </c>
      <c r="G2641" s="1">
        <v>264.72000000000003</v>
      </c>
      <c r="H2641" s="1" t="s">
        <v>10</v>
      </c>
      <c r="I2641" t="str">
        <f t="shared" si="41"/>
        <v>WOODLAND LARGE RED FELT HEART [23476]</v>
      </c>
    </row>
    <row r="2642" spans="1:9" x14ac:dyDescent="0.3">
      <c r="A2642" s="1">
        <v>23477</v>
      </c>
      <c r="B2642" t="s">
        <v>3506</v>
      </c>
      <c r="C2642" s="1">
        <v>1.33</v>
      </c>
      <c r="D2642" s="1">
        <v>46</v>
      </c>
      <c r="E2642" s="1">
        <v>46</v>
      </c>
      <c r="F2642" s="1">
        <v>2</v>
      </c>
      <c r="G2642" s="1">
        <v>123.47</v>
      </c>
      <c r="H2642" s="1" t="s">
        <v>9</v>
      </c>
      <c r="I2642" t="str">
        <f t="shared" si="41"/>
        <v>WOODLAND LARGE BLUE FELT HEART [23477]</v>
      </c>
    </row>
    <row r="2643" spans="1:9" x14ac:dyDescent="0.3">
      <c r="A2643" s="1">
        <v>23478</v>
      </c>
      <c r="B2643" t="s">
        <v>3505</v>
      </c>
      <c r="C2643" s="1">
        <v>1.25</v>
      </c>
      <c r="D2643" s="1">
        <v>68</v>
      </c>
      <c r="E2643" s="1">
        <v>95</v>
      </c>
      <c r="F2643" s="1">
        <v>3</v>
      </c>
      <c r="G2643" s="1">
        <v>324.39999999999998</v>
      </c>
      <c r="H2643" s="1" t="s">
        <v>10</v>
      </c>
      <c r="I2643" t="str">
        <f t="shared" si="41"/>
        <v>WOODLAND LARGE PINK FELT HEART [23478]</v>
      </c>
    </row>
    <row r="2644" spans="1:9" x14ac:dyDescent="0.3">
      <c r="A2644" s="1">
        <v>23479</v>
      </c>
      <c r="B2644" t="s">
        <v>3504</v>
      </c>
      <c r="C2644" s="1">
        <v>8.1</v>
      </c>
      <c r="D2644" s="1">
        <v>28</v>
      </c>
      <c r="E2644" s="2">
        <v>37.6666666666666</v>
      </c>
      <c r="F2644" s="1">
        <v>3</v>
      </c>
      <c r="G2644" s="2">
        <v>872.37999999999897</v>
      </c>
      <c r="H2644" s="1" t="s">
        <v>9</v>
      </c>
      <c r="I2644" t="str">
        <f t="shared" si="41"/>
        <v>WIRE EGG BASKET [23479]</v>
      </c>
    </row>
    <row r="2645" spans="1:9" x14ac:dyDescent="0.3">
      <c r="A2645" s="1">
        <v>23480</v>
      </c>
      <c r="B2645" t="s">
        <v>3503</v>
      </c>
      <c r="C2645" s="1">
        <v>3.78</v>
      </c>
      <c r="D2645" s="1">
        <v>523</v>
      </c>
      <c r="E2645" s="2">
        <v>599.33333333333303</v>
      </c>
      <c r="F2645" s="1">
        <v>3</v>
      </c>
      <c r="G2645" s="1">
        <v>6719.14</v>
      </c>
      <c r="H2645" s="1" t="s">
        <v>10</v>
      </c>
      <c r="I2645" t="str">
        <f t="shared" si="41"/>
        <v>MINI LIGHTS WOODLAND MUSHROOMS [23480]</v>
      </c>
    </row>
    <row r="2646" spans="1:9" x14ac:dyDescent="0.3">
      <c r="A2646" s="1">
        <v>23481</v>
      </c>
      <c r="B2646" t="s">
        <v>3502</v>
      </c>
      <c r="C2646" s="1">
        <v>1.25</v>
      </c>
      <c r="D2646" s="1">
        <v>66</v>
      </c>
      <c r="E2646" s="1">
        <v>76</v>
      </c>
      <c r="F2646" s="1">
        <v>3</v>
      </c>
      <c r="G2646" s="2">
        <v>281.16999999999899</v>
      </c>
      <c r="H2646" s="1" t="s">
        <v>10</v>
      </c>
      <c r="I2646" t="str">
        <f t="shared" si="41"/>
        <v>PEARLISED IVORY HEART SMALL [23481]</v>
      </c>
    </row>
    <row r="2647" spans="1:9" x14ac:dyDescent="0.3">
      <c r="A2647" s="1">
        <v>23482</v>
      </c>
      <c r="B2647" t="s">
        <v>3501</v>
      </c>
      <c r="C2647" s="1">
        <v>1.64</v>
      </c>
      <c r="D2647" s="1">
        <v>127</v>
      </c>
      <c r="E2647" s="2">
        <v>139.333333333333</v>
      </c>
      <c r="F2647" s="1">
        <v>3</v>
      </c>
      <c r="G2647" s="1">
        <v>661.02</v>
      </c>
      <c r="H2647" s="1" t="s">
        <v>10</v>
      </c>
      <c r="I2647" t="str">
        <f t="shared" si="41"/>
        <v>PEARLISED IVORY HEART LARGE [23482]</v>
      </c>
    </row>
    <row r="2648" spans="1:9" x14ac:dyDescent="0.3">
      <c r="A2648" s="1">
        <v>23483</v>
      </c>
      <c r="B2648" t="s">
        <v>3500</v>
      </c>
      <c r="C2648" s="1">
        <v>1.21</v>
      </c>
      <c r="D2648" s="1">
        <v>502</v>
      </c>
      <c r="E2648" s="2">
        <v>442.666666666666</v>
      </c>
      <c r="F2648" s="1">
        <v>3</v>
      </c>
      <c r="G2648" s="1">
        <v>1636.36</v>
      </c>
      <c r="H2648" s="1" t="s">
        <v>10</v>
      </c>
      <c r="I2648" t="str">
        <f t="shared" si="41"/>
        <v>HANGING  BUTTERFLY T-LIGHT HOLDER [23483]</v>
      </c>
    </row>
    <row r="2649" spans="1:9" x14ac:dyDescent="0.3">
      <c r="A2649" s="1">
        <v>23484</v>
      </c>
      <c r="B2649" t="s">
        <v>3499</v>
      </c>
      <c r="C2649" s="1">
        <v>2.89</v>
      </c>
      <c r="D2649" s="1">
        <v>48</v>
      </c>
      <c r="E2649" s="1">
        <v>37</v>
      </c>
      <c r="F2649" s="1">
        <v>4</v>
      </c>
      <c r="G2649" s="1">
        <v>547.35</v>
      </c>
      <c r="H2649" s="1" t="s">
        <v>9</v>
      </c>
      <c r="I2649" t="str">
        <f t="shared" si="41"/>
        <v>HEART TRELLISTRIPLE T-LIGHT HOLDER [23484]</v>
      </c>
    </row>
    <row r="2650" spans="1:9" x14ac:dyDescent="0.3">
      <c r="A2650" s="1">
        <v>23485</v>
      </c>
      <c r="B2650" t="s">
        <v>3498</v>
      </c>
      <c r="C2650" s="1">
        <v>23.47</v>
      </c>
      <c r="D2650" s="1">
        <v>78</v>
      </c>
      <c r="E2650" s="2">
        <v>87.3333333333333</v>
      </c>
      <c r="F2650" s="1">
        <v>3</v>
      </c>
      <c r="G2650" s="1">
        <v>5843.92</v>
      </c>
      <c r="H2650" s="1" t="s">
        <v>10</v>
      </c>
      <c r="I2650" t="str">
        <f t="shared" si="41"/>
        <v>BOTANICAL GARDENS WALL CLOCK [23485]</v>
      </c>
    </row>
    <row r="2651" spans="1:9" x14ac:dyDescent="0.3">
      <c r="A2651" s="1">
        <v>23486</v>
      </c>
      <c r="B2651" t="s">
        <v>3497</v>
      </c>
      <c r="C2651" s="1">
        <v>15.97</v>
      </c>
      <c r="D2651" s="1">
        <v>78</v>
      </c>
      <c r="E2651" s="2">
        <v>91.6666666666666</v>
      </c>
      <c r="F2651" s="1">
        <v>3</v>
      </c>
      <c r="G2651" s="1">
        <v>4145.47</v>
      </c>
      <c r="H2651" s="1" t="s">
        <v>10</v>
      </c>
      <c r="I2651" t="str">
        <f t="shared" si="41"/>
        <v>ANTIQUE HEART SHELF UNIT [23486]</v>
      </c>
    </row>
    <row r="2652" spans="1:9" x14ac:dyDescent="0.3">
      <c r="A2652" s="1">
        <v>23487</v>
      </c>
      <c r="B2652" t="s">
        <v>3496</v>
      </c>
      <c r="C2652" s="1">
        <v>9.9499999999999993</v>
      </c>
      <c r="D2652" s="1">
        <v>33</v>
      </c>
      <c r="E2652" s="2">
        <v>26.6666666666666</v>
      </c>
      <c r="F2652" s="1">
        <v>3</v>
      </c>
      <c r="G2652" s="1">
        <v>795.58</v>
      </c>
      <c r="H2652" s="1" t="s">
        <v>9</v>
      </c>
      <c r="I2652" t="str">
        <f t="shared" si="41"/>
        <v>SWEET HEART CAKE CARRIER [23487]</v>
      </c>
    </row>
    <row r="2653" spans="1:9" x14ac:dyDescent="0.3">
      <c r="A2653" s="1">
        <v>23489</v>
      </c>
      <c r="B2653" t="s">
        <v>3495</v>
      </c>
      <c r="C2653" s="1">
        <v>2.92</v>
      </c>
      <c r="D2653" s="1">
        <v>166</v>
      </c>
      <c r="E2653" s="1">
        <v>182.6</v>
      </c>
      <c r="F2653" s="1">
        <v>3</v>
      </c>
      <c r="G2653" s="1">
        <v>2709.23</v>
      </c>
      <c r="H2653" s="1" t="s">
        <v>10</v>
      </c>
      <c r="I2653" t="str">
        <f t="shared" si="41"/>
        <v>GARLAND, VINTAGE BELLS [23489]</v>
      </c>
    </row>
    <row r="2654" spans="1:9" x14ac:dyDescent="0.3">
      <c r="A2654" s="1">
        <v>23490</v>
      </c>
      <c r="B2654" t="s">
        <v>3494</v>
      </c>
      <c r="C2654" s="1">
        <v>3.8</v>
      </c>
      <c r="D2654" s="1">
        <v>153</v>
      </c>
      <c r="E2654" s="2">
        <v>180.666666666666</v>
      </c>
      <c r="F2654" s="1">
        <v>3</v>
      </c>
      <c r="G2654" s="1">
        <v>2032.77</v>
      </c>
      <c r="H2654" s="1" t="s">
        <v>10</v>
      </c>
      <c r="I2654" t="str">
        <f t="shared" si="41"/>
        <v>T-LIGHT HOLDER HANGING LOVE BIRD [23490]</v>
      </c>
    </row>
    <row r="2655" spans="1:9" x14ac:dyDescent="0.3">
      <c r="A2655" s="1">
        <v>23491</v>
      </c>
      <c r="B2655" t="s">
        <v>3493</v>
      </c>
      <c r="C2655" s="1">
        <v>8.25</v>
      </c>
      <c r="D2655" s="1">
        <v>67</v>
      </c>
      <c r="E2655" s="1">
        <v>76</v>
      </c>
      <c r="F2655" s="1">
        <v>3</v>
      </c>
      <c r="G2655" s="1">
        <v>1897.76</v>
      </c>
      <c r="H2655" s="1" t="s">
        <v>10</v>
      </c>
      <c r="I2655" t="str">
        <f t="shared" si="41"/>
        <v>VINTAGE JINGLE BELLS HEART [23491]</v>
      </c>
    </row>
    <row r="2656" spans="1:9" x14ac:dyDescent="0.3">
      <c r="A2656" s="1">
        <v>23492</v>
      </c>
      <c r="B2656" t="s">
        <v>3492</v>
      </c>
      <c r="C2656" s="1">
        <v>8.25</v>
      </c>
      <c r="D2656" s="1">
        <v>18</v>
      </c>
      <c r="E2656" s="2">
        <v>25.3333333333333</v>
      </c>
      <c r="F2656" s="1">
        <v>3</v>
      </c>
      <c r="G2656" s="1">
        <v>635.38</v>
      </c>
      <c r="H2656" s="1" t="s">
        <v>9</v>
      </c>
      <c r="I2656" t="str">
        <f t="shared" si="41"/>
        <v>VINTAGE JINGLE BELLS WREATH [23492]</v>
      </c>
    </row>
    <row r="2657" spans="1:9" x14ac:dyDescent="0.3">
      <c r="A2657" s="1">
        <v>23493</v>
      </c>
      <c r="B2657" t="s">
        <v>3491</v>
      </c>
      <c r="C2657" s="1">
        <v>2.06</v>
      </c>
      <c r="D2657" s="1">
        <v>847</v>
      </c>
      <c r="E2657" s="1">
        <v>991</v>
      </c>
      <c r="F2657" s="1">
        <v>4</v>
      </c>
      <c r="G2657" s="1">
        <v>8497.98</v>
      </c>
      <c r="H2657" s="1" t="s">
        <v>10</v>
      </c>
      <c r="I2657" t="str">
        <f t="shared" si="41"/>
        <v>VINTAGE DOILY TRAVEL SEWING KIT [23493]</v>
      </c>
    </row>
    <row r="2658" spans="1:9" x14ac:dyDescent="0.3">
      <c r="A2658" s="1">
        <v>23494</v>
      </c>
      <c r="B2658" t="s">
        <v>3490</v>
      </c>
      <c r="C2658" s="1">
        <v>6.4050000000000002</v>
      </c>
      <c r="D2658" s="1">
        <v>204</v>
      </c>
      <c r="E2658" s="1">
        <v>202.25</v>
      </c>
      <c r="F2658" s="1">
        <v>4</v>
      </c>
      <c r="G2658" s="2">
        <v>5354.0099999999902</v>
      </c>
      <c r="H2658" s="1" t="s">
        <v>10</v>
      </c>
      <c r="I2658" t="str">
        <f t="shared" si="41"/>
        <v>VINTAGE DOILY DELUXE SEWING KIT [23494]</v>
      </c>
    </row>
    <row r="2659" spans="1:9" x14ac:dyDescent="0.3">
      <c r="A2659" s="1">
        <v>23495</v>
      </c>
      <c r="B2659" t="s">
        <v>3489</v>
      </c>
      <c r="C2659" s="1">
        <v>1.35</v>
      </c>
      <c r="D2659" s="1">
        <v>46</v>
      </c>
      <c r="E2659" s="1">
        <v>75</v>
      </c>
      <c r="F2659" s="1">
        <v>3</v>
      </c>
      <c r="G2659" s="1">
        <v>306.66000000000003</v>
      </c>
      <c r="H2659" s="1" t="s">
        <v>9</v>
      </c>
      <c r="I2659" t="str">
        <f t="shared" si="41"/>
        <v>SET OF 3 PANTRY WOODEN SPOONS [23495]</v>
      </c>
    </row>
    <row r="2660" spans="1:9" x14ac:dyDescent="0.3">
      <c r="A2660" s="1">
        <v>23496</v>
      </c>
      <c r="B2660" t="s">
        <v>3488</v>
      </c>
      <c r="C2660" s="1">
        <v>1.3</v>
      </c>
      <c r="D2660" s="1">
        <v>30</v>
      </c>
      <c r="E2660" s="2">
        <v>37.3333333333333</v>
      </c>
      <c r="F2660" s="1">
        <v>3</v>
      </c>
      <c r="G2660" s="2">
        <v>154.51999999999899</v>
      </c>
      <c r="H2660" s="1" t="s">
        <v>9</v>
      </c>
      <c r="I2660" t="str">
        <f t="shared" si="41"/>
        <v>PANTRY KITCHEN THERMOMETER [23496]</v>
      </c>
    </row>
    <row r="2661" spans="1:9" x14ac:dyDescent="0.3">
      <c r="A2661" s="1">
        <v>23497</v>
      </c>
      <c r="B2661" t="s">
        <v>3487</v>
      </c>
      <c r="C2661" s="2">
        <v>1.39</v>
      </c>
      <c r="D2661" s="1">
        <v>610.5</v>
      </c>
      <c r="E2661" s="1">
        <v>639.5</v>
      </c>
      <c r="F2661" s="1">
        <v>3</v>
      </c>
      <c r="G2661" s="1">
        <v>3656.02</v>
      </c>
      <c r="H2661" s="1" t="s">
        <v>10</v>
      </c>
      <c r="I2661" t="str">
        <f t="shared" si="41"/>
        <v>CLASSIC CHROME BICYCLE BELL [23497]</v>
      </c>
    </row>
    <row r="2662" spans="1:9" x14ac:dyDescent="0.3">
      <c r="A2662" s="1">
        <v>23498</v>
      </c>
      <c r="B2662" t="s">
        <v>3486</v>
      </c>
      <c r="C2662" s="1">
        <v>1.4350000000000001</v>
      </c>
      <c r="D2662" s="1">
        <v>820</v>
      </c>
      <c r="E2662" s="1">
        <v>820</v>
      </c>
      <c r="F2662" s="1">
        <v>2</v>
      </c>
      <c r="G2662" s="1">
        <v>2372.6799999999998</v>
      </c>
      <c r="H2662" s="1" t="s">
        <v>10</v>
      </c>
      <c r="I2662" t="str">
        <f t="shared" si="41"/>
        <v>CLASSIC BICYCLE CLIPS [23498]</v>
      </c>
    </row>
    <row r="2663" spans="1:9" x14ac:dyDescent="0.3">
      <c r="A2663" s="1">
        <v>23499</v>
      </c>
      <c r="B2663" t="s">
        <v>3485</v>
      </c>
      <c r="C2663" s="1">
        <v>0.43</v>
      </c>
      <c r="D2663" s="1">
        <v>218</v>
      </c>
      <c r="E2663" s="2">
        <v>437.33333333333297</v>
      </c>
      <c r="F2663" s="1">
        <v>3</v>
      </c>
      <c r="G2663" s="1">
        <v>586.23</v>
      </c>
      <c r="H2663" s="1" t="s">
        <v>10</v>
      </c>
      <c r="I2663" t="str">
        <f t="shared" si="41"/>
        <v>SET 12 VINTAGE DOILY CHALK [23499]</v>
      </c>
    </row>
    <row r="2664" spans="1:9" x14ac:dyDescent="0.3">
      <c r="A2664" s="1">
        <v>23500</v>
      </c>
      <c r="B2664" t="s">
        <v>3484</v>
      </c>
      <c r="C2664" s="1">
        <v>1.27</v>
      </c>
      <c r="D2664" s="1">
        <v>672</v>
      </c>
      <c r="E2664" s="1">
        <v>542</v>
      </c>
      <c r="F2664" s="1">
        <v>3</v>
      </c>
      <c r="G2664" s="1">
        <v>2038.33</v>
      </c>
      <c r="H2664" s="1" t="s">
        <v>10</v>
      </c>
      <c r="I2664" t="str">
        <f t="shared" si="41"/>
        <v>KEY RING BASEBALL BOOT ASSORTED [23500]</v>
      </c>
    </row>
    <row r="2665" spans="1:9" x14ac:dyDescent="0.3">
      <c r="A2665" s="1">
        <v>23501</v>
      </c>
      <c r="B2665" t="s">
        <v>3483</v>
      </c>
      <c r="C2665" s="1">
        <v>1.2</v>
      </c>
      <c r="D2665" s="1">
        <v>502</v>
      </c>
      <c r="E2665" s="1">
        <v>607</v>
      </c>
      <c r="F2665" s="1">
        <v>3</v>
      </c>
      <c r="G2665" s="1">
        <v>2217.87</v>
      </c>
      <c r="H2665" s="1" t="s">
        <v>10</v>
      </c>
      <c r="I2665" t="str">
        <f t="shared" si="41"/>
        <v>KEY RING BASEBALL BOOT UNION JACK [23501]</v>
      </c>
    </row>
    <row r="2666" spans="1:9" x14ac:dyDescent="0.3">
      <c r="A2666" s="1">
        <v>23502</v>
      </c>
      <c r="B2666" t="s">
        <v>3482</v>
      </c>
      <c r="C2666" s="1">
        <v>1.25</v>
      </c>
      <c r="D2666" s="1">
        <v>61</v>
      </c>
      <c r="E2666" s="1">
        <v>119</v>
      </c>
      <c r="F2666" s="1">
        <v>4</v>
      </c>
      <c r="G2666" s="1">
        <v>896.41</v>
      </c>
      <c r="H2666" s="1" t="s">
        <v>9</v>
      </c>
      <c r="I2666" t="str">
        <f t="shared" si="41"/>
        <v>PLAYING CARDS VINTAGE DOILEY [23502]</v>
      </c>
    </row>
    <row r="2667" spans="1:9" x14ac:dyDescent="0.3">
      <c r="A2667" s="1">
        <v>23503</v>
      </c>
      <c r="B2667" t="s">
        <v>3481</v>
      </c>
      <c r="C2667" s="1">
        <v>1.2450000000000001</v>
      </c>
      <c r="D2667" s="1">
        <v>1012</v>
      </c>
      <c r="E2667" s="1">
        <v>910.75</v>
      </c>
      <c r="F2667" s="1">
        <v>4</v>
      </c>
      <c r="G2667" s="1">
        <v>4860.55</v>
      </c>
      <c r="H2667" s="1" t="s">
        <v>10</v>
      </c>
      <c r="I2667" t="str">
        <f t="shared" si="41"/>
        <v>PLAYING CARDS KEEP CALM &amp; CARRY ON [23503]</v>
      </c>
    </row>
    <row r="2668" spans="1:9" x14ac:dyDescent="0.3">
      <c r="A2668" s="1">
        <v>23504</v>
      </c>
      <c r="B2668" t="s">
        <v>3480</v>
      </c>
      <c r="C2668" s="2">
        <v>1.2849999999999999</v>
      </c>
      <c r="D2668" s="1">
        <v>521</v>
      </c>
      <c r="E2668" s="1">
        <v>481.75</v>
      </c>
      <c r="F2668" s="1">
        <v>4</v>
      </c>
      <c r="G2668" s="1">
        <v>2848.89</v>
      </c>
      <c r="H2668" s="1" t="s">
        <v>10</v>
      </c>
      <c r="I2668" t="str">
        <f t="shared" si="41"/>
        <v>PLAYING CARDS JUBILEE UNION JACK [23504]</v>
      </c>
    </row>
    <row r="2669" spans="1:9" x14ac:dyDescent="0.3">
      <c r="A2669" s="1">
        <v>23505</v>
      </c>
      <c r="B2669" t="s">
        <v>3479</v>
      </c>
      <c r="C2669" s="2">
        <v>1.2649999999999999</v>
      </c>
      <c r="D2669" s="1">
        <v>287</v>
      </c>
      <c r="E2669" s="1">
        <v>300</v>
      </c>
      <c r="F2669" s="1">
        <v>4</v>
      </c>
      <c r="G2669" s="1">
        <v>1651.29</v>
      </c>
      <c r="H2669" s="1" t="s">
        <v>10</v>
      </c>
      <c r="I2669" t="str">
        <f t="shared" si="41"/>
        <v>PLAYING CARDS I LOVE LONDON [23505]</v>
      </c>
    </row>
    <row r="2670" spans="1:9" x14ac:dyDescent="0.3">
      <c r="A2670" s="1">
        <v>23506</v>
      </c>
      <c r="B2670" t="s">
        <v>3478</v>
      </c>
      <c r="C2670" s="1">
        <v>0.43</v>
      </c>
      <c r="D2670" s="1">
        <v>331</v>
      </c>
      <c r="E2670" s="1">
        <v>680.75</v>
      </c>
      <c r="F2670" s="1">
        <v>4</v>
      </c>
      <c r="G2670" s="1">
        <v>1129.1199999999999</v>
      </c>
      <c r="H2670" s="1" t="s">
        <v>10</v>
      </c>
      <c r="I2670" t="str">
        <f t="shared" si="41"/>
        <v>MINI PLAYING CARDS SPACEBOY [23506]</v>
      </c>
    </row>
    <row r="2671" spans="1:9" x14ac:dyDescent="0.3">
      <c r="A2671" s="1">
        <v>23507</v>
      </c>
      <c r="B2671" t="s">
        <v>3477</v>
      </c>
      <c r="C2671" s="1">
        <v>0.41499999999999998</v>
      </c>
      <c r="D2671" s="1">
        <v>727.5</v>
      </c>
      <c r="E2671" s="1">
        <v>720.5</v>
      </c>
      <c r="F2671" s="1">
        <v>4</v>
      </c>
      <c r="G2671" s="1">
        <v>1155.67</v>
      </c>
      <c r="H2671" s="1" t="s">
        <v>10</v>
      </c>
      <c r="I2671" t="str">
        <f t="shared" si="41"/>
        <v>MINI PLAYING CARDS BUFFALO BILL [23507]</v>
      </c>
    </row>
    <row r="2672" spans="1:9" x14ac:dyDescent="0.3">
      <c r="A2672" s="1">
        <v>23508</v>
      </c>
      <c r="B2672" t="s">
        <v>3476</v>
      </c>
      <c r="C2672" s="2">
        <v>0.44999999999999901</v>
      </c>
      <c r="D2672" s="1">
        <v>382</v>
      </c>
      <c r="E2672" s="1">
        <v>656.75</v>
      </c>
      <c r="F2672" s="1">
        <v>4</v>
      </c>
      <c r="G2672" s="1">
        <v>1163.45</v>
      </c>
      <c r="H2672" s="1" t="s">
        <v>10</v>
      </c>
      <c r="I2672" t="str">
        <f t="shared" si="41"/>
        <v>MINI PLAYING CARDS DOLLY GIRL [23508]</v>
      </c>
    </row>
    <row r="2673" spans="1:9" x14ac:dyDescent="0.3">
      <c r="A2673" s="1">
        <v>23509</v>
      </c>
      <c r="B2673" t="s">
        <v>3475</v>
      </c>
      <c r="C2673" s="2">
        <v>0.44499999999999901</v>
      </c>
      <c r="D2673" s="1">
        <v>115.5</v>
      </c>
      <c r="E2673" s="1">
        <v>265.5</v>
      </c>
      <c r="F2673" s="1">
        <v>4</v>
      </c>
      <c r="G2673" s="1">
        <v>451.46</v>
      </c>
      <c r="H2673" s="1" t="s">
        <v>10</v>
      </c>
      <c r="I2673" t="str">
        <f t="shared" si="41"/>
        <v>MINI PLAYING CARDS FUN FAIR [23509]</v>
      </c>
    </row>
    <row r="2674" spans="1:9" x14ac:dyDescent="0.3">
      <c r="A2674" s="1">
        <v>23510</v>
      </c>
      <c r="B2674" t="s">
        <v>3474</v>
      </c>
      <c r="C2674" s="2">
        <v>0.44499999999999901</v>
      </c>
      <c r="D2674" s="1">
        <v>589</v>
      </c>
      <c r="E2674" s="1">
        <v>630.25</v>
      </c>
      <c r="F2674" s="1">
        <v>4</v>
      </c>
      <c r="G2674" s="1">
        <v>1118.8</v>
      </c>
      <c r="H2674" s="1" t="s">
        <v>10</v>
      </c>
      <c r="I2674" t="str">
        <f t="shared" si="41"/>
        <v>MINI PLAYING CARDS GYMKHANA [23510]</v>
      </c>
    </row>
    <row r="2675" spans="1:9" x14ac:dyDescent="0.3">
      <c r="A2675" s="1">
        <v>23511</v>
      </c>
      <c r="B2675" t="s">
        <v>3473</v>
      </c>
      <c r="C2675" s="1">
        <v>2.2949999999999999</v>
      </c>
      <c r="D2675" s="1">
        <v>117.5</v>
      </c>
      <c r="E2675" s="1">
        <v>142.75</v>
      </c>
      <c r="F2675" s="1">
        <v>4</v>
      </c>
      <c r="G2675" s="1">
        <v>1252.01</v>
      </c>
      <c r="H2675" s="1" t="s">
        <v>10</v>
      </c>
      <c r="I2675" t="str">
        <f t="shared" si="41"/>
        <v>EMBROIDERED RIBBON REEL EMILY [23511]</v>
      </c>
    </row>
    <row r="2676" spans="1:9" x14ac:dyDescent="0.3">
      <c r="A2676" s="1">
        <v>23512</v>
      </c>
      <c r="B2676" t="s">
        <v>3472</v>
      </c>
      <c r="C2676" s="1">
        <v>2.165</v>
      </c>
      <c r="D2676" s="1">
        <v>57.5</v>
      </c>
      <c r="E2676" s="1">
        <v>125</v>
      </c>
      <c r="F2676" s="1">
        <v>4</v>
      </c>
      <c r="G2676" s="2">
        <v>975.23999999999899</v>
      </c>
      <c r="H2676" s="1" t="s">
        <v>9</v>
      </c>
      <c r="I2676" t="str">
        <f t="shared" si="41"/>
        <v>EMBROIDERED RIBBON REEL ROSIE [23512]</v>
      </c>
    </row>
    <row r="2677" spans="1:9" x14ac:dyDescent="0.3">
      <c r="A2677" s="1">
        <v>23513</v>
      </c>
      <c r="B2677" t="s">
        <v>3471</v>
      </c>
      <c r="C2677" s="1">
        <v>2.1749999999999998</v>
      </c>
      <c r="D2677" s="1">
        <v>75.5</v>
      </c>
      <c r="E2677" s="1">
        <v>141.5</v>
      </c>
      <c r="F2677" s="1">
        <v>4</v>
      </c>
      <c r="G2677" s="1">
        <v>1114.26</v>
      </c>
      <c r="H2677" s="1" t="s">
        <v>10</v>
      </c>
      <c r="I2677" t="str">
        <f t="shared" si="41"/>
        <v>EMBROIDERED RIBBON REEL SUSIE [23513]</v>
      </c>
    </row>
    <row r="2678" spans="1:9" x14ac:dyDescent="0.3">
      <c r="A2678" s="1">
        <v>23514</v>
      </c>
      <c r="B2678" t="s">
        <v>3470</v>
      </c>
      <c r="C2678" s="1">
        <v>2.08</v>
      </c>
      <c r="D2678" s="1">
        <v>98.5</v>
      </c>
      <c r="E2678" s="1">
        <v>119.5</v>
      </c>
      <c r="F2678" s="1">
        <v>4</v>
      </c>
      <c r="G2678" s="1">
        <v>977.39</v>
      </c>
      <c r="H2678" s="1" t="s">
        <v>10</v>
      </c>
      <c r="I2678" t="str">
        <f t="shared" si="41"/>
        <v>EMBROIDERED RIBBON REEL SALLY [23514]</v>
      </c>
    </row>
    <row r="2679" spans="1:9" x14ac:dyDescent="0.3">
      <c r="A2679" s="1">
        <v>23515</v>
      </c>
      <c r="B2679" t="s">
        <v>3469</v>
      </c>
      <c r="C2679" s="1">
        <v>2.1349999999999998</v>
      </c>
      <c r="D2679" s="1">
        <v>80</v>
      </c>
      <c r="E2679" s="1">
        <v>144.75</v>
      </c>
      <c r="F2679" s="1">
        <v>4</v>
      </c>
      <c r="G2679" s="1">
        <v>1164.98</v>
      </c>
      <c r="H2679" s="1" t="s">
        <v>10</v>
      </c>
      <c r="I2679" t="str">
        <f t="shared" si="41"/>
        <v>EMBROIDERED RIBBON REEL DAISY [23515]</v>
      </c>
    </row>
    <row r="2680" spans="1:9" x14ac:dyDescent="0.3">
      <c r="A2680" s="1">
        <v>23516</v>
      </c>
      <c r="B2680" t="s">
        <v>3468</v>
      </c>
      <c r="C2680" s="1">
        <v>3.75</v>
      </c>
      <c r="D2680" s="1">
        <v>33</v>
      </c>
      <c r="E2680" s="1">
        <v>74</v>
      </c>
      <c r="F2680" s="1">
        <v>4</v>
      </c>
      <c r="G2680" s="1">
        <v>1058.5999999999999</v>
      </c>
      <c r="H2680" s="1" t="s">
        <v>9</v>
      </c>
      <c r="I2680" t="str">
        <f t="shared" si="41"/>
        <v>EMBROIDERED RIBBON REEL SOPHIE [23516]</v>
      </c>
    </row>
    <row r="2681" spans="1:9" x14ac:dyDescent="0.3">
      <c r="A2681" s="1">
        <v>23517</v>
      </c>
      <c r="B2681" t="s">
        <v>3467</v>
      </c>
      <c r="C2681" s="2">
        <v>3.07</v>
      </c>
      <c r="D2681" s="1">
        <v>52.5</v>
      </c>
      <c r="E2681" s="1">
        <v>83.5</v>
      </c>
      <c r="F2681" s="1">
        <v>4</v>
      </c>
      <c r="G2681" s="1">
        <v>996.38</v>
      </c>
      <c r="H2681" s="1" t="s">
        <v>9</v>
      </c>
      <c r="I2681" t="str">
        <f t="shared" si="41"/>
        <v>EMBROIDERED RIBBON REEL REBECCA [23517]</v>
      </c>
    </row>
    <row r="2682" spans="1:9" x14ac:dyDescent="0.3">
      <c r="A2682" s="1">
        <v>23518</v>
      </c>
      <c r="B2682" t="s">
        <v>3466</v>
      </c>
      <c r="C2682" s="1">
        <v>2.89</v>
      </c>
      <c r="D2682" s="1">
        <v>39</v>
      </c>
      <c r="E2682" s="1">
        <v>90.25</v>
      </c>
      <c r="F2682" s="1">
        <v>4</v>
      </c>
      <c r="G2682" s="2">
        <v>980.41</v>
      </c>
      <c r="H2682" s="1" t="s">
        <v>9</v>
      </c>
      <c r="I2682" t="str">
        <f t="shared" si="41"/>
        <v>EMBROIDERED RIBBON REEL RACHEL [23518]</v>
      </c>
    </row>
    <row r="2683" spans="1:9" x14ac:dyDescent="0.3">
      <c r="A2683" s="1">
        <v>23519</v>
      </c>
      <c r="B2683" t="s">
        <v>3465</v>
      </c>
      <c r="C2683" s="1">
        <v>3.85</v>
      </c>
      <c r="D2683" s="1">
        <v>37</v>
      </c>
      <c r="E2683" s="2">
        <v>74.6666666666666</v>
      </c>
      <c r="F2683" s="1">
        <v>3</v>
      </c>
      <c r="G2683" s="2">
        <v>792.31</v>
      </c>
      <c r="H2683" s="1" t="s">
        <v>9</v>
      </c>
      <c r="I2683" t="str">
        <f t="shared" si="41"/>
        <v>EMBROIDERED RIBBON REEL CLAIRE [23519]</v>
      </c>
    </row>
    <row r="2684" spans="1:9" x14ac:dyDescent="0.3">
      <c r="A2684" s="1">
        <v>23520</v>
      </c>
      <c r="B2684" t="s">
        <v>3464</v>
      </c>
      <c r="C2684" s="1">
        <v>3.75</v>
      </c>
      <c r="D2684" s="1">
        <v>29.5</v>
      </c>
      <c r="E2684" s="1">
        <v>41.75</v>
      </c>
      <c r="F2684" s="1">
        <v>4</v>
      </c>
      <c r="G2684" s="1">
        <v>600.54999999999995</v>
      </c>
      <c r="H2684" s="1" t="s">
        <v>9</v>
      </c>
      <c r="I2684" t="str">
        <f t="shared" si="41"/>
        <v>EMBROIDERED RIBBON REEL RUBY [23520]</v>
      </c>
    </row>
    <row r="2685" spans="1:9" x14ac:dyDescent="0.3">
      <c r="A2685" s="1">
        <v>23521</v>
      </c>
      <c r="B2685" t="s">
        <v>3463</v>
      </c>
      <c r="C2685" s="1">
        <v>3.2850000000000001</v>
      </c>
      <c r="D2685" s="1">
        <v>68.5</v>
      </c>
      <c r="E2685" s="1">
        <v>103.25</v>
      </c>
      <c r="F2685" s="1">
        <v>3</v>
      </c>
      <c r="G2685" s="1">
        <v>793.37</v>
      </c>
      <c r="H2685" s="1" t="s">
        <v>10</v>
      </c>
      <c r="I2685" t="str">
        <f t="shared" si="41"/>
        <v>CAT AND BIRD WALL ART [23521]</v>
      </c>
    </row>
    <row r="2686" spans="1:9" x14ac:dyDescent="0.3">
      <c r="A2686" s="1">
        <v>23522</v>
      </c>
      <c r="B2686" t="s">
        <v>3462</v>
      </c>
      <c r="C2686" s="1">
        <v>2.4350000000000001</v>
      </c>
      <c r="D2686" s="1">
        <v>44</v>
      </c>
      <c r="E2686" s="1">
        <v>88.5</v>
      </c>
      <c r="F2686" s="1">
        <v>3</v>
      </c>
      <c r="G2686" s="2">
        <v>727.43999999999903</v>
      </c>
      <c r="H2686" s="1" t="s">
        <v>9</v>
      </c>
      <c r="I2686" t="str">
        <f t="shared" si="41"/>
        <v>DOG AND BALL WALL ART [23522]</v>
      </c>
    </row>
    <row r="2687" spans="1:9" x14ac:dyDescent="0.3">
      <c r="A2687" s="1">
        <v>23523</v>
      </c>
      <c r="B2687" t="s">
        <v>3461</v>
      </c>
      <c r="C2687" s="1">
        <v>3.75</v>
      </c>
      <c r="D2687" s="1">
        <v>33</v>
      </c>
      <c r="E2687" s="1">
        <v>72</v>
      </c>
      <c r="F2687" s="1">
        <v>3</v>
      </c>
      <c r="G2687" s="1">
        <v>1173.81</v>
      </c>
      <c r="H2687" s="1" t="s">
        <v>9</v>
      </c>
      <c r="I2687" t="str">
        <f t="shared" si="41"/>
        <v>TREASURE AHOY WALL ART [23523]</v>
      </c>
    </row>
    <row r="2688" spans="1:9" x14ac:dyDescent="0.3">
      <c r="A2688" s="1">
        <v>23524</v>
      </c>
      <c r="B2688" t="s">
        <v>3460</v>
      </c>
      <c r="C2688" s="1">
        <v>3.75</v>
      </c>
      <c r="D2688" s="1">
        <v>33</v>
      </c>
      <c r="E2688" s="1">
        <v>96.2</v>
      </c>
      <c r="F2688" s="1">
        <v>3</v>
      </c>
      <c r="G2688" s="2">
        <v>1557.6299999999901</v>
      </c>
      <c r="H2688" s="1" t="s">
        <v>9</v>
      </c>
      <c r="I2688" t="str">
        <f t="shared" si="41"/>
        <v>HORSE &amp; PONY WALL ART [23524]</v>
      </c>
    </row>
    <row r="2689" spans="1:9" x14ac:dyDescent="0.3">
      <c r="A2689" s="1">
        <v>23525</v>
      </c>
      <c r="B2689" t="s">
        <v>3459</v>
      </c>
      <c r="C2689" s="1">
        <v>3.75</v>
      </c>
      <c r="D2689" s="1">
        <v>42</v>
      </c>
      <c r="E2689" s="1">
        <v>116.4</v>
      </c>
      <c r="F2689" s="1">
        <v>3</v>
      </c>
      <c r="G2689" s="2">
        <v>1863.82</v>
      </c>
      <c r="H2689" s="1" t="s">
        <v>9</v>
      </c>
      <c r="I2689" t="str">
        <f t="shared" si="41"/>
        <v>BUFFALO BILL WALL ART [23525]</v>
      </c>
    </row>
    <row r="2690" spans="1:9" x14ac:dyDescent="0.3">
      <c r="A2690" s="1">
        <v>23526</v>
      </c>
      <c r="B2690" t="s">
        <v>3458</v>
      </c>
      <c r="C2690" s="1">
        <v>5.95</v>
      </c>
      <c r="D2690" s="1">
        <v>175</v>
      </c>
      <c r="E2690" s="1">
        <v>202.4</v>
      </c>
      <c r="F2690" s="1">
        <v>3</v>
      </c>
      <c r="G2690" s="1">
        <v>6021.4</v>
      </c>
      <c r="H2690" s="1" t="s">
        <v>10</v>
      </c>
      <c r="I2690" t="str">
        <f t="shared" si="41"/>
        <v>DOG LICENCE WALL ART [23526]</v>
      </c>
    </row>
    <row r="2691" spans="1:9" x14ac:dyDescent="0.3">
      <c r="A2691" s="1">
        <v>23527</v>
      </c>
      <c r="B2691" t="s">
        <v>3457</v>
      </c>
      <c r="C2691" s="1">
        <v>3.75</v>
      </c>
      <c r="D2691" s="1">
        <v>37</v>
      </c>
      <c r="E2691" s="1">
        <v>84</v>
      </c>
      <c r="F2691" s="1">
        <v>3</v>
      </c>
      <c r="G2691" s="1">
        <v>1428.56</v>
      </c>
      <c r="H2691" s="1" t="s">
        <v>9</v>
      </c>
      <c r="I2691" t="str">
        <f t="shared" ref="I2691:I2754" si="42">B2691&amp;" ["&amp;A2691&amp;"]"</f>
        <v>ANIMALS AND NATURE WALL ART [23527]</v>
      </c>
    </row>
    <row r="2692" spans="1:9" x14ac:dyDescent="0.3">
      <c r="A2692" s="1">
        <v>23528</v>
      </c>
      <c r="B2692" t="s">
        <v>3456</v>
      </c>
      <c r="C2692" s="1">
        <v>3.75</v>
      </c>
      <c r="D2692" s="1">
        <v>49</v>
      </c>
      <c r="E2692" s="1">
        <v>95.8</v>
      </c>
      <c r="F2692" s="1">
        <v>3</v>
      </c>
      <c r="G2692" s="1">
        <v>1504.49</v>
      </c>
      <c r="H2692" s="1" t="s">
        <v>9</v>
      </c>
      <c r="I2692" t="str">
        <f t="shared" si="42"/>
        <v>SPACEBOY WALL ART [23528]</v>
      </c>
    </row>
    <row r="2693" spans="1:9" x14ac:dyDescent="0.3">
      <c r="A2693" s="1">
        <v>23529</v>
      </c>
      <c r="B2693" t="s">
        <v>3455</v>
      </c>
      <c r="C2693" s="1">
        <v>3.31</v>
      </c>
      <c r="D2693" s="1">
        <v>154</v>
      </c>
      <c r="E2693" s="1">
        <v>127.4</v>
      </c>
      <c r="F2693" s="1">
        <v>3</v>
      </c>
      <c r="G2693" s="1">
        <v>2011.99</v>
      </c>
      <c r="H2693" s="1" t="s">
        <v>10</v>
      </c>
      <c r="I2693" t="str">
        <f t="shared" si="42"/>
        <v>DOLLY GIRL WALL ART [23529]</v>
      </c>
    </row>
    <row r="2694" spans="1:9" x14ac:dyDescent="0.3">
      <c r="A2694" s="1">
        <v>23530</v>
      </c>
      <c r="B2694" t="s">
        <v>3454</v>
      </c>
      <c r="C2694" s="2">
        <v>4.2649999999999997</v>
      </c>
      <c r="D2694" s="1">
        <v>275.5</v>
      </c>
      <c r="E2694" s="1">
        <v>264</v>
      </c>
      <c r="F2694" s="1">
        <v>3</v>
      </c>
      <c r="G2694" s="2">
        <v>4436.2699999999904</v>
      </c>
      <c r="H2694" s="1" t="s">
        <v>10</v>
      </c>
      <c r="I2694" t="str">
        <f t="shared" si="42"/>
        <v>WALL ART ONLY ONE PERSON [23530]</v>
      </c>
    </row>
    <row r="2695" spans="1:9" x14ac:dyDescent="0.3">
      <c r="A2695" s="1">
        <v>23531</v>
      </c>
      <c r="B2695" t="s">
        <v>3453</v>
      </c>
      <c r="C2695" s="1">
        <v>5.59</v>
      </c>
      <c r="D2695" s="1">
        <v>310</v>
      </c>
      <c r="E2695" s="2">
        <v>325.33333333333297</v>
      </c>
      <c r="F2695" s="1">
        <v>3</v>
      </c>
      <c r="G2695" s="2">
        <v>5538.2599999999902</v>
      </c>
      <c r="H2695" s="1" t="s">
        <v>10</v>
      </c>
      <c r="I2695" t="str">
        <f t="shared" si="42"/>
        <v>WALL ART BIG LOVE [23531]</v>
      </c>
    </row>
    <row r="2696" spans="1:9" x14ac:dyDescent="0.3">
      <c r="A2696" s="1">
        <v>23532</v>
      </c>
      <c r="B2696" t="s">
        <v>3452</v>
      </c>
      <c r="C2696" s="1">
        <v>4.26</v>
      </c>
      <c r="D2696" s="1">
        <v>26</v>
      </c>
      <c r="E2696" s="1">
        <v>70</v>
      </c>
      <c r="F2696" s="1">
        <v>3</v>
      </c>
      <c r="G2696" s="2">
        <v>901.57999999999902</v>
      </c>
      <c r="H2696" s="1" t="s">
        <v>9</v>
      </c>
      <c r="I2696" t="str">
        <f t="shared" si="42"/>
        <v>WALL ART WORK REST AND PLAY [23532]</v>
      </c>
    </row>
    <row r="2697" spans="1:9" x14ac:dyDescent="0.3">
      <c r="A2697" s="1">
        <v>23533</v>
      </c>
      <c r="B2697" t="s">
        <v>3451</v>
      </c>
      <c r="C2697" s="1">
        <v>4.66</v>
      </c>
      <c r="D2697" s="1">
        <v>20</v>
      </c>
      <c r="E2697" s="2">
        <v>71.6666666666666</v>
      </c>
      <c r="F2697" s="1">
        <v>3</v>
      </c>
      <c r="G2697" s="1">
        <v>998.64</v>
      </c>
      <c r="H2697" s="1" t="s">
        <v>9</v>
      </c>
      <c r="I2697" t="str">
        <f t="shared" si="42"/>
        <v>WALL ART GARDEN HAVEN [23533]</v>
      </c>
    </row>
    <row r="2698" spans="1:9" x14ac:dyDescent="0.3">
      <c r="A2698" s="1">
        <v>23534</v>
      </c>
      <c r="B2698" t="s">
        <v>3450</v>
      </c>
      <c r="C2698" s="1">
        <v>6.335</v>
      </c>
      <c r="D2698" s="1">
        <v>193</v>
      </c>
      <c r="E2698" s="2">
        <v>231.166666666666</v>
      </c>
      <c r="F2698" s="1">
        <v>3</v>
      </c>
      <c r="G2698" s="1">
        <v>8608.9</v>
      </c>
      <c r="H2698" s="1" t="s">
        <v>10</v>
      </c>
      <c r="I2698" t="str">
        <f t="shared" si="42"/>
        <v>STOP FOR TEA WALL ART [23534]</v>
      </c>
    </row>
    <row r="2699" spans="1:9" x14ac:dyDescent="0.3">
      <c r="A2699" s="1">
        <v>23535</v>
      </c>
      <c r="B2699" t="s">
        <v>3449</v>
      </c>
      <c r="C2699" s="1">
        <v>6.07</v>
      </c>
      <c r="D2699" s="1">
        <v>229</v>
      </c>
      <c r="E2699" s="2">
        <v>220.666666666666</v>
      </c>
      <c r="F2699" s="1">
        <v>3</v>
      </c>
      <c r="G2699" s="1">
        <v>8440.24</v>
      </c>
      <c r="H2699" s="1" t="s">
        <v>10</v>
      </c>
      <c r="I2699" t="str">
        <f t="shared" si="42"/>
        <v>BICYCLE SAFTEY WALL ART [23535]</v>
      </c>
    </row>
    <row r="2700" spans="1:9" x14ac:dyDescent="0.3">
      <c r="A2700" s="1">
        <v>23536</v>
      </c>
      <c r="B2700" t="s">
        <v>3448</v>
      </c>
      <c r="C2700" s="1">
        <v>5.95</v>
      </c>
      <c r="D2700" s="1">
        <v>76</v>
      </c>
      <c r="E2700" s="1">
        <v>125.2</v>
      </c>
      <c r="F2700" s="1">
        <v>3</v>
      </c>
      <c r="G2700" s="1">
        <v>3442.13</v>
      </c>
      <c r="H2700" s="1" t="s">
        <v>10</v>
      </c>
      <c r="I2700" t="str">
        <f t="shared" si="42"/>
        <v>VILLAGE SHOW WALL ART [23536]</v>
      </c>
    </row>
    <row r="2701" spans="1:9" x14ac:dyDescent="0.3">
      <c r="A2701" s="1">
        <v>23537</v>
      </c>
      <c r="B2701" t="s">
        <v>3447</v>
      </c>
      <c r="C2701" s="1">
        <v>4.95</v>
      </c>
      <c r="D2701" s="1">
        <v>6</v>
      </c>
      <c r="E2701" s="1">
        <v>22.2</v>
      </c>
      <c r="F2701" s="1">
        <v>3</v>
      </c>
      <c r="G2701" s="1">
        <v>581.13</v>
      </c>
      <c r="H2701" s="1" t="s">
        <v>8</v>
      </c>
      <c r="I2701" t="str">
        <f t="shared" si="42"/>
        <v>I LOVE LONDON WALL ART [23537]</v>
      </c>
    </row>
    <row r="2702" spans="1:9" x14ac:dyDescent="0.3">
      <c r="A2702" s="1">
        <v>23538</v>
      </c>
      <c r="B2702" t="s">
        <v>3446</v>
      </c>
      <c r="C2702" s="1">
        <v>5.78</v>
      </c>
      <c r="D2702" s="1">
        <v>23</v>
      </c>
      <c r="E2702" s="2">
        <v>110.333333333333</v>
      </c>
      <c r="F2702" s="1">
        <v>3</v>
      </c>
      <c r="G2702" s="1">
        <v>1329.54</v>
      </c>
      <c r="H2702" s="1" t="s">
        <v>9</v>
      </c>
      <c r="I2702" t="str">
        <f t="shared" si="42"/>
        <v>WALL ART VINTAGE HEART [23538]</v>
      </c>
    </row>
    <row r="2703" spans="1:9" x14ac:dyDescent="0.3">
      <c r="A2703" s="1">
        <v>23539</v>
      </c>
      <c r="B2703" t="s">
        <v>3445</v>
      </c>
      <c r="C2703" s="1">
        <v>5.9749999999999996</v>
      </c>
      <c r="D2703" s="1">
        <v>22</v>
      </c>
      <c r="E2703" s="1">
        <v>61.75</v>
      </c>
      <c r="F2703" s="1">
        <v>3</v>
      </c>
      <c r="G2703" s="1">
        <v>1227.95</v>
      </c>
      <c r="H2703" s="1" t="s">
        <v>9</v>
      </c>
      <c r="I2703" t="str">
        <f t="shared" si="42"/>
        <v>WALL ART , LOVES' SECRET [23539]</v>
      </c>
    </row>
    <row r="2704" spans="1:9" x14ac:dyDescent="0.3">
      <c r="A2704" s="1">
        <v>23540</v>
      </c>
      <c r="B2704" t="s">
        <v>3444</v>
      </c>
      <c r="C2704" s="1">
        <v>6.5449999999999999</v>
      </c>
      <c r="D2704" s="1">
        <v>5</v>
      </c>
      <c r="E2704" s="1">
        <v>37.5</v>
      </c>
      <c r="F2704" s="1">
        <v>3</v>
      </c>
      <c r="G2704" s="2">
        <v>947.06</v>
      </c>
      <c r="H2704" s="1" t="s">
        <v>8</v>
      </c>
      <c r="I2704" t="str">
        <f t="shared" si="42"/>
        <v>WALL ART , THE MAGIC FOREST [23540]</v>
      </c>
    </row>
    <row r="2705" spans="1:9" x14ac:dyDescent="0.3">
      <c r="A2705" s="1">
        <v>23541</v>
      </c>
      <c r="B2705" t="s">
        <v>3443</v>
      </c>
      <c r="C2705" s="1">
        <v>7.77</v>
      </c>
      <c r="D2705" s="1">
        <v>160.5</v>
      </c>
      <c r="E2705" s="1">
        <v>218</v>
      </c>
      <c r="F2705" s="1">
        <v>3</v>
      </c>
      <c r="G2705" s="1">
        <v>6823.91</v>
      </c>
      <c r="H2705" s="1" t="s">
        <v>10</v>
      </c>
      <c r="I2705" t="str">
        <f t="shared" si="42"/>
        <v>WALL ART ,PUDDINGS [23541]</v>
      </c>
    </row>
    <row r="2706" spans="1:9" x14ac:dyDescent="0.3">
      <c r="A2706" s="1">
        <v>23542</v>
      </c>
      <c r="B2706" t="s">
        <v>3442</v>
      </c>
      <c r="C2706" s="1">
        <v>7.74</v>
      </c>
      <c r="D2706" s="1">
        <v>138</v>
      </c>
      <c r="E2706" s="1">
        <v>101.2</v>
      </c>
      <c r="F2706" s="1">
        <v>3</v>
      </c>
      <c r="G2706" s="1">
        <v>3800.16</v>
      </c>
      <c r="H2706" s="1" t="s">
        <v>10</v>
      </c>
      <c r="I2706" t="str">
        <f t="shared" si="42"/>
        <v>70'S ALPHABET WALL ART [23542]</v>
      </c>
    </row>
    <row r="2707" spans="1:9" x14ac:dyDescent="0.3">
      <c r="A2707" s="1">
        <v>23543</v>
      </c>
      <c r="B2707" t="s">
        <v>3441</v>
      </c>
      <c r="C2707" s="1">
        <v>7.72</v>
      </c>
      <c r="D2707" s="1">
        <v>143</v>
      </c>
      <c r="E2707" s="1">
        <v>247.2</v>
      </c>
      <c r="F2707" s="1">
        <v>3</v>
      </c>
      <c r="G2707" s="1">
        <v>7010.76</v>
      </c>
      <c r="H2707" s="1" t="s">
        <v>10</v>
      </c>
      <c r="I2707" t="str">
        <f t="shared" si="42"/>
        <v>KEEP CALM WALL ART [23543]</v>
      </c>
    </row>
    <row r="2708" spans="1:9" x14ac:dyDescent="0.3">
      <c r="A2708" s="1">
        <v>23544</v>
      </c>
      <c r="B2708" t="s">
        <v>3440</v>
      </c>
      <c r="C2708" s="1">
        <v>6.53</v>
      </c>
      <c r="D2708" s="1">
        <v>13</v>
      </c>
      <c r="E2708" s="2">
        <v>54.6666666666666</v>
      </c>
      <c r="F2708" s="1">
        <v>3</v>
      </c>
      <c r="G2708" s="1">
        <v>1015.78</v>
      </c>
      <c r="H2708" s="1" t="s">
        <v>9</v>
      </c>
      <c r="I2708" t="str">
        <f t="shared" si="42"/>
        <v>WALL ART MID CENTURY MODERN [23544]</v>
      </c>
    </row>
    <row r="2709" spans="1:9" x14ac:dyDescent="0.3">
      <c r="A2709" s="1">
        <v>23545</v>
      </c>
      <c r="B2709" t="s">
        <v>3439</v>
      </c>
      <c r="C2709" s="1">
        <v>0.42</v>
      </c>
      <c r="D2709" s="1">
        <v>325</v>
      </c>
      <c r="E2709" s="2">
        <v>354.28571428571399</v>
      </c>
      <c r="F2709" s="1">
        <v>6</v>
      </c>
      <c r="G2709" s="1">
        <v>1025.5999999999999</v>
      </c>
      <c r="H2709" s="1" t="s">
        <v>10</v>
      </c>
      <c r="I2709" t="str">
        <f t="shared" si="42"/>
        <v>WRAP RED DOILEY [23545]</v>
      </c>
    </row>
    <row r="2710" spans="1:9" x14ac:dyDescent="0.3">
      <c r="A2710" s="1">
        <v>23546</v>
      </c>
      <c r="B2710" t="s">
        <v>3438</v>
      </c>
      <c r="C2710" s="1">
        <v>0.42</v>
      </c>
      <c r="D2710" s="1">
        <v>650</v>
      </c>
      <c r="E2710" s="2">
        <v>541.66666666666595</v>
      </c>
      <c r="F2710" s="1">
        <v>6</v>
      </c>
      <c r="G2710" s="1">
        <v>1365</v>
      </c>
      <c r="H2710" s="1" t="s">
        <v>10</v>
      </c>
      <c r="I2710" t="str">
        <f t="shared" si="42"/>
        <v>WRAP PAISLEY PARK [23546]</v>
      </c>
    </row>
    <row r="2711" spans="1:9" x14ac:dyDescent="0.3">
      <c r="A2711" s="1">
        <v>23547</v>
      </c>
      <c r="B2711" t="s">
        <v>3437</v>
      </c>
      <c r="C2711" s="1">
        <v>0.42</v>
      </c>
      <c r="D2711" s="1">
        <v>212.5</v>
      </c>
      <c r="E2711" s="1">
        <v>262.5</v>
      </c>
      <c r="F2711" s="1">
        <v>6</v>
      </c>
      <c r="G2711" s="1">
        <v>661.5</v>
      </c>
      <c r="H2711" s="1" t="s">
        <v>10</v>
      </c>
      <c r="I2711" t="str">
        <f t="shared" si="42"/>
        <v>WRAP FLOWER SHOP [23547]</v>
      </c>
    </row>
    <row r="2712" spans="1:9" x14ac:dyDescent="0.3">
      <c r="A2712" s="1">
        <v>23548</v>
      </c>
      <c r="B2712" t="s">
        <v>3436</v>
      </c>
      <c r="C2712" s="1">
        <v>0.42</v>
      </c>
      <c r="D2712" s="1">
        <v>187.5</v>
      </c>
      <c r="E2712" s="2">
        <v>179.166666666666</v>
      </c>
      <c r="F2712" s="1">
        <v>6</v>
      </c>
      <c r="G2712" s="1">
        <v>451.5</v>
      </c>
      <c r="H2712" s="1" t="s">
        <v>10</v>
      </c>
      <c r="I2712" t="str">
        <f t="shared" si="42"/>
        <v>WRAP MAGIC FOREST [23548]</v>
      </c>
    </row>
    <row r="2713" spans="1:9" x14ac:dyDescent="0.3">
      <c r="A2713" s="1">
        <v>23549</v>
      </c>
      <c r="B2713" t="s">
        <v>3435</v>
      </c>
      <c r="C2713" s="1">
        <v>0.42</v>
      </c>
      <c r="D2713" s="1">
        <v>215</v>
      </c>
      <c r="E2713" s="1">
        <v>217.5</v>
      </c>
      <c r="F2713" s="1">
        <v>6</v>
      </c>
      <c r="G2713" s="1">
        <v>548.1</v>
      </c>
      <c r="H2713" s="1" t="s">
        <v>10</v>
      </c>
      <c r="I2713" t="str">
        <f t="shared" si="42"/>
        <v>WRAP BIRD GARDEN [23549]</v>
      </c>
    </row>
    <row r="2714" spans="1:9" x14ac:dyDescent="0.3">
      <c r="A2714" s="1">
        <v>23550</v>
      </c>
      <c r="B2714" t="s">
        <v>3434</v>
      </c>
      <c r="C2714" s="1">
        <v>0.42</v>
      </c>
      <c r="D2714" s="1">
        <v>327.5</v>
      </c>
      <c r="E2714" s="2">
        <v>309.166666666666</v>
      </c>
      <c r="F2714" s="1">
        <v>6</v>
      </c>
      <c r="G2714" s="1">
        <v>763.1</v>
      </c>
      <c r="H2714" s="1" t="s">
        <v>10</v>
      </c>
      <c r="I2714" t="str">
        <f t="shared" si="42"/>
        <v>WRAP ALPHABET POSTER [23550]</v>
      </c>
    </row>
    <row r="2715" spans="1:9" x14ac:dyDescent="0.3">
      <c r="A2715" s="1">
        <v>23551</v>
      </c>
      <c r="B2715" t="s">
        <v>3433</v>
      </c>
      <c r="C2715" s="2">
        <v>0.42499999999999999</v>
      </c>
      <c r="D2715" s="1">
        <v>474.5</v>
      </c>
      <c r="E2715" s="1">
        <v>460</v>
      </c>
      <c r="F2715" s="1">
        <v>4</v>
      </c>
      <c r="G2715" s="1">
        <v>839.84</v>
      </c>
      <c r="H2715" s="1" t="s">
        <v>10</v>
      </c>
      <c r="I2715" t="str">
        <f t="shared" si="42"/>
        <v>PACK OF 12 PAISLEY PARK TISSUES [23551]</v>
      </c>
    </row>
    <row r="2716" spans="1:9" x14ac:dyDescent="0.3">
      <c r="A2716" s="1">
        <v>23552</v>
      </c>
      <c r="B2716" t="s">
        <v>3432</v>
      </c>
      <c r="C2716" s="1">
        <v>2.0750000000000002</v>
      </c>
      <c r="D2716" s="1">
        <v>931.5</v>
      </c>
      <c r="E2716" s="1">
        <v>931.5</v>
      </c>
      <c r="F2716" s="1">
        <v>2</v>
      </c>
      <c r="G2716" s="1">
        <v>3881.91</v>
      </c>
      <c r="H2716" s="1" t="s">
        <v>10</v>
      </c>
      <c r="I2716" t="str">
        <f t="shared" si="42"/>
        <v>BICYCLE PUNCTURE REPAIR KIT [23552]</v>
      </c>
    </row>
    <row r="2717" spans="1:9" x14ac:dyDescent="0.3">
      <c r="A2717" s="1">
        <v>23553</v>
      </c>
      <c r="B2717" t="s">
        <v>3431</v>
      </c>
      <c r="C2717" s="1">
        <v>11.24</v>
      </c>
      <c r="D2717" s="1">
        <v>140</v>
      </c>
      <c r="E2717" s="2">
        <v>189.333333333333</v>
      </c>
      <c r="F2717" s="1">
        <v>3</v>
      </c>
      <c r="G2717" s="2">
        <v>6444.65</v>
      </c>
      <c r="H2717" s="1" t="s">
        <v>10</v>
      </c>
      <c r="I2717" t="str">
        <f t="shared" si="42"/>
        <v>LANDMARK FRAME CAMDEN TOWN [23553]</v>
      </c>
    </row>
    <row r="2718" spans="1:9" x14ac:dyDescent="0.3">
      <c r="A2718" s="1">
        <v>23554</v>
      </c>
      <c r="B2718" t="s">
        <v>3430</v>
      </c>
      <c r="C2718" s="1">
        <v>12.71</v>
      </c>
      <c r="D2718" s="1">
        <v>38</v>
      </c>
      <c r="E2718" s="2">
        <v>140.666666666666</v>
      </c>
      <c r="F2718" s="1">
        <v>3</v>
      </c>
      <c r="G2718" s="2">
        <v>4805.53</v>
      </c>
      <c r="H2718" s="1" t="s">
        <v>9</v>
      </c>
      <c r="I2718" t="str">
        <f t="shared" si="42"/>
        <v>LANDMARK FRAME OXFORD STREET [23554]</v>
      </c>
    </row>
    <row r="2719" spans="1:9" x14ac:dyDescent="0.3">
      <c r="A2719" s="1">
        <v>23555</v>
      </c>
      <c r="B2719" t="s">
        <v>3429</v>
      </c>
      <c r="C2719" s="1">
        <v>12.71</v>
      </c>
      <c r="D2719" s="1">
        <v>37</v>
      </c>
      <c r="E2719" s="2">
        <v>140.333333333333</v>
      </c>
      <c r="F2719" s="1">
        <v>3</v>
      </c>
      <c r="G2719" s="2">
        <v>4780.57</v>
      </c>
      <c r="H2719" s="1" t="s">
        <v>9</v>
      </c>
      <c r="I2719" t="str">
        <f t="shared" si="42"/>
        <v>LANDMARK FRAME NOTTING HILL [23555]</v>
      </c>
    </row>
    <row r="2720" spans="1:9" x14ac:dyDescent="0.3">
      <c r="A2720" s="1">
        <v>23556</v>
      </c>
      <c r="B2720" t="s">
        <v>3428</v>
      </c>
      <c r="C2720" s="1">
        <v>12.39</v>
      </c>
      <c r="D2720" s="1">
        <v>44</v>
      </c>
      <c r="E2720" s="2">
        <v>145.333333333333</v>
      </c>
      <c r="F2720" s="1">
        <v>3</v>
      </c>
      <c r="G2720" s="1">
        <v>4937.01</v>
      </c>
      <c r="H2720" s="1" t="s">
        <v>9</v>
      </c>
      <c r="I2720" t="str">
        <f t="shared" si="42"/>
        <v>LANDMARK FRAME COVENT GARDEN [23556]</v>
      </c>
    </row>
    <row r="2721" spans="1:9" x14ac:dyDescent="0.3">
      <c r="A2721" s="1">
        <v>23557</v>
      </c>
      <c r="B2721" t="s">
        <v>3427</v>
      </c>
      <c r="C2721" s="1">
        <v>12.86</v>
      </c>
      <c r="D2721" s="1">
        <v>22</v>
      </c>
      <c r="E2721" s="2">
        <v>116.666666666666</v>
      </c>
      <c r="F2721" s="1">
        <v>3</v>
      </c>
      <c r="G2721" s="1">
        <v>3930.27</v>
      </c>
      <c r="H2721" s="1" t="s">
        <v>9</v>
      </c>
      <c r="I2721" t="str">
        <f t="shared" si="42"/>
        <v>LANDMARK FRAME BAKER STREET [23557]</v>
      </c>
    </row>
    <row r="2722" spans="1:9" x14ac:dyDescent="0.3">
      <c r="A2722" s="1">
        <v>23558</v>
      </c>
      <c r="B2722" t="s">
        <v>3426</v>
      </c>
      <c r="C2722" s="1">
        <v>13.12</v>
      </c>
      <c r="D2722" s="1">
        <v>40</v>
      </c>
      <c r="E2722" s="2">
        <v>138.333333333333</v>
      </c>
      <c r="F2722" s="1">
        <v>3</v>
      </c>
      <c r="G2722" s="1">
        <v>4703.87</v>
      </c>
      <c r="H2722" s="1" t="s">
        <v>9</v>
      </c>
      <c r="I2722" t="str">
        <f t="shared" si="42"/>
        <v>LANDMARK FRAME LONDON BRIDGE [23558]</v>
      </c>
    </row>
    <row r="2723" spans="1:9" x14ac:dyDescent="0.3">
      <c r="A2723" s="1">
        <v>23559</v>
      </c>
      <c r="B2723" t="s">
        <v>3425</v>
      </c>
      <c r="C2723" s="1">
        <v>2.395</v>
      </c>
      <c r="D2723" s="1">
        <v>159</v>
      </c>
      <c r="E2723" s="1">
        <v>162.25</v>
      </c>
      <c r="F2723" s="1">
        <v>4</v>
      </c>
      <c r="G2723" s="2">
        <v>1482.4099999999901</v>
      </c>
      <c r="H2723" s="1" t="s">
        <v>10</v>
      </c>
      <c r="I2723" t="str">
        <f t="shared" si="42"/>
        <v>WOODLAND BUNNIES LOLLY MAKERS [23559]</v>
      </c>
    </row>
    <row r="2724" spans="1:9" x14ac:dyDescent="0.3">
      <c r="A2724" s="1">
        <v>23560</v>
      </c>
      <c r="B2724" t="s">
        <v>3424</v>
      </c>
      <c r="C2724" s="2">
        <v>2.9349999999999898</v>
      </c>
      <c r="D2724" s="1">
        <v>86</v>
      </c>
      <c r="E2724" s="1">
        <v>86</v>
      </c>
      <c r="F2724" s="1">
        <v>2</v>
      </c>
      <c r="G2724" s="2">
        <v>499.17999999999898</v>
      </c>
      <c r="H2724" s="1" t="s">
        <v>10</v>
      </c>
      <c r="I2724" t="str">
        <f t="shared" si="42"/>
        <v>SET OF 6 RIBBONS COUNTRY STYLE [23560]</v>
      </c>
    </row>
    <row r="2725" spans="1:9" x14ac:dyDescent="0.3">
      <c r="A2725" s="1">
        <v>23561</v>
      </c>
      <c r="B2725" t="s">
        <v>3423</v>
      </c>
      <c r="C2725" s="1">
        <v>2.8250000000000002</v>
      </c>
      <c r="D2725" s="1">
        <v>85</v>
      </c>
      <c r="E2725" s="1">
        <v>85</v>
      </c>
      <c r="F2725" s="1">
        <v>2</v>
      </c>
      <c r="G2725" s="1">
        <v>476</v>
      </c>
      <c r="H2725" s="1" t="s">
        <v>10</v>
      </c>
      <c r="I2725" t="str">
        <f t="shared" si="42"/>
        <v>SET OF 6 RIBBONS PARTY [23561]</v>
      </c>
    </row>
    <row r="2726" spans="1:9" x14ac:dyDescent="0.3">
      <c r="A2726" s="1">
        <v>23562</v>
      </c>
      <c r="B2726" t="s">
        <v>3422</v>
      </c>
      <c r="C2726" s="1">
        <v>2.89</v>
      </c>
      <c r="D2726" s="1">
        <v>125.5</v>
      </c>
      <c r="E2726" s="1">
        <v>125.5</v>
      </c>
      <c r="F2726" s="1">
        <v>2</v>
      </c>
      <c r="G2726" s="1">
        <v>724.59</v>
      </c>
      <c r="H2726" s="1" t="s">
        <v>10</v>
      </c>
      <c r="I2726" t="str">
        <f t="shared" si="42"/>
        <v>SET OF 6 RIBBONS PERFECTLY PRETTY [23562]</v>
      </c>
    </row>
    <row r="2727" spans="1:9" x14ac:dyDescent="0.3">
      <c r="A2727" s="1">
        <v>23564</v>
      </c>
      <c r="B2727" t="s">
        <v>3421</v>
      </c>
      <c r="C2727" s="1">
        <v>1.38</v>
      </c>
      <c r="D2727" s="1">
        <v>220</v>
      </c>
      <c r="E2727" s="2">
        <v>214.666666666666</v>
      </c>
      <c r="F2727" s="1">
        <v>3</v>
      </c>
      <c r="G2727" s="1">
        <v>841.31</v>
      </c>
      <c r="H2727" s="1" t="s">
        <v>10</v>
      </c>
      <c r="I2727" t="str">
        <f t="shared" si="42"/>
        <v>EGG CUP MILKMAID INGRID [23564]</v>
      </c>
    </row>
    <row r="2728" spans="1:9" x14ac:dyDescent="0.3">
      <c r="A2728" s="1">
        <v>23565</v>
      </c>
      <c r="B2728" t="s">
        <v>3420</v>
      </c>
      <c r="C2728" s="1">
        <v>1.44</v>
      </c>
      <c r="D2728" s="1">
        <v>170</v>
      </c>
      <c r="E2728" s="2">
        <v>136.666666666666</v>
      </c>
      <c r="F2728" s="1">
        <v>3</v>
      </c>
      <c r="G2728" s="1">
        <v>586.30999999999995</v>
      </c>
      <c r="H2728" s="1" t="s">
        <v>10</v>
      </c>
      <c r="I2728" t="str">
        <f t="shared" si="42"/>
        <v>EGG CUP MILKMAID HELGA [23565]</v>
      </c>
    </row>
    <row r="2729" spans="1:9" x14ac:dyDescent="0.3">
      <c r="A2729" s="1">
        <v>23566</v>
      </c>
      <c r="B2729" t="s">
        <v>3419</v>
      </c>
      <c r="C2729" s="1">
        <v>1.28</v>
      </c>
      <c r="D2729" s="1">
        <v>322</v>
      </c>
      <c r="E2729" s="2">
        <v>293.666666666666</v>
      </c>
      <c r="F2729" s="1">
        <v>3</v>
      </c>
      <c r="G2729" s="1">
        <v>1156.93</v>
      </c>
      <c r="H2729" s="1" t="s">
        <v>10</v>
      </c>
      <c r="I2729" t="str">
        <f t="shared" si="42"/>
        <v>EGG CUP MILKMAID HEIDI [23566]</v>
      </c>
    </row>
    <row r="2730" spans="1:9" x14ac:dyDescent="0.3">
      <c r="A2730" s="1">
        <v>23567</v>
      </c>
      <c r="B2730" t="s">
        <v>3418</v>
      </c>
      <c r="C2730" s="1">
        <v>1.36</v>
      </c>
      <c r="D2730" s="1">
        <v>77</v>
      </c>
      <c r="E2730" s="2">
        <v>70.3333333333333</v>
      </c>
      <c r="F2730" s="1">
        <v>3</v>
      </c>
      <c r="G2730" s="1">
        <v>291.58</v>
      </c>
      <c r="H2730" s="1" t="s">
        <v>10</v>
      </c>
      <c r="I2730" t="str">
        <f t="shared" si="42"/>
        <v>EGG CUP HENRIETTA HEN PINK [23567]</v>
      </c>
    </row>
    <row r="2731" spans="1:9" x14ac:dyDescent="0.3">
      <c r="A2731" s="1">
        <v>23568</v>
      </c>
      <c r="B2731" t="s">
        <v>3417</v>
      </c>
      <c r="C2731" s="1">
        <v>1.19</v>
      </c>
      <c r="D2731" s="1">
        <v>219</v>
      </c>
      <c r="E2731" s="1">
        <v>210</v>
      </c>
      <c r="F2731" s="1">
        <v>3</v>
      </c>
      <c r="G2731" s="1">
        <v>787.52</v>
      </c>
      <c r="H2731" s="1" t="s">
        <v>10</v>
      </c>
      <c r="I2731" t="str">
        <f t="shared" si="42"/>
        <v>EGG CUP HENRIETTA HEN CREAM [23568]</v>
      </c>
    </row>
    <row r="2732" spans="1:9" x14ac:dyDescent="0.3">
      <c r="A2732" s="1">
        <v>23569</v>
      </c>
      <c r="B2732" t="s">
        <v>3416</v>
      </c>
      <c r="C2732" s="1">
        <v>4.99</v>
      </c>
      <c r="D2732" s="1">
        <v>258</v>
      </c>
      <c r="E2732" s="1">
        <v>318</v>
      </c>
      <c r="F2732" s="1">
        <v>3</v>
      </c>
      <c r="G2732" s="1">
        <v>4717.66</v>
      </c>
      <c r="H2732" s="1" t="s">
        <v>10</v>
      </c>
      <c r="I2732" t="str">
        <f t="shared" si="42"/>
        <v>TRADTIONAL ALPHABET STAMP SET [23569]</v>
      </c>
    </row>
    <row r="2733" spans="1:9" x14ac:dyDescent="0.3">
      <c r="A2733" s="1">
        <v>23570</v>
      </c>
      <c r="B2733" t="s">
        <v>3415</v>
      </c>
      <c r="C2733" s="1">
        <v>1.4</v>
      </c>
      <c r="D2733" s="1">
        <v>408</v>
      </c>
      <c r="E2733" s="1">
        <v>924</v>
      </c>
      <c r="F2733" s="1">
        <v>3</v>
      </c>
      <c r="G2733" s="1">
        <v>4931.87</v>
      </c>
      <c r="H2733" s="1" t="s">
        <v>10</v>
      </c>
      <c r="I2733" t="str">
        <f t="shared" si="42"/>
        <v>TRADITIONAL PICK UP STICKS GAME [23570]</v>
      </c>
    </row>
    <row r="2734" spans="1:9" x14ac:dyDescent="0.3">
      <c r="A2734" s="1">
        <v>23571</v>
      </c>
      <c r="B2734" t="s">
        <v>3414</v>
      </c>
      <c r="C2734" s="1">
        <v>1.79</v>
      </c>
      <c r="D2734" s="1">
        <v>364</v>
      </c>
      <c r="E2734" s="1">
        <v>947</v>
      </c>
      <c r="F2734" s="1">
        <v>3</v>
      </c>
      <c r="G2734" s="1">
        <v>6406.91</v>
      </c>
      <c r="H2734" s="1" t="s">
        <v>10</v>
      </c>
      <c r="I2734" t="str">
        <f t="shared" si="42"/>
        <v>TRADITIONAL NAUGHTS &amp; CROSSES [23571]</v>
      </c>
    </row>
    <row r="2735" spans="1:9" x14ac:dyDescent="0.3">
      <c r="A2735" s="1">
        <v>23574</v>
      </c>
      <c r="B2735" t="s">
        <v>3413</v>
      </c>
      <c r="C2735" s="1">
        <v>7.5</v>
      </c>
      <c r="D2735" s="1">
        <v>1</v>
      </c>
      <c r="E2735" s="2">
        <v>2.3333333333333299</v>
      </c>
      <c r="F2735" s="1">
        <v>6</v>
      </c>
      <c r="G2735" s="1">
        <v>105</v>
      </c>
      <c r="H2735" s="1" t="s">
        <v>8</v>
      </c>
      <c r="I2735" t="str">
        <f t="shared" si="42"/>
        <v>PACKING CHARGE [23574]</v>
      </c>
    </row>
    <row r="2736" spans="1:9" x14ac:dyDescent="0.3">
      <c r="A2736" s="1">
        <v>23575</v>
      </c>
      <c r="B2736" t="s">
        <v>3412</v>
      </c>
      <c r="C2736" s="1">
        <v>2.0449999999999999</v>
      </c>
      <c r="D2736" s="1">
        <v>89.5</v>
      </c>
      <c r="E2736" s="1">
        <v>89.5</v>
      </c>
      <c r="F2736" s="1">
        <v>2</v>
      </c>
      <c r="G2736" s="1">
        <v>367.35</v>
      </c>
      <c r="H2736" s="1" t="s">
        <v>10</v>
      </c>
      <c r="I2736" t="str">
        <f t="shared" si="42"/>
        <v>SNACK TRAY PAISLEY PARK [23575]</v>
      </c>
    </row>
    <row r="2737" spans="1:9" x14ac:dyDescent="0.3">
      <c r="A2737" s="1">
        <v>23576</v>
      </c>
      <c r="B2737" t="s">
        <v>3411</v>
      </c>
      <c r="C2737" s="1">
        <v>1.9950000000000001</v>
      </c>
      <c r="D2737" s="1">
        <v>99</v>
      </c>
      <c r="E2737" s="1">
        <v>99</v>
      </c>
      <c r="F2737" s="1">
        <v>2</v>
      </c>
      <c r="G2737" s="1">
        <v>400.04</v>
      </c>
      <c r="H2737" s="1" t="s">
        <v>10</v>
      </c>
      <c r="I2737" t="str">
        <f t="shared" si="42"/>
        <v>SNACK TRAY RED VINTAGE DOILY [23576]</v>
      </c>
    </row>
    <row r="2738" spans="1:9" x14ac:dyDescent="0.3">
      <c r="A2738" s="1">
        <v>23578</v>
      </c>
      <c r="B2738" t="s">
        <v>3410</v>
      </c>
      <c r="C2738" s="1">
        <v>2.085</v>
      </c>
      <c r="D2738" s="1">
        <v>30</v>
      </c>
      <c r="E2738" s="1">
        <v>30</v>
      </c>
      <c r="F2738" s="1">
        <v>2</v>
      </c>
      <c r="G2738" s="1">
        <v>125.72</v>
      </c>
      <c r="H2738" s="1" t="s">
        <v>9</v>
      </c>
      <c r="I2738" t="str">
        <f t="shared" si="42"/>
        <v>SNACK TRAY RED GINGHAM [23578]</v>
      </c>
    </row>
    <row r="2739" spans="1:9" x14ac:dyDescent="0.3">
      <c r="A2739" s="1">
        <v>23579</v>
      </c>
      <c r="B2739" t="s">
        <v>3409</v>
      </c>
      <c r="C2739" s="1">
        <v>2.08</v>
      </c>
      <c r="D2739" s="1">
        <v>24</v>
      </c>
      <c r="E2739" s="2">
        <v>56.3333333333333</v>
      </c>
      <c r="F2739" s="1">
        <v>3</v>
      </c>
      <c r="G2739" s="1">
        <v>358.75</v>
      </c>
      <c r="H2739" s="1" t="s">
        <v>9</v>
      </c>
      <c r="I2739" t="str">
        <f t="shared" si="42"/>
        <v>SNACK TRAY I LOVE LONDON [23579]</v>
      </c>
    </row>
    <row r="2740" spans="1:9" x14ac:dyDescent="0.3">
      <c r="A2740" s="1">
        <v>23580</v>
      </c>
      <c r="B2740" t="s">
        <v>3408</v>
      </c>
      <c r="C2740" s="1">
        <v>2.0299999999999998</v>
      </c>
      <c r="D2740" s="1">
        <v>58</v>
      </c>
      <c r="E2740" s="1">
        <v>58</v>
      </c>
      <c r="F2740" s="1">
        <v>2</v>
      </c>
      <c r="G2740" s="2">
        <v>234.92</v>
      </c>
      <c r="H2740" s="1" t="s">
        <v>9</v>
      </c>
      <c r="I2740" t="str">
        <f t="shared" si="42"/>
        <v>SNACK TRAY HAPPY FOREST [23580]</v>
      </c>
    </row>
    <row r="2741" spans="1:9" x14ac:dyDescent="0.3">
      <c r="A2741" s="1">
        <v>23581</v>
      </c>
      <c r="B2741" t="s">
        <v>3407</v>
      </c>
      <c r="C2741" s="1">
        <v>2.02</v>
      </c>
      <c r="D2741" s="1">
        <v>1172</v>
      </c>
      <c r="E2741" s="2">
        <v>1673.3333333333301</v>
      </c>
      <c r="F2741" s="1">
        <v>3</v>
      </c>
      <c r="G2741" s="1">
        <v>11581.83</v>
      </c>
      <c r="H2741" s="1" t="s">
        <v>10</v>
      </c>
      <c r="I2741" t="str">
        <f t="shared" si="42"/>
        <v>JUMBO BAG PAISLEY PARK [23581]</v>
      </c>
    </row>
    <row r="2742" spans="1:9" x14ac:dyDescent="0.3">
      <c r="A2742" s="1">
        <v>23582</v>
      </c>
      <c r="B2742" t="s">
        <v>3406</v>
      </c>
      <c r="C2742" s="1">
        <v>1.94</v>
      </c>
      <c r="D2742" s="1">
        <v>2099</v>
      </c>
      <c r="E2742" s="2">
        <v>1600.6666666666599</v>
      </c>
      <c r="F2742" s="1">
        <v>3</v>
      </c>
      <c r="G2742" s="1">
        <v>10206.41</v>
      </c>
      <c r="H2742" s="1" t="s">
        <v>10</v>
      </c>
      <c r="I2742" t="str">
        <f t="shared" si="42"/>
        <v>VINTAGE DOILY JUMBO BAG RED [23582]</v>
      </c>
    </row>
    <row r="2743" spans="1:9" x14ac:dyDescent="0.3">
      <c r="A2743" s="1">
        <v>23583</v>
      </c>
      <c r="B2743" t="s">
        <v>3405</v>
      </c>
      <c r="C2743" s="1">
        <v>1.62</v>
      </c>
      <c r="D2743" s="1">
        <v>681</v>
      </c>
      <c r="E2743" s="2">
        <v>1128.3333333333301</v>
      </c>
      <c r="F2743" s="1">
        <v>3</v>
      </c>
      <c r="G2743" s="1">
        <v>5497.33</v>
      </c>
      <c r="H2743" s="1" t="s">
        <v>10</v>
      </c>
      <c r="I2743" t="str">
        <f t="shared" si="42"/>
        <v>LUNCH BAG PAISLEY PARK [23583]</v>
      </c>
    </row>
    <row r="2744" spans="1:9" x14ac:dyDescent="0.3">
      <c r="A2744" s="1">
        <v>23597</v>
      </c>
      <c r="B2744" t="s">
        <v>3404</v>
      </c>
      <c r="C2744" s="1">
        <v>2.74</v>
      </c>
      <c r="D2744" s="1">
        <v>124.5</v>
      </c>
      <c r="E2744" s="1">
        <v>124.5</v>
      </c>
      <c r="F2744" s="1">
        <v>2</v>
      </c>
      <c r="G2744" s="2">
        <v>679.06999999999903</v>
      </c>
      <c r="H2744" s="1" t="s">
        <v>10</v>
      </c>
      <c r="I2744" t="str">
        <f t="shared" si="42"/>
        <v>PAPER BUNTING PAISLEY PARK [23597]</v>
      </c>
    </row>
    <row r="2745" spans="1:9" x14ac:dyDescent="0.3">
      <c r="A2745" s="1">
        <v>23598</v>
      </c>
      <c r="B2745" t="s">
        <v>3403</v>
      </c>
      <c r="C2745" s="2">
        <v>2.84499999999999</v>
      </c>
      <c r="D2745" s="1">
        <v>213.5</v>
      </c>
      <c r="E2745" s="1">
        <v>213.5</v>
      </c>
      <c r="F2745" s="1">
        <v>2</v>
      </c>
      <c r="G2745" s="1">
        <v>1215.53</v>
      </c>
      <c r="H2745" s="1" t="s">
        <v>10</v>
      </c>
      <c r="I2745" t="str">
        <f t="shared" si="42"/>
        <v>PAPER BUNTING VINTAGE PARTY [23598]</v>
      </c>
    </row>
    <row r="2746" spans="1:9" x14ac:dyDescent="0.3">
      <c r="A2746" s="1">
        <v>23601</v>
      </c>
      <c r="B2746" t="s">
        <v>3402</v>
      </c>
      <c r="C2746" s="1">
        <v>2.4900000000000002</v>
      </c>
      <c r="D2746" s="1">
        <v>4</v>
      </c>
      <c r="E2746" s="1">
        <v>4</v>
      </c>
      <c r="F2746" s="1">
        <v>2</v>
      </c>
      <c r="G2746" s="1">
        <v>19.920000000000002</v>
      </c>
      <c r="H2746" s="1" t="s">
        <v>8</v>
      </c>
      <c r="I2746" t="str">
        <f t="shared" si="42"/>
        <v>SET 10 CARDS SNOWY SNOWDROPS  17100 [23601]</v>
      </c>
    </row>
    <row r="2747" spans="1:9" x14ac:dyDescent="0.3">
      <c r="A2747" s="1">
        <v>23602</v>
      </c>
      <c r="B2747" t="s">
        <v>3401</v>
      </c>
      <c r="C2747" s="1">
        <v>2.91</v>
      </c>
      <c r="D2747" s="1">
        <v>1</v>
      </c>
      <c r="E2747" s="1">
        <v>1</v>
      </c>
      <c r="F2747" s="1">
        <v>1</v>
      </c>
      <c r="G2747" s="1">
        <v>2.91</v>
      </c>
      <c r="H2747" s="1" t="s">
        <v>8</v>
      </c>
      <c r="I2747" t="str">
        <f t="shared" si="42"/>
        <v>SET 10 CARDS 3 WISE MEN 17107 [23602]</v>
      </c>
    </row>
    <row r="2748" spans="1:9" x14ac:dyDescent="0.3">
      <c r="A2748" s="1">
        <v>23603</v>
      </c>
      <c r="B2748" t="s">
        <v>3400</v>
      </c>
      <c r="C2748" s="1">
        <v>2.4900000000000002</v>
      </c>
      <c r="D2748" s="1">
        <v>7</v>
      </c>
      <c r="E2748" s="2">
        <v>6.6666666666666599</v>
      </c>
      <c r="F2748" s="1">
        <v>3</v>
      </c>
      <c r="G2748" s="1">
        <v>49.8</v>
      </c>
      <c r="H2748" s="1" t="s">
        <v>8</v>
      </c>
      <c r="I2748" t="str">
        <f t="shared" si="42"/>
        <v>SET 10 CARD KRAFT REINDEER 17084 [23603]</v>
      </c>
    </row>
    <row r="2749" spans="1:9" x14ac:dyDescent="0.3">
      <c r="A2749" s="1">
        <v>23604</v>
      </c>
      <c r="B2749" t="s">
        <v>3399</v>
      </c>
      <c r="C2749" s="1">
        <v>1.66</v>
      </c>
      <c r="D2749" s="1">
        <v>4</v>
      </c>
      <c r="E2749" s="1">
        <v>4</v>
      </c>
      <c r="F2749" s="1">
        <v>1</v>
      </c>
      <c r="G2749" s="1">
        <v>6.64</v>
      </c>
      <c r="H2749" s="1" t="s">
        <v>8</v>
      </c>
      <c r="I2749" t="str">
        <f t="shared" si="42"/>
        <v>SET 10 MINI SANTA &amp; SNOWMAN  17087 [23604]</v>
      </c>
    </row>
    <row r="2750" spans="1:9" x14ac:dyDescent="0.3">
      <c r="A2750" s="1">
        <v>23605</v>
      </c>
      <c r="B2750" t="s">
        <v>3398</v>
      </c>
      <c r="C2750" s="1">
        <v>2.91</v>
      </c>
      <c r="D2750" s="1">
        <v>4</v>
      </c>
      <c r="E2750" s="1">
        <v>4</v>
      </c>
      <c r="F2750" s="1">
        <v>1</v>
      </c>
      <c r="G2750" s="1">
        <v>11.64</v>
      </c>
      <c r="H2750" s="1" t="s">
        <v>8</v>
      </c>
      <c r="I2750" t="str">
        <f t="shared" si="42"/>
        <v>SET 10 CARDS 12 DAYS OF XMAS 17059 [23605]</v>
      </c>
    </row>
    <row r="2751" spans="1:9" x14ac:dyDescent="0.3">
      <c r="A2751" s="1">
        <v>23607</v>
      </c>
      <c r="B2751" t="s">
        <v>3397</v>
      </c>
      <c r="C2751" s="1">
        <v>1.66</v>
      </c>
      <c r="D2751" s="1">
        <v>3</v>
      </c>
      <c r="E2751" s="2">
        <v>2.6666666666666599</v>
      </c>
      <c r="F2751" s="1">
        <v>3</v>
      </c>
      <c r="G2751" s="1">
        <v>13.28</v>
      </c>
      <c r="H2751" s="1" t="s">
        <v>8</v>
      </c>
      <c r="I2751" t="str">
        <f t="shared" si="42"/>
        <v>SET 10 CARDS HATS &amp; STOCKINGS 17081 [23607]</v>
      </c>
    </row>
    <row r="2752" spans="1:9" x14ac:dyDescent="0.3">
      <c r="A2752" s="1">
        <v>23608</v>
      </c>
      <c r="B2752" t="s">
        <v>3396</v>
      </c>
      <c r="C2752" s="1">
        <v>2.91</v>
      </c>
      <c r="D2752" s="1">
        <v>2</v>
      </c>
      <c r="E2752" s="1">
        <v>2</v>
      </c>
      <c r="F2752" s="1">
        <v>2</v>
      </c>
      <c r="G2752" s="1">
        <v>11.64</v>
      </c>
      <c r="H2752" s="1" t="s">
        <v>8</v>
      </c>
      <c r="I2752" t="str">
        <f t="shared" si="42"/>
        <v>SET 10 CARDS RUDOLPHS NOSE 17097 [23608]</v>
      </c>
    </row>
    <row r="2753" spans="1:9" x14ac:dyDescent="0.3">
      <c r="A2753" s="1">
        <v>23609</v>
      </c>
      <c r="B2753" t="s">
        <v>3395</v>
      </c>
      <c r="C2753" s="1">
        <v>2.91</v>
      </c>
      <c r="D2753" s="1">
        <v>1</v>
      </c>
      <c r="E2753" s="1">
        <v>1</v>
      </c>
      <c r="F2753" s="1">
        <v>1</v>
      </c>
      <c r="G2753" s="1">
        <v>2.91</v>
      </c>
      <c r="H2753" s="1" t="s">
        <v>8</v>
      </c>
      <c r="I2753" t="str">
        <f t="shared" si="42"/>
        <v>SET 10 CARDS SNOWY ROBIN 17099 [23609]</v>
      </c>
    </row>
    <row r="2754" spans="1:9" x14ac:dyDescent="0.3">
      <c r="A2754" s="1">
        <v>23610</v>
      </c>
      <c r="B2754" t="s">
        <v>3394</v>
      </c>
      <c r="C2754" s="1">
        <v>2.08</v>
      </c>
      <c r="D2754" s="1">
        <v>1.5</v>
      </c>
      <c r="E2754" s="1">
        <v>1.5</v>
      </c>
      <c r="F2754" s="1">
        <v>2</v>
      </c>
      <c r="G2754" s="1">
        <v>6.24</v>
      </c>
      <c r="H2754" s="1" t="s">
        <v>8</v>
      </c>
      <c r="I2754" t="str">
        <f t="shared" si="42"/>
        <v>SET 10 CARDS CHRISTMAS ROBIN 17095 [23610]</v>
      </c>
    </row>
    <row r="2755" spans="1:9" x14ac:dyDescent="0.3">
      <c r="A2755" s="1">
        <v>23611</v>
      </c>
      <c r="B2755" t="s">
        <v>3393</v>
      </c>
      <c r="C2755" s="1">
        <v>2.4900000000000002</v>
      </c>
      <c r="D2755" s="1">
        <v>7.5</v>
      </c>
      <c r="E2755" s="1">
        <v>10</v>
      </c>
      <c r="F2755" s="1">
        <v>4</v>
      </c>
      <c r="G2755" s="1">
        <v>99.6</v>
      </c>
      <c r="H2755" s="1" t="s">
        <v>8</v>
      </c>
      <c r="I2755" t="str">
        <f t="shared" ref="I2755:I2818" si="43">B2755&amp;" ["&amp;A2755&amp;"]"</f>
        <v>SET 10 CARDS RED RIDING HOOD 17214 [23611]</v>
      </c>
    </row>
    <row r="2756" spans="1:9" x14ac:dyDescent="0.3">
      <c r="A2756" s="1">
        <v>23612</v>
      </c>
      <c r="B2756" t="s">
        <v>3392</v>
      </c>
      <c r="C2756" s="1">
        <v>1.66</v>
      </c>
      <c r="D2756" s="1">
        <v>2.5</v>
      </c>
      <c r="E2756" s="1">
        <v>2.5</v>
      </c>
      <c r="F2756" s="1">
        <v>2</v>
      </c>
      <c r="G2756" s="2">
        <v>8.2999999999999901</v>
      </c>
      <c r="H2756" s="1" t="s">
        <v>8</v>
      </c>
      <c r="I2756" t="str">
        <f t="shared" si="43"/>
        <v>SET 10 MINICARDS CUTE SNOWMAN 17071 [23612]</v>
      </c>
    </row>
    <row r="2757" spans="1:9" x14ac:dyDescent="0.3">
      <c r="A2757" s="1">
        <v>23613</v>
      </c>
      <c r="B2757" t="s">
        <v>3391</v>
      </c>
      <c r="C2757" s="1">
        <v>2.4900000000000002</v>
      </c>
      <c r="D2757" s="1">
        <v>5.5</v>
      </c>
      <c r="E2757" s="1">
        <v>5.5</v>
      </c>
      <c r="F2757" s="1">
        <v>2</v>
      </c>
      <c r="G2757" s="1">
        <v>27.39</v>
      </c>
      <c r="H2757" s="1" t="s">
        <v>8</v>
      </c>
      <c r="I2757" t="str">
        <f t="shared" si="43"/>
        <v>SET 10 XMAS CARDS &amp; BADGES 17070 [23613]</v>
      </c>
    </row>
    <row r="2758" spans="1:9" x14ac:dyDescent="0.3">
      <c r="A2758" s="1">
        <v>23614</v>
      </c>
      <c r="B2758" t="s">
        <v>3390</v>
      </c>
      <c r="C2758" s="1">
        <v>3.33</v>
      </c>
      <c r="D2758" s="1">
        <v>5.5</v>
      </c>
      <c r="E2758" s="1">
        <v>6.5</v>
      </c>
      <c r="F2758" s="1">
        <v>4</v>
      </c>
      <c r="G2758" s="1">
        <v>86.58</v>
      </c>
      <c r="H2758" s="1" t="s">
        <v>8</v>
      </c>
      <c r="I2758" t="str">
        <f t="shared" si="43"/>
        <v>SET 10 CARDS 12 DAYS WRAP  17058 [23614]</v>
      </c>
    </row>
    <row r="2759" spans="1:9" x14ac:dyDescent="0.3">
      <c r="A2759" s="1">
        <v>23615</v>
      </c>
      <c r="B2759" t="s">
        <v>3389</v>
      </c>
      <c r="C2759" s="1">
        <v>2.4900000000000002</v>
      </c>
      <c r="D2759" s="1">
        <v>1</v>
      </c>
      <c r="E2759" s="2">
        <v>1.3333333333333299</v>
      </c>
      <c r="F2759" s="1">
        <v>3</v>
      </c>
      <c r="G2759" s="1">
        <v>9.9600000000000009</v>
      </c>
      <c r="H2759" s="1" t="s">
        <v>8</v>
      </c>
      <c r="I2759" t="str">
        <f t="shared" si="43"/>
        <v>SET 10 CARDS PRINTED GRAPHIC 17219 [23615]</v>
      </c>
    </row>
    <row r="2760" spans="1:9" x14ac:dyDescent="0.3">
      <c r="A2760" s="1">
        <v>23616</v>
      </c>
      <c r="B2760" t="s">
        <v>3388</v>
      </c>
      <c r="C2760" s="1">
        <v>2.4900000000000002</v>
      </c>
      <c r="D2760" s="1">
        <v>4</v>
      </c>
      <c r="E2760" s="1">
        <v>4</v>
      </c>
      <c r="F2760" s="1">
        <v>2</v>
      </c>
      <c r="G2760" s="2">
        <v>19.919999999999899</v>
      </c>
      <c r="H2760" s="1" t="s">
        <v>8</v>
      </c>
      <c r="I2760" t="str">
        <f t="shared" si="43"/>
        <v>SET 10 CARDS JINGLE BELLS 17217 [23616]</v>
      </c>
    </row>
    <row r="2761" spans="1:9" x14ac:dyDescent="0.3">
      <c r="A2761" s="1">
        <v>23617</v>
      </c>
      <c r="B2761" t="s">
        <v>3387</v>
      </c>
      <c r="C2761" s="1">
        <v>2.91</v>
      </c>
      <c r="D2761" s="1">
        <v>2</v>
      </c>
      <c r="E2761" s="1">
        <v>2</v>
      </c>
      <c r="F2761" s="1">
        <v>1</v>
      </c>
      <c r="G2761" s="1">
        <v>5.82</v>
      </c>
      <c r="H2761" s="1" t="s">
        <v>8</v>
      </c>
      <c r="I2761" t="str">
        <f t="shared" si="43"/>
        <v>SET 10 CARDS SWIRLY XMAS TREE 17104 [23617]</v>
      </c>
    </row>
    <row r="2762" spans="1:9" x14ac:dyDescent="0.3">
      <c r="A2762" s="1">
        <v>23619</v>
      </c>
      <c r="B2762" t="s">
        <v>3386</v>
      </c>
      <c r="C2762" s="1">
        <v>2.4900000000000002</v>
      </c>
      <c r="D2762" s="1">
        <v>2</v>
      </c>
      <c r="E2762" s="1">
        <v>2</v>
      </c>
      <c r="F2762" s="1">
        <v>2</v>
      </c>
      <c r="G2762" s="1">
        <v>9.9600000000000009</v>
      </c>
      <c r="H2762" s="1" t="s">
        <v>8</v>
      </c>
      <c r="I2762" t="str">
        <f t="shared" si="43"/>
        <v>SET 10 CARDS POINSETTIA 17093 [23619]</v>
      </c>
    </row>
    <row r="2763" spans="1:9" x14ac:dyDescent="0.3">
      <c r="A2763" s="1">
        <v>23620</v>
      </c>
      <c r="B2763" t="s">
        <v>3385</v>
      </c>
      <c r="C2763" s="1">
        <v>2.4900000000000002</v>
      </c>
      <c r="D2763" s="1">
        <v>2</v>
      </c>
      <c r="E2763" s="2">
        <v>3.3333333333333299</v>
      </c>
      <c r="F2763" s="1">
        <v>3</v>
      </c>
      <c r="G2763" s="1">
        <v>24.9</v>
      </c>
      <c r="H2763" s="1" t="s">
        <v>8</v>
      </c>
      <c r="I2763" t="str">
        <f t="shared" si="43"/>
        <v>SET 10 CARDS PERFECT POST 17090 [23620]</v>
      </c>
    </row>
    <row r="2764" spans="1:9" x14ac:dyDescent="0.3">
      <c r="A2764" s="1">
        <v>23621</v>
      </c>
      <c r="B2764" t="s">
        <v>3384</v>
      </c>
      <c r="C2764" s="1">
        <v>2.4900000000000002</v>
      </c>
      <c r="D2764" s="1">
        <v>3</v>
      </c>
      <c r="E2764" s="1">
        <v>3</v>
      </c>
      <c r="F2764" s="1">
        <v>2</v>
      </c>
      <c r="G2764" s="2">
        <v>14.94</v>
      </c>
      <c r="H2764" s="1" t="s">
        <v>8</v>
      </c>
      <c r="I2764" t="str">
        <f t="shared" si="43"/>
        <v>SET 10 CARDS DAVID'S MADONNA 17074 [23621]</v>
      </c>
    </row>
    <row r="2765" spans="1:9" x14ac:dyDescent="0.3">
      <c r="A2765" s="1">
        <v>23623</v>
      </c>
      <c r="B2765" t="s">
        <v>3383</v>
      </c>
      <c r="C2765" s="1">
        <v>2.91</v>
      </c>
      <c r="D2765" s="1">
        <v>2</v>
      </c>
      <c r="E2765" s="2">
        <v>2.6666666666666599</v>
      </c>
      <c r="F2765" s="1">
        <v>3</v>
      </c>
      <c r="G2765" s="1">
        <v>23.28</v>
      </c>
      <c r="H2765" s="1" t="s">
        <v>8</v>
      </c>
      <c r="I2765" t="str">
        <f t="shared" si="43"/>
        <v>SET 10 CARD CHRISTMAS WELCOME 17112 [23623]</v>
      </c>
    </row>
    <row r="2766" spans="1:9" x14ac:dyDescent="0.3">
      <c r="A2766" s="1">
        <v>23624</v>
      </c>
      <c r="B2766" t="s">
        <v>3382</v>
      </c>
      <c r="C2766" s="1">
        <v>2.4900000000000002</v>
      </c>
      <c r="D2766" s="1">
        <v>1</v>
      </c>
      <c r="E2766" s="2">
        <v>1.3333333333333299</v>
      </c>
      <c r="F2766" s="1">
        <v>3</v>
      </c>
      <c r="G2766" s="1">
        <v>9.9600000000000009</v>
      </c>
      <c r="H2766" s="1" t="s">
        <v>8</v>
      </c>
      <c r="I2766" t="str">
        <f t="shared" si="43"/>
        <v>SET 10 CARD PERFECT NATIVITY 17089 [23624]</v>
      </c>
    </row>
    <row r="2767" spans="1:9" x14ac:dyDescent="0.3">
      <c r="A2767" s="1">
        <v>23625</v>
      </c>
      <c r="B2767" t="s">
        <v>3381</v>
      </c>
      <c r="C2767" s="1">
        <v>4.99</v>
      </c>
      <c r="D2767" s="1">
        <v>1.5</v>
      </c>
      <c r="E2767" s="1">
        <v>2.25</v>
      </c>
      <c r="F2767" s="1">
        <v>4</v>
      </c>
      <c r="G2767" s="1">
        <v>44.91</v>
      </c>
      <c r="H2767" s="1" t="s">
        <v>8</v>
      </c>
      <c r="I2767" t="str">
        <f t="shared" si="43"/>
        <v>SET 6 CARDS SPARKLY REINDEER 17262 [23625]</v>
      </c>
    </row>
    <row r="2768" spans="1:9" x14ac:dyDescent="0.3">
      <c r="A2768" s="1">
        <v>23626</v>
      </c>
      <c r="B2768" t="s">
        <v>3380</v>
      </c>
      <c r="C2768" s="1">
        <v>2.4900000000000002</v>
      </c>
      <c r="D2768" s="1">
        <v>8</v>
      </c>
      <c r="E2768" s="2">
        <v>14.3333333333333</v>
      </c>
      <c r="F2768" s="1">
        <v>3</v>
      </c>
      <c r="G2768" s="2">
        <v>107.07</v>
      </c>
      <c r="H2768" s="1" t="s">
        <v>8</v>
      </c>
      <c r="I2768" t="str">
        <f t="shared" si="43"/>
        <v>SET 10 CARDS DINKY TREE 17076 [23626]</v>
      </c>
    </row>
    <row r="2769" spans="1:9" x14ac:dyDescent="0.3">
      <c r="A2769" s="1">
        <v>23627</v>
      </c>
      <c r="B2769" t="s">
        <v>3379</v>
      </c>
      <c r="C2769" s="1">
        <v>2.4900000000000002</v>
      </c>
      <c r="D2769" s="1">
        <v>7</v>
      </c>
      <c r="E2769" s="1">
        <v>7</v>
      </c>
      <c r="F2769" s="1">
        <v>1</v>
      </c>
      <c r="G2769" s="1">
        <v>17.43</v>
      </c>
      <c r="H2769" s="1" t="s">
        <v>8</v>
      </c>
      <c r="I2769" t="str">
        <f t="shared" si="43"/>
        <v>SET 10 CARDS XMAS GRAPHIC  17218 [23627]</v>
      </c>
    </row>
    <row r="2770" spans="1:9" x14ac:dyDescent="0.3">
      <c r="A2770" s="1">
        <v>23628</v>
      </c>
      <c r="B2770" t="s">
        <v>3378</v>
      </c>
      <c r="C2770" s="1">
        <v>2.91</v>
      </c>
      <c r="D2770" s="1">
        <v>1</v>
      </c>
      <c r="E2770" s="1">
        <v>1</v>
      </c>
      <c r="F2770" s="1">
        <v>1</v>
      </c>
      <c r="G2770" s="1">
        <v>2.91</v>
      </c>
      <c r="H2770" s="1" t="s">
        <v>8</v>
      </c>
      <c r="I2770" t="str">
        <f t="shared" si="43"/>
        <v>SET 10 CARDS TRIANGLE ICONS  17220 [23628]</v>
      </c>
    </row>
    <row r="2771" spans="1:9" x14ac:dyDescent="0.3">
      <c r="A2771" s="1">
        <v>23629</v>
      </c>
      <c r="B2771" t="s">
        <v>3377</v>
      </c>
      <c r="C2771" s="1">
        <v>2.4900000000000002</v>
      </c>
      <c r="D2771" s="1">
        <v>9</v>
      </c>
      <c r="E2771" s="1">
        <v>8</v>
      </c>
      <c r="F2771" s="1">
        <v>3</v>
      </c>
      <c r="G2771" s="2">
        <v>59.76</v>
      </c>
      <c r="H2771" s="1" t="s">
        <v>8</v>
      </c>
      <c r="I2771" t="str">
        <f t="shared" si="43"/>
        <v>SET 10 CARDS DRESSING UP 17077 [23629]</v>
      </c>
    </row>
    <row r="2772" spans="1:9" x14ac:dyDescent="0.3">
      <c r="A2772" s="1">
        <v>23630</v>
      </c>
      <c r="B2772" t="s">
        <v>3376</v>
      </c>
      <c r="C2772" s="1">
        <v>2.74</v>
      </c>
      <c r="D2772" s="1">
        <v>1</v>
      </c>
      <c r="E2772" s="1">
        <v>1</v>
      </c>
      <c r="F2772" s="1">
        <v>2</v>
      </c>
      <c r="G2772" s="1">
        <v>5.48</v>
      </c>
      <c r="H2772" s="1" t="s">
        <v>8</v>
      </c>
      <c r="I2772" t="str">
        <f t="shared" si="43"/>
        <v>SET 10 CARDS HANGING BAUBLES 17080 [23630]</v>
      </c>
    </row>
    <row r="2773" spans="1:9" x14ac:dyDescent="0.3">
      <c r="A2773" s="1">
        <v>23632</v>
      </c>
      <c r="B2773" t="s">
        <v>3375</v>
      </c>
      <c r="C2773" s="1">
        <v>2.08</v>
      </c>
      <c r="D2773" s="1">
        <v>3</v>
      </c>
      <c r="E2773" s="1">
        <v>5</v>
      </c>
      <c r="F2773" s="1">
        <v>3</v>
      </c>
      <c r="G2773" s="1">
        <v>31.2</v>
      </c>
      <c r="H2773" s="1" t="s">
        <v>8</v>
      </c>
      <c r="I2773" t="str">
        <f t="shared" si="43"/>
        <v>SET 10 CARDS CHEERFUL ROBIN 17065 [23632]</v>
      </c>
    </row>
    <row r="2774" spans="1:9" x14ac:dyDescent="0.3">
      <c r="A2774" s="1">
        <v>23633</v>
      </c>
      <c r="B2774" t="s">
        <v>3374</v>
      </c>
      <c r="C2774" s="1">
        <v>2.4900000000000002</v>
      </c>
      <c r="D2774" s="1">
        <v>1.5</v>
      </c>
      <c r="E2774" s="1">
        <v>1.5</v>
      </c>
      <c r="F2774" s="1">
        <v>2</v>
      </c>
      <c r="G2774" s="2">
        <v>7.47</v>
      </c>
      <c r="H2774" s="1" t="s">
        <v>8</v>
      </c>
      <c r="I2774" t="str">
        <f t="shared" si="43"/>
        <v>SET 10 CARDS WORLD CHILDREN 17067 [23633]</v>
      </c>
    </row>
    <row r="2775" spans="1:9" x14ac:dyDescent="0.3">
      <c r="A2775" s="1">
        <v>23634</v>
      </c>
      <c r="B2775" t="s">
        <v>3373</v>
      </c>
      <c r="C2775" s="1">
        <v>2.91</v>
      </c>
      <c r="D2775" s="1">
        <v>1</v>
      </c>
      <c r="E2775" s="1">
        <v>1.25</v>
      </c>
      <c r="F2775" s="1">
        <v>4</v>
      </c>
      <c r="G2775" s="1">
        <v>14.55</v>
      </c>
      <c r="H2775" s="1" t="s">
        <v>8</v>
      </c>
      <c r="I2775" t="str">
        <f t="shared" si="43"/>
        <v>SET 10 CARDS XMAS CHOIR 17068 [23634]</v>
      </c>
    </row>
    <row r="2776" spans="1:9" x14ac:dyDescent="0.3">
      <c r="A2776" s="1">
        <v>23635</v>
      </c>
      <c r="B2776" t="s">
        <v>3372</v>
      </c>
      <c r="C2776" s="1">
        <v>4.16</v>
      </c>
      <c r="D2776" s="1">
        <v>1</v>
      </c>
      <c r="E2776" s="1">
        <v>1</v>
      </c>
      <c r="F2776" s="1">
        <v>3</v>
      </c>
      <c r="G2776" s="1">
        <v>12.48</v>
      </c>
      <c r="H2776" s="1" t="s">
        <v>8</v>
      </c>
      <c r="I2776" t="str">
        <f t="shared" si="43"/>
        <v>SET 10 CARDS CHRISTMAS HOLLY  17259 [23635]</v>
      </c>
    </row>
    <row r="2777" spans="1:9" x14ac:dyDescent="0.3">
      <c r="A2777" s="1">
        <v>23636</v>
      </c>
      <c r="B2777" t="s">
        <v>3371</v>
      </c>
      <c r="C2777" s="1">
        <v>2.91</v>
      </c>
      <c r="D2777" s="1">
        <v>2</v>
      </c>
      <c r="E2777" s="1">
        <v>3</v>
      </c>
      <c r="F2777" s="1">
        <v>3</v>
      </c>
      <c r="G2777" s="1">
        <v>26.19</v>
      </c>
      <c r="H2777" s="1" t="s">
        <v>8</v>
      </c>
      <c r="I2777" t="str">
        <f t="shared" si="43"/>
        <v>SET 10 CARDS WISHING TREE 17116 [23636]</v>
      </c>
    </row>
    <row r="2778" spans="1:9" x14ac:dyDescent="0.3">
      <c r="A2778" s="1">
        <v>23637</v>
      </c>
      <c r="B2778" t="s">
        <v>3370</v>
      </c>
      <c r="C2778" s="1">
        <v>2.4900000000000002</v>
      </c>
      <c r="D2778" s="1">
        <v>3</v>
      </c>
      <c r="E2778" s="1">
        <v>2.75</v>
      </c>
      <c r="F2778" s="1">
        <v>4</v>
      </c>
      <c r="G2778" s="1">
        <v>27.39</v>
      </c>
      <c r="H2778" s="1" t="s">
        <v>8</v>
      </c>
      <c r="I2778" t="str">
        <f t="shared" si="43"/>
        <v>SET 10 CARDS OUT OF ORDER 17216 [23637]</v>
      </c>
    </row>
    <row r="2779" spans="1:9" x14ac:dyDescent="0.3">
      <c r="A2779" s="1">
        <v>23638</v>
      </c>
      <c r="B2779" t="s">
        <v>3369</v>
      </c>
      <c r="C2779" s="1">
        <v>2.91</v>
      </c>
      <c r="D2779" s="1">
        <v>1</v>
      </c>
      <c r="E2779" s="1">
        <v>1</v>
      </c>
      <c r="F2779" s="1">
        <v>2</v>
      </c>
      <c r="G2779" s="1">
        <v>5.82</v>
      </c>
      <c r="H2779" s="1" t="s">
        <v>8</v>
      </c>
      <c r="I2779" t="str">
        <f t="shared" si="43"/>
        <v>SET 10 CARDS ROBIN WATERPUMP  17096 [23638]</v>
      </c>
    </row>
    <row r="2780" spans="1:9" x14ac:dyDescent="0.3">
      <c r="A2780" s="1">
        <v>23639</v>
      </c>
      <c r="B2780" t="s">
        <v>3368</v>
      </c>
      <c r="C2780" s="1">
        <v>3.33</v>
      </c>
      <c r="D2780" s="1">
        <v>1</v>
      </c>
      <c r="E2780" s="2">
        <v>1.3333333333333299</v>
      </c>
      <c r="F2780" s="1">
        <v>3</v>
      </c>
      <c r="G2780" s="1">
        <v>13.32</v>
      </c>
      <c r="H2780" s="1" t="s">
        <v>8</v>
      </c>
      <c r="I2780" t="str">
        <f t="shared" si="43"/>
        <v>SET 10 CARDS MAGICAL TREE 17086 [23639]</v>
      </c>
    </row>
    <row r="2781" spans="1:9" x14ac:dyDescent="0.3">
      <c r="A2781" s="1">
        <v>23640</v>
      </c>
      <c r="B2781" t="s">
        <v>3367</v>
      </c>
      <c r="C2781" s="1">
        <v>2.4900000000000002</v>
      </c>
      <c r="D2781" s="1">
        <v>2</v>
      </c>
      <c r="E2781" s="1">
        <v>3</v>
      </c>
      <c r="F2781" s="1">
        <v>3</v>
      </c>
      <c r="G2781" s="1">
        <v>22.41</v>
      </c>
      <c r="H2781" s="1" t="s">
        <v>8</v>
      </c>
      <c r="I2781" t="str">
        <f t="shared" si="43"/>
        <v>SET 10 CARDS SCOTTIE DOG 17211 [23640]</v>
      </c>
    </row>
    <row r="2782" spans="1:9" x14ac:dyDescent="0.3">
      <c r="A2782" s="1">
        <v>23643</v>
      </c>
      <c r="B2782" t="s">
        <v>3366</v>
      </c>
      <c r="C2782" s="1">
        <v>3.33</v>
      </c>
      <c r="D2782" s="1">
        <v>1</v>
      </c>
      <c r="E2782" s="1">
        <v>1</v>
      </c>
      <c r="F2782" s="1">
        <v>1</v>
      </c>
      <c r="G2782" s="1">
        <v>3.33</v>
      </c>
      <c r="H2782" s="1" t="s">
        <v>8</v>
      </c>
      <c r="I2782" t="str">
        <f t="shared" si="43"/>
        <v>SET 10 CARDS CHRISTMAS BAUBLE 16954 [23643]</v>
      </c>
    </row>
    <row r="2783" spans="1:9" x14ac:dyDescent="0.3">
      <c r="A2783" s="1">
        <v>23644</v>
      </c>
      <c r="B2783" t="s">
        <v>3365</v>
      </c>
      <c r="C2783" s="1">
        <v>3.33</v>
      </c>
      <c r="D2783" s="1">
        <v>1</v>
      </c>
      <c r="E2783" s="1">
        <v>1.25</v>
      </c>
      <c r="F2783" s="1">
        <v>4</v>
      </c>
      <c r="G2783" s="1">
        <v>16.649999999999999</v>
      </c>
      <c r="H2783" s="1" t="s">
        <v>8</v>
      </c>
      <c r="I2783" t="str">
        <f t="shared" si="43"/>
        <v>SET 10 CARDS CHRISTMAS TREE 16955 [23644]</v>
      </c>
    </row>
    <row r="2784" spans="1:9" x14ac:dyDescent="0.3">
      <c r="A2784" s="1">
        <v>23645</v>
      </c>
      <c r="B2784" t="s">
        <v>3364</v>
      </c>
      <c r="C2784" s="1">
        <v>2.4900000000000002</v>
      </c>
      <c r="D2784" s="1">
        <v>2</v>
      </c>
      <c r="E2784" s="1">
        <v>3</v>
      </c>
      <c r="F2784" s="1">
        <v>3</v>
      </c>
      <c r="G2784" s="1">
        <v>22.41</v>
      </c>
      <c r="H2784" s="1" t="s">
        <v>8</v>
      </c>
      <c r="I2784" t="str">
        <f t="shared" si="43"/>
        <v>SET 10 CHRISTMAS CARDS HOHOHO 16956 [23645]</v>
      </c>
    </row>
    <row r="2785" spans="1:9" x14ac:dyDescent="0.3">
      <c r="A2785" s="1">
        <v>23646</v>
      </c>
      <c r="B2785" t="s">
        <v>3363</v>
      </c>
      <c r="C2785" s="1">
        <v>2.4900000000000002</v>
      </c>
      <c r="D2785" s="1">
        <v>1</v>
      </c>
      <c r="E2785" s="2">
        <v>2.6666666666666599</v>
      </c>
      <c r="F2785" s="1">
        <v>3</v>
      </c>
      <c r="G2785" s="1">
        <v>19.920000000000002</v>
      </c>
      <c r="H2785" s="1" t="s">
        <v>8</v>
      </c>
      <c r="I2785" t="str">
        <f t="shared" si="43"/>
        <v>SET 10 CARDS JINGLE BELLS 16957 [23646]</v>
      </c>
    </row>
    <row r="2786" spans="1:9" x14ac:dyDescent="0.3">
      <c r="A2786" s="1">
        <v>23649</v>
      </c>
      <c r="B2786" t="s">
        <v>3362</v>
      </c>
      <c r="C2786" s="1">
        <v>2.4900000000000002</v>
      </c>
      <c r="D2786" s="1">
        <v>2</v>
      </c>
      <c r="E2786" s="1">
        <v>2</v>
      </c>
      <c r="F2786" s="1">
        <v>1</v>
      </c>
      <c r="G2786" s="1">
        <v>4.9800000000000004</v>
      </c>
      <c r="H2786" s="1" t="s">
        <v>8</v>
      </c>
      <c r="I2786" t="str">
        <f t="shared" si="43"/>
        <v>SET 10 CARDS DECK THE HALLS 16960 [23649]</v>
      </c>
    </row>
    <row r="2787" spans="1:9" x14ac:dyDescent="0.3">
      <c r="A2787" s="1">
        <v>23650</v>
      </c>
      <c r="B2787" t="s">
        <v>3361</v>
      </c>
      <c r="C2787" s="1">
        <v>2.4900000000000002</v>
      </c>
      <c r="D2787" s="1">
        <v>1</v>
      </c>
      <c r="E2787" s="2">
        <v>1.3333333333333299</v>
      </c>
      <c r="F2787" s="1">
        <v>3</v>
      </c>
      <c r="G2787" s="1">
        <v>9.9600000000000009</v>
      </c>
      <c r="H2787" s="1" t="s">
        <v>8</v>
      </c>
      <c r="I2787" t="str">
        <f t="shared" si="43"/>
        <v>SET 10 CARDS FILIGREE BAUBLE 16961 [23650]</v>
      </c>
    </row>
    <row r="2788" spans="1:9" x14ac:dyDescent="0.3">
      <c r="A2788" s="1">
        <v>23652</v>
      </c>
      <c r="B2788" t="s">
        <v>3360</v>
      </c>
      <c r="C2788" s="1">
        <v>2.91</v>
      </c>
      <c r="D2788" s="1">
        <v>2</v>
      </c>
      <c r="E2788" s="1">
        <v>2</v>
      </c>
      <c r="F2788" s="1">
        <v>1</v>
      </c>
      <c r="G2788" s="1">
        <v>5.82</v>
      </c>
      <c r="H2788" s="1" t="s">
        <v>8</v>
      </c>
      <c r="I2788" t="str">
        <f t="shared" si="43"/>
        <v>SET 10 CARD CHRISTMAS STAMPS 16963 [23652]</v>
      </c>
    </row>
    <row r="2789" spans="1:9" x14ac:dyDescent="0.3">
      <c r="A2789" s="1">
        <v>23654</v>
      </c>
      <c r="B2789" t="s">
        <v>3359</v>
      </c>
      <c r="C2789" s="1">
        <v>2.4900000000000002</v>
      </c>
      <c r="D2789" s="1">
        <v>2</v>
      </c>
      <c r="E2789" s="2">
        <v>1.6666666666666601</v>
      </c>
      <c r="F2789" s="1">
        <v>3</v>
      </c>
      <c r="G2789" s="2">
        <v>12.45</v>
      </c>
      <c r="H2789" s="1" t="s">
        <v>8</v>
      </c>
      <c r="I2789" t="str">
        <f t="shared" si="43"/>
        <v>SET 10 CARD SNOWMAN 16965 [23654]</v>
      </c>
    </row>
    <row r="2790" spans="1:9" x14ac:dyDescent="0.3">
      <c r="A2790" s="1">
        <v>23660</v>
      </c>
      <c r="B2790" t="s">
        <v>3358</v>
      </c>
      <c r="C2790" s="1">
        <v>1.75</v>
      </c>
      <c r="D2790" s="1">
        <v>113</v>
      </c>
      <c r="E2790" s="1">
        <v>102</v>
      </c>
      <c r="F2790" s="1">
        <v>3</v>
      </c>
      <c r="G2790" s="1">
        <v>534.66</v>
      </c>
      <c r="H2790" s="1" t="s">
        <v>10</v>
      </c>
      <c r="I2790" t="str">
        <f t="shared" si="43"/>
        <v>HENRIETTA HEN MUG [23660]</v>
      </c>
    </row>
    <row r="2791" spans="1:9" x14ac:dyDescent="0.3">
      <c r="A2791" s="1">
        <v>23661</v>
      </c>
      <c r="B2791" t="s">
        <v>3357</v>
      </c>
      <c r="C2791" s="1">
        <v>1.79</v>
      </c>
      <c r="D2791" s="1">
        <v>97</v>
      </c>
      <c r="E2791" s="1">
        <v>73</v>
      </c>
      <c r="F2791" s="1">
        <v>3</v>
      </c>
      <c r="G2791" s="1">
        <v>393.59</v>
      </c>
      <c r="H2791" s="1" t="s">
        <v>10</v>
      </c>
      <c r="I2791" t="str">
        <f t="shared" si="43"/>
        <v>MILK MAIDS MUG [23661]</v>
      </c>
    </row>
    <row r="2792" spans="1:9" x14ac:dyDescent="0.3">
      <c r="A2792" s="1">
        <v>23664</v>
      </c>
      <c r="B2792" t="s">
        <v>3356</v>
      </c>
      <c r="C2792" s="1">
        <v>1.65</v>
      </c>
      <c r="D2792" s="1">
        <v>1</v>
      </c>
      <c r="E2792" s="1">
        <v>1</v>
      </c>
      <c r="F2792" s="1">
        <v>1</v>
      </c>
      <c r="G2792" s="1">
        <v>1.65</v>
      </c>
      <c r="H2792" s="1" t="s">
        <v>8</v>
      </c>
      <c r="I2792" t="str">
        <f t="shared" si="43"/>
        <v>FLOWER SHOP DESIGN MUG [23664]</v>
      </c>
    </row>
    <row r="2793" spans="1:9" x14ac:dyDescent="0.3">
      <c r="A2793" s="1">
        <v>23681</v>
      </c>
      <c r="B2793" t="s">
        <v>3355</v>
      </c>
      <c r="C2793" s="1">
        <v>1.61</v>
      </c>
      <c r="D2793" s="1">
        <v>788</v>
      </c>
      <c r="E2793" s="1">
        <v>788</v>
      </c>
      <c r="F2793" s="1">
        <v>2</v>
      </c>
      <c r="G2793" s="1">
        <v>2525.04</v>
      </c>
      <c r="H2793" s="1" t="s">
        <v>10</v>
      </c>
      <c r="I2793" t="str">
        <f t="shared" si="43"/>
        <v>LUNCH BAG RED VINTAGE DOILY [23681]</v>
      </c>
    </row>
    <row r="2794" spans="1:9" x14ac:dyDescent="0.3">
      <c r="A2794" s="1">
        <v>23691</v>
      </c>
      <c r="B2794" t="s">
        <v>3354</v>
      </c>
      <c r="C2794" s="1">
        <v>0.42</v>
      </c>
      <c r="D2794" s="1">
        <v>300</v>
      </c>
      <c r="E2794" s="2">
        <v>391.666666666666</v>
      </c>
      <c r="F2794" s="1">
        <v>2</v>
      </c>
      <c r="G2794" s="1">
        <v>481.5</v>
      </c>
      <c r="H2794" s="1" t="s">
        <v>10</v>
      </c>
      <c r="I2794" t="str">
        <f t="shared" si="43"/>
        <v>KEEP CALM BIRTHDAY WRAP [23691]</v>
      </c>
    </row>
    <row r="2795" spans="1:9" x14ac:dyDescent="0.3">
      <c r="A2795" s="1">
        <v>23692</v>
      </c>
      <c r="B2795" t="s">
        <v>3353</v>
      </c>
      <c r="C2795" s="1">
        <v>0.42</v>
      </c>
      <c r="D2795" s="1">
        <v>50</v>
      </c>
      <c r="E2795" s="1">
        <v>50</v>
      </c>
      <c r="F2795" s="1">
        <v>1</v>
      </c>
      <c r="G2795" s="1">
        <v>21</v>
      </c>
      <c r="H2795" s="1" t="s">
        <v>9</v>
      </c>
      <c r="I2795" t="str">
        <f t="shared" si="43"/>
        <v>WRAP A PRETTY THANK YOU [23692]</v>
      </c>
    </row>
    <row r="2796" spans="1:9" x14ac:dyDescent="0.3">
      <c r="A2796" s="1">
        <v>23694</v>
      </c>
      <c r="B2796" t="s">
        <v>3352</v>
      </c>
      <c r="C2796" s="1">
        <v>0.44</v>
      </c>
      <c r="D2796" s="1">
        <v>188</v>
      </c>
      <c r="E2796" s="1">
        <v>188</v>
      </c>
      <c r="F2796" s="1">
        <v>2</v>
      </c>
      <c r="G2796" s="2">
        <v>165.07999999999899</v>
      </c>
      <c r="H2796" s="1" t="s">
        <v>10</v>
      </c>
      <c r="I2796" t="str">
        <f t="shared" si="43"/>
        <v>PAISLEY PARK CARD [23694]</v>
      </c>
    </row>
    <row r="2797" spans="1:9" x14ac:dyDescent="0.3">
      <c r="A2797" s="1">
        <v>23695</v>
      </c>
      <c r="B2797" t="s">
        <v>3351</v>
      </c>
      <c r="C2797" s="1">
        <v>0.42</v>
      </c>
      <c r="D2797" s="1">
        <v>370.5</v>
      </c>
      <c r="E2797" s="1">
        <v>370.5</v>
      </c>
      <c r="F2797" s="1">
        <v>2</v>
      </c>
      <c r="G2797" s="1">
        <v>313.24</v>
      </c>
      <c r="H2797" s="1" t="s">
        <v>10</v>
      </c>
      <c r="I2797" t="str">
        <f t="shared" si="43"/>
        <v>DOILY THANK YOU CARD [23695]</v>
      </c>
    </row>
    <row r="2798" spans="1:9" x14ac:dyDescent="0.3">
      <c r="A2798" s="1">
        <v>23697</v>
      </c>
      <c r="B2798" t="s">
        <v>3350</v>
      </c>
      <c r="C2798" s="1">
        <v>0.43</v>
      </c>
      <c r="D2798" s="1">
        <v>228</v>
      </c>
      <c r="E2798" s="1">
        <v>228</v>
      </c>
      <c r="F2798" s="1">
        <v>2</v>
      </c>
      <c r="G2798" s="2">
        <v>194.57999999999899</v>
      </c>
      <c r="H2798" s="1" t="s">
        <v>10</v>
      </c>
      <c r="I2798" t="str">
        <f t="shared" si="43"/>
        <v>A PRETTY THANK YOU CARD [23697]</v>
      </c>
    </row>
    <row r="2799" spans="1:9" x14ac:dyDescent="0.3">
      <c r="A2799" s="1">
        <v>23702</v>
      </c>
      <c r="B2799" t="s">
        <v>3349</v>
      </c>
      <c r="C2799" s="1">
        <v>5.5</v>
      </c>
      <c r="D2799" s="1">
        <v>2</v>
      </c>
      <c r="E2799" s="1">
        <v>2</v>
      </c>
      <c r="F2799" s="1">
        <v>2</v>
      </c>
      <c r="G2799" s="1">
        <v>27</v>
      </c>
      <c r="H2799" s="1" t="s">
        <v>8</v>
      </c>
      <c r="I2799" t="str">
        <f t="shared" si="43"/>
        <v>High Resolution Image [23702]</v>
      </c>
    </row>
    <row r="2800" spans="1:9" x14ac:dyDescent="0.3">
      <c r="A2800" s="1">
        <v>23843</v>
      </c>
      <c r="B2800" t="s">
        <v>3348</v>
      </c>
      <c r="C2800" s="1">
        <v>2.08</v>
      </c>
      <c r="D2800" s="1">
        <v>80995</v>
      </c>
      <c r="E2800" s="1">
        <v>80995</v>
      </c>
      <c r="F2800" s="1">
        <v>1</v>
      </c>
      <c r="G2800" s="1">
        <v>168469.6</v>
      </c>
      <c r="H2800" s="1" t="s">
        <v>10</v>
      </c>
      <c r="I2800" t="str">
        <f t="shared" si="43"/>
        <v>PAPER CRAFT , LITTLE BIRDIE [23843]</v>
      </c>
    </row>
    <row r="2801" spans="1:9" x14ac:dyDescent="0.3">
      <c r="A2801" s="1" t="s">
        <v>3347</v>
      </c>
      <c r="B2801" t="s">
        <v>3346</v>
      </c>
      <c r="C2801" s="1">
        <v>1.7</v>
      </c>
      <c r="D2801" s="1">
        <v>1</v>
      </c>
      <c r="E2801" s="1">
        <v>1</v>
      </c>
      <c r="F2801" s="1">
        <v>1</v>
      </c>
      <c r="G2801" s="1">
        <v>1.7</v>
      </c>
      <c r="H2801" s="1" t="s">
        <v>8</v>
      </c>
      <c r="I2801" t="str">
        <f t="shared" si="43"/>
        <v>ASSORTED FRUIT STRAWS [30086C]</v>
      </c>
    </row>
    <row r="2802" spans="1:9" x14ac:dyDescent="0.3">
      <c r="A2802" s="1" t="s">
        <v>3345</v>
      </c>
      <c r="B2802" t="s">
        <v>3344</v>
      </c>
      <c r="C2802" s="1">
        <v>3.49</v>
      </c>
      <c r="D2802" s="1">
        <v>4</v>
      </c>
      <c r="E2802" s="2">
        <v>5.6666666666666599</v>
      </c>
      <c r="F2802" s="1">
        <v>3</v>
      </c>
      <c r="G2802" s="2">
        <v>59.33</v>
      </c>
      <c r="H2802" s="1" t="s">
        <v>8</v>
      </c>
      <c r="I2802" t="str">
        <f t="shared" si="43"/>
        <v>HAND OPEN SHAPE BLACK [35001B]</v>
      </c>
    </row>
    <row r="2803" spans="1:9" x14ac:dyDescent="0.3">
      <c r="A2803" s="1" t="s">
        <v>3343</v>
      </c>
      <c r="B2803" t="s">
        <v>3342</v>
      </c>
      <c r="C2803" s="1">
        <v>4.2300000000000004</v>
      </c>
      <c r="D2803" s="1">
        <v>12</v>
      </c>
      <c r="E2803" s="2">
        <v>31.086956521739101</v>
      </c>
      <c r="F2803" s="1">
        <v>23</v>
      </c>
      <c r="G2803" s="2">
        <v>2259.4699999999998</v>
      </c>
      <c r="H2803" s="1" t="s">
        <v>9</v>
      </c>
      <c r="I2803" t="str">
        <f t="shared" si="43"/>
        <v>HAND OPEN SHAPE GOLD [35001G]</v>
      </c>
    </row>
    <row r="2804" spans="1:9" x14ac:dyDescent="0.3">
      <c r="A2804" s="1" t="s">
        <v>3341</v>
      </c>
      <c r="B2804" t="s">
        <v>3340</v>
      </c>
      <c r="C2804" s="1">
        <v>3.49</v>
      </c>
      <c r="D2804" s="1">
        <v>2</v>
      </c>
      <c r="E2804" s="1">
        <v>2</v>
      </c>
      <c r="F2804" s="1">
        <v>1</v>
      </c>
      <c r="G2804" s="1">
        <v>6.98</v>
      </c>
      <c r="H2804" s="1" t="s">
        <v>8</v>
      </c>
      <c r="I2804" t="str">
        <f t="shared" si="43"/>
        <v>HAND OPEN SHAPE PINK [35001P]</v>
      </c>
    </row>
    <row r="2805" spans="1:9" x14ac:dyDescent="0.3">
      <c r="A2805" s="1" t="s">
        <v>3339</v>
      </c>
      <c r="B2805" t="s">
        <v>3338</v>
      </c>
      <c r="C2805" s="1">
        <v>3.4</v>
      </c>
      <c r="D2805" s="1">
        <v>75</v>
      </c>
      <c r="E2805" s="2">
        <v>67.923076923076906</v>
      </c>
      <c r="F2805" s="1">
        <v>13</v>
      </c>
      <c r="G2805" s="1">
        <v>2806.69</v>
      </c>
      <c r="H2805" s="1" t="s">
        <v>10</v>
      </c>
      <c r="I2805" t="str">
        <f t="shared" si="43"/>
        <v>HAND OPEN SHAPE DECO.WHITE [35001W]</v>
      </c>
    </row>
    <row r="2806" spans="1:9" x14ac:dyDescent="0.3">
      <c r="A2806" s="1" t="s">
        <v>3337</v>
      </c>
      <c r="B2806" t="s">
        <v>3336</v>
      </c>
      <c r="C2806" s="1">
        <v>5.18</v>
      </c>
      <c r="D2806" s="1">
        <v>39</v>
      </c>
      <c r="E2806" s="1">
        <v>58.96</v>
      </c>
      <c r="F2806" s="1">
        <v>25</v>
      </c>
      <c r="G2806" s="1">
        <v>6809.65</v>
      </c>
      <c r="H2806" s="1" t="s">
        <v>9</v>
      </c>
      <c r="I2806" t="str">
        <f t="shared" si="43"/>
        <v>SET OF 3 BLACK FLYING DUCKS [35004B]</v>
      </c>
    </row>
    <row r="2807" spans="1:9" x14ac:dyDescent="0.3">
      <c r="A2807" s="1" t="s">
        <v>3335</v>
      </c>
      <c r="B2807" t="s">
        <v>3329</v>
      </c>
      <c r="C2807" s="2">
        <v>5.4399999999999897</v>
      </c>
      <c r="D2807" s="1">
        <v>159.5</v>
      </c>
      <c r="E2807" s="1">
        <v>189.6875</v>
      </c>
      <c r="F2807" s="1">
        <v>16</v>
      </c>
      <c r="G2807" s="1">
        <v>15874.38</v>
      </c>
      <c r="H2807" s="1" t="s">
        <v>10</v>
      </c>
      <c r="I2807" t="str">
        <f t="shared" si="43"/>
        <v>SET OF 3 COLOURED  FLYING DUCKS [35004C]</v>
      </c>
    </row>
    <row r="2808" spans="1:9" x14ac:dyDescent="0.3">
      <c r="A2808" s="1" t="s">
        <v>3334</v>
      </c>
      <c r="B2808" t="s">
        <v>3333</v>
      </c>
      <c r="C2808" s="1">
        <v>6.35</v>
      </c>
      <c r="D2808" s="1">
        <v>6</v>
      </c>
      <c r="E2808" s="2">
        <v>15.6086956521739</v>
      </c>
      <c r="F2808" s="1">
        <v>23</v>
      </c>
      <c r="G2808" s="1">
        <v>1419.51</v>
      </c>
      <c r="H2808" s="1" t="s">
        <v>8</v>
      </c>
      <c r="I2808" t="str">
        <f t="shared" si="43"/>
        <v>SET OF 3 GOLD FLYING DUCKS [35004G]</v>
      </c>
    </row>
    <row r="2809" spans="1:9" x14ac:dyDescent="0.3">
      <c r="A2809" s="1" t="s">
        <v>3332</v>
      </c>
      <c r="B2809" t="s">
        <v>3327</v>
      </c>
      <c r="C2809" s="1">
        <v>5.45</v>
      </c>
      <c r="D2809" s="1">
        <v>3</v>
      </c>
      <c r="E2809" s="2">
        <v>13.3333333333333</v>
      </c>
      <c r="F2809" s="1">
        <v>9</v>
      </c>
      <c r="G2809" s="1">
        <v>638.97</v>
      </c>
      <c r="H2809" s="1" t="s">
        <v>8</v>
      </c>
      <c r="I2809" t="str">
        <f t="shared" si="43"/>
        <v>SET OF 3 PINK FLYING DUCKS [35004P]</v>
      </c>
    </row>
    <row r="2810" spans="1:9" x14ac:dyDescent="0.3">
      <c r="A2810" s="1" t="s">
        <v>3331</v>
      </c>
      <c r="B2810" t="s">
        <v>3325</v>
      </c>
      <c r="C2810" s="1">
        <v>3.49</v>
      </c>
      <c r="D2810" s="1">
        <v>145</v>
      </c>
      <c r="E2810" s="1">
        <v>145</v>
      </c>
      <c r="F2810" s="1">
        <v>1</v>
      </c>
      <c r="G2810" s="1">
        <v>505.4</v>
      </c>
      <c r="H2810" s="1" t="s">
        <v>10</v>
      </c>
      <c r="I2810" t="str">
        <f t="shared" si="43"/>
        <v>SET OF 3 SILVER FLYING DUCKS [35004S]</v>
      </c>
    </row>
    <row r="2811" spans="1:9" x14ac:dyDescent="0.3">
      <c r="A2811" s="1" t="s">
        <v>3330</v>
      </c>
      <c r="B2811" t="s">
        <v>3329</v>
      </c>
      <c r="C2811" s="1">
        <v>12.72</v>
      </c>
      <c r="D2811" s="1">
        <v>4</v>
      </c>
      <c r="E2811" s="2">
        <v>3.8571428571428501</v>
      </c>
      <c r="F2811" s="1">
        <v>7</v>
      </c>
      <c r="G2811" s="1">
        <v>343.72</v>
      </c>
      <c r="H2811" s="1" t="s">
        <v>8</v>
      </c>
      <c r="I2811" t="str">
        <f t="shared" si="43"/>
        <v>SET OF 3 COLOURED  FLYING DUCKS [35004c]</v>
      </c>
    </row>
    <row r="2812" spans="1:9" x14ac:dyDescent="0.3">
      <c r="A2812" s="1" t="s">
        <v>3328</v>
      </c>
      <c r="B2812" t="s">
        <v>3327</v>
      </c>
      <c r="C2812" s="1">
        <v>12.72</v>
      </c>
      <c r="D2812" s="1">
        <v>1</v>
      </c>
      <c r="E2812" s="1">
        <v>1</v>
      </c>
      <c r="F2812" s="1">
        <v>1</v>
      </c>
      <c r="G2812" s="1">
        <v>12.72</v>
      </c>
      <c r="H2812" s="1" t="s">
        <v>8</v>
      </c>
      <c r="I2812" t="str">
        <f t="shared" si="43"/>
        <v>SET OF 3 PINK FLYING DUCKS [35004p]</v>
      </c>
    </row>
    <row r="2813" spans="1:9" x14ac:dyDescent="0.3">
      <c r="A2813" s="1" t="s">
        <v>3326</v>
      </c>
      <c r="B2813" t="s">
        <v>3325</v>
      </c>
      <c r="C2813" s="1">
        <v>13</v>
      </c>
      <c r="D2813" s="1">
        <v>1</v>
      </c>
      <c r="E2813" s="1">
        <v>1</v>
      </c>
      <c r="F2813" s="1">
        <v>1</v>
      </c>
      <c r="G2813" s="1">
        <v>13</v>
      </c>
      <c r="H2813" s="1" t="s">
        <v>8</v>
      </c>
      <c r="I2813" t="str">
        <f t="shared" si="43"/>
        <v>SET OF 3 SILVER FLYING DUCKS [35004s]</v>
      </c>
    </row>
    <row r="2814" spans="1:9" x14ac:dyDescent="0.3">
      <c r="A2814" s="1">
        <v>35015</v>
      </c>
      <c r="B2814" t="s">
        <v>3324</v>
      </c>
      <c r="C2814" s="1">
        <v>0.06</v>
      </c>
      <c r="D2814" s="1">
        <v>175</v>
      </c>
      <c r="E2814" s="2">
        <v>229.333333333333</v>
      </c>
      <c r="F2814" s="1">
        <v>9</v>
      </c>
      <c r="G2814" s="1">
        <v>123.84</v>
      </c>
      <c r="H2814" s="1" t="s">
        <v>10</v>
      </c>
      <c r="I2814" t="str">
        <f t="shared" si="43"/>
        <v>JACOBS LADDER SMALL [35015]</v>
      </c>
    </row>
    <row r="2815" spans="1:9" x14ac:dyDescent="0.3">
      <c r="A2815" s="1" t="s">
        <v>3323</v>
      </c>
      <c r="B2815" t="s">
        <v>3322</v>
      </c>
      <c r="C2815" s="1">
        <v>0.42</v>
      </c>
      <c r="D2815" s="1">
        <v>14</v>
      </c>
      <c r="E2815" s="1">
        <v>14</v>
      </c>
      <c r="F2815" s="1">
        <v>1</v>
      </c>
      <c r="G2815" s="1">
        <v>5.88</v>
      </c>
      <c r="H2815" s="1" t="s">
        <v>9</v>
      </c>
      <c r="I2815" t="str">
        <f t="shared" si="43"/>
        <v>PINK BEADED CONE CHRISTMAS [35051B]</v>
      </c>
    </row>
    <row r="2816" spans="1:9" x14ac:dyDescent="0.3">
      <c r="A2816" s="1">
        <v>35071</v>
      </c>
      <c r="B2816" t="s">
        <v>3321</v>
      </c>
      <c r="C2816" s="1">
        <v>1.02</v>
      </c>
      <c r="D2816" s="1">
        <v>50</v>
      </c>
      <c r="E2816" s="1">
        <v>50</v>
      </c>
      <c r="F2816" s="1">
        <v>1</v>
      </c>
      <c r="G2816" s="1">
        <v>51.14</v>
      </c>
      <c r="H2816" s="1" t="s">
        <v>9</v>
      </c>
      <c r="I2816" t="str">
        <f t="shared" si="43"/>
        <v>ASSORTED SANTA CHRISTMAS DECORATION [35071]</v>
      </c>
    </row>
    <row r="2817" spans="1:9" x14ac:dyDescent="0.3">
      <c r="A2817" s="1" t="s">
        <v>3320</v>
      </c>
      <c r="B2817" t="s">
        <v>3319</v>
      </c>
      <c r="C2817" s="1">
        <v>1.25</v>
      </c>
      <c r="D2817" s="1">
        <v>8</v>
      </c>
      <c r="E2817" s="1">
        <v>7.8</v>
      </c>
      <c r="F2817" s="1">
        <v>5</v>
      </c>
      <c r="G2817" s="1">
        <v>44.25</v>
      </c>
      <c r="H2817" s="1" t="s">
        <v>8</v>
      </c>
      <c r="I2817" t="str">
        <f t="shared" si="43"/>
        <v>IVORY ROSE LAMPSHADE [35085E]</v>
      </c>
    </row>
    <row r="2818" spans="1:9" x14ac:dyDescent="0.3">
      <c r="A2818" s="1" t="s">
        <v>3318</v>
      </c>
      <c r="B2818" t="s">
        <v>3317</v>
      </c>
      <c r="C2818" s="1">
        <v>0.46</v>
      </c>
      <c r="D2818" s="1">
        <v>37</v>
      </c>
      <c r="E2818" s="1">
        <v>72.36</v>
      </c>
      <c r="F2818" s="1">
        <v>25</v>
      </c>
      <c r="G2818" s="1">
        <v>725.56</v>
      </c>
      <c r="H2818" s="1" t="s">
        <v>9</v>
      </c>
      <c r="I2818" t="str">
        <f t="shared" si="43"/>
        <v>BLUE VICTORIAN FABRIC OVAL BOX [35095A]</v>
      </c>
    </row>
    <row r="2819" spans="1:9" x14ac:dyDescent="0.3">
      <c r="A2819" s="1" t="s">
        <v>3316</v>
      </c>
      <c r="B2819" t="s">
        <v>3315</v>
      </c>
      <c r="C2819" s="1">
        <v>0.46</v>
      </c>
      <c r="D2819" s="1">
        <v>39</v>
      </c>
      <c r="E2819" s="1">
        <v>78.08</v>
      </c>
      <c r="F2819" s="1">
        <v>25</v>
      </c>
      <c r="G2819" s="1">
        <v>766.64</v>
      </c>
      <c r="H2819" s="1" t="s">
        <v>9</v>
      </c>
      <c r="I2819" t="str">
        <f t="shared" ref="I2819:I2882" si="44">B2819&amp;" ["&amp;A2819&amp;"]"</f>
        <v>RED VICTORIAN FABRIC OVAL BOX [35095B]</v>
      </c>
    </row>
    <row r="2820" spans="1:9" x14ac:dyDescent="0.3">
      <c r="A2820" s="1" t="s">
        <v>3314</v>
      </c>
      <c r="B2820" t="s">
        <v>3313</v>
      </c>
      <c r="C2820" s="1">
        <v>0.49</v>
      </c>
      <c r="D2820" s="1">
        <v>97.5</v>
      </c>
      <c r="E2820" s="1">
        <v>191.25</v>
      </c>
      <c r="F2820" s="1">
        <v>4</v>
      </c>
      <c r="G2820" s="1">
        <v>272.45</v>
      </c>
      <c r="H2820" s="1" t="s">
        <v>10</v>
      </c>
      <c r="I2820" t="str">
        <f t="shared" si="44"/>
        <v>BLUE VICTORIAN FABRIC HEART BOX [35096A]</v>
      </c>
    </row>
    <row r="2821" spans="1:9" x14ac:dyDescent="0.3">
      <c r="A2821" s="1" t="s">
        <v>3312</v>
      </c>
      <c r="B2821" t="s">
        <v>3311</v>
      </c>
      <c r="C2821" s="1">
        <v>0.42</v>
      </c>
      <c r="D2821" s="1">
        <v>57</v>
      </c>
      <c r="E2821" s="1">
        <v>73.25</v>
      </c>
      <c r="F2821" s="1">
        <v>4</v>
      </c>
      <c r="G2821" s="2">
        <v>106.49</v>
      </c>
      <c r="H2821" s="1" t="s">
        <v>9</v>
      </c>
      <c r="I2821" t="str">
        <f t="shared" si="44"/>
        <v>RED VICTORIAN FABRIC HEART BOX [35096B]</v>
      </c>
    </row>
    <row r="2822" spans="1:9" x14ac:dyDescent="0.3">
      <c r="A2822" s="1">
        <v>35160</v>
      </c>
      <c r="B2822" t="s">
        <v>3310</v>
      </c>
      <c r="C2822" s="1">
        <v>0.73</v>
      </c>
      <c r="D2822" s="1">
        <v>206</v>
      </c>
      <c r="E2822" s="2">
        <v>198.18181818181799</v>
      </c>
      <c r="F2822" s="1">
        <v>11</v>
      </c>
      <c r="G2822" s="1">
        <v>1590.64</v>
      </c>
      <c r="H2822" s="1" t="s">
        <v>10</v>
      </c>
      <c r="I2822" t="str">
        <f t="shared" si="44"/>
        <v>BUDDHA INCENSE HOLDER ASSORTED [35160]</v>
      </c>
    </row>
    <row r="2823" spans="1:9" x14ac:dyDescent="0.3">
      <c r="A2823" s="1">
        <v>35233</v>
      </c>
      <c r="B2823" t="s">
        <v>3309</v>
      </c>
      <c r="C2823" s="1">
        <v>3.75</v>
      </c>
      <c r="D2823" s="1">
        <v>2</v>
      </c>
      <c r="E2823" s="1">
        <v>2</v>
      </c>
      <c r="F2823" s="1">
        <v>5</v>
      </c>
      <c r="G2823" s="1">
        <v>37.5</v>
      </c>
      <c r="H2823" s="1" t="s">
        <v>8</v>
      </c>
      <c r="I2823" t="str">
        <f t="shared" si="44"/>
        <v>PASTA ENAMEL/BRASS CONTAINER [35233]</v>
      </c>
    </row>
    <row r="2824" spans="1:9" x14ac:dyDescent="0.3">
      <c r="A2824" s="1">
        <v>35240</v>
      </c>
      <c r="B2824" t="s">
        <v>3308</v>
      </c>
      <c r="C2824" s="1">
        <v>8.49</v>
      </c>
      <c r="D2824" s="1">
        <v>7</v>
      </c>
      <c r="E2824" s="1">
        <v>7</v>
      </c>
      <c r="F2824" s="1">
        <v>7</v>
      </c>
      <c r="G2824" s="1">
        <v>416.01</v>
      </c>
      <c r="H2824" s="1" t="s">
        <v>8</v>
      </c>
      <c r="I2824" t="str">
        <f t="shared" si="44"/>
        <v>ENAMEL BLUE RIM OVAL TRAY SET/2 [35240]</v>
      </c>
    </row>
    <row r="2825" spans="1:9" x14ac:dyDescent="0.3">
      <c r="A2825" s="1">
        <v>35241</v>
      </c>
      <c r="B2825" t="s">
        <v>3307</v>
      </c>
      <c r="C2825" s="1">
        <v>5.36</v>
      </c>
      <c r="D2825" s="1">
        <v>16</v>
      </c>
      <c r="E2825" s="2">
        <v>17.1666666666666</v>
      </c>
      <c r="F2825" s="1">
        <v>18</v>
      </c>
      <c r="G2825" s="1">
        <v>1631.42</v>
      </c>
      <c r="H2825" s="1" t="s">
        <v>9</v>
      </c>
      <c r="I2825" t="str">
        <f t="shared" si="44"/>
        <v>ENAMEL BLUE RIM BISCUIT BIN [35241]</v>
      </c>
    </row>
    <row r="2826" spans="1:9" x14ac:dyDescent="0.3">
      <c r="A2826" s="1">
        <v>35265</v>
      </c>
      <c r="B2826" t="s">
        <v>3306</v>
      </c>
      <c r="C2826" s="1">
        <v>1.95</v>
      </c>
      <c r="D2826" s="1">
        <v>2</v>
      </c>
      <c r="E2826" s="2">
        <v>2.1666666666666599</v>
      </c>
      <c r="F2826" s="1">
        <v>6</v>
      </c>
      <c r="G2826" s="1">
        <v>24.4</v>
      </c>
      <c r="H2826" s="1" t="s">
        <v>8</v>
      </c>
      <c r="I2826" t="str">
        <f t="shared" si="44"/>
        <v>COLOURFUL FLOWER FRUIT BOWL [35265]</v>
      </c>
    </row>
    <row r="2827" spans="1:9" x14ac:dyDescent="0.3">
      <c r="A2827" s="1" t="s">
        <v>3305</v>
      </c>
      <c r="B2827" t="s">
        <v>3304</v>
      </c>
      <c r="C2827" s="1">
        <v>0.19</v>
      </c>
      <c r="D2827" s="1">
        <v>53</v>
      </c>
      <c r="E2827" s="1">
        <v>83.8</v>
      </c>
      <c r="F2827" s="1">
        <v>5</v>
      </c>
      <c r="G2827" s="1">
        <v>85.13</v>
      </c>
      <c r="H2827" s="1" t="s">
        <v>9</v>
      </c>
      <c r="I2827" t="str">
        <f t="shared" si="44"/>
        <v>GOLD PRINT PAPER BAG [35271S]</v>
      </c>
    </row>
    <row r="2828" spans="1:9" x14ac:dyDescent="0.3">
      <c r="A2828" s="1">
        <v>35400</v>
      </c>
      <c r="B2828" t="s">
        <v>3303</v>
      </c>
      <c r="C2828" s="1">
        <v>8.9649999999999999</v>
      </c>
      <c r="D2828" s="1">
        <v>14.5</v>
      </c>
      <c r="E2828" s="2">
        <v>119.583333333333</v>
      </c>
      <c r="F2828" s="1">
        <v>12</v>
      </c>
      <c r="G2828" s="1">
        <v>13999.1</v>
      </c>
      <c r="H2828" s="1" t="s">
        <v>9</v>
      </c>
      <c r="I2828" t="str">
        <f t="shared" si="44"/>
        <v>WOODEN BOX ADVENT CALENDAR [35400]</v>
      </c>
    </row>
    <row r="2829" spans="1:9" x14ac:dyDescent="0.3">
      <c r="A2829" s="1">
        <v>35443</v>
      </c>
      <c r="B2829" t="s">
        <v>3302</v>
      </c>
      <c r="C2829" s="1">
        <v>0.85</v>
      </c>
      <c r="D2829" s="1">
        <v>1</v>
      </c>
      <c r="E2829" s="1">
        <v>1.6</v>
      </c>
      <c r="F2829" s="1">
        <v>10</v>
      </c>
      <c r="G2829" s="1">
        <v>13.6</v>
      </c>
      <c r="H2829" s="1" t="s">
        <v>8</v>
      </c>
      <c r="I2829" t="str">
        <f t="shared" si="44"/>
        <v>RASTA IN BATH W SPLIFF ASHTRAY [35443]</v>
      </c>
    </row>
    <row r="2830" spans="1:9" x14ac:dyDescent="0.3">
      <c r="A2830" s="1" t="s">
        <v>3301</v>
      </c>
      <c r="B2830" t="s">
        <v>3300</v>
      </c>
      <c r="C2830" s="1">
        <v>1.5</v>
      </c>
      <c r="D2830" s="1">
        <v>11</v>
      </c>
      <c r="E2830" s="2">
        <v>35.0833333333333</v>
      </c>
      <c r="F2830" s="1">
        <v>12</v>
      </c>
      <c r="G2830" s="1">
        <v>499.31</v>
      </c>
      <c r="H2830" s="1" t="s">
        <v>9</v>
      </c>
      <c r="I2830" t="str">
        <f t="shared" si="44"/>
        <v>SET OF 3 BIRD L.BLUE FEATHER [35471A]</v>
      </c>
    </row>
    <row r="2831" spans="1:9" x14ac:dyDescent="0.3">
      <c r="A2831" s="1" t="s">
        <v>3299</v>
      </c>
      <c r="B2831" t="s">
        <v>3298</v>
      </c>
      <c r="C2831" s="1">
        <v>1.51</v>
      </c>
      <c r="D2831" s="1">
        <v>26</v>
      </c>
      <c r="E2831" s="2">
        <v>86.6666666666666</v>
      </c>
      <c r="F2831" s="1">
        <v>24</v>
      </c>
      <c r="G2831" s="1">
        <v>1525.63</v>
      </c>
      <c r="H2831" s="1" t="s">
        <v>9</v>
      </c>
      <c r="I2831" t="str">
        <f t="shared" si="44"/>
        <v>SET OF 3 BIRD LIGHT PINK FEATHER [35471D]</v>
      </c>
    </row>
    <row r="2832" spans="1:9" x14ac:dyDescent="0.3">
      <c r="A2832" s="1">
        <v>35537</v>
      </c>
      <c r="B2832" t="s">
        <v>3297</v>
      </c>
      <c r="C2832" s="1">
        <v>0.42</v>
      </c>
      <c r="D2832" s="1">
        <v>5</v>
      </c>
      <c r="E2832" s="2">
        <v>4.3333333333333304</v>
      </c>
      <c r="F2832" s="1">
        <v>3</v>
      </c>
      <c r="G2832" s="1">
        <v>5.46</v>
      </c>
      <c r="H2832" s="1" t="s">
        <v>8</v>
      </c>
      <c r="I2832" t="str">
        <f t="shared" si="44"/>
        <v>CANDLE RING W/CLEAR BEADS [35537]</v>
      </c>
    </row>
    <row r="2833" spans="1:9" x14ac:dyDescent="0.3">
      <c r="A2833" s="1" t="s">
        <v>3296</v>
      </c>
      <c r="B2833" t="s">
        <v>3295</v>
      </c>
      <c r="C2833" s="1">
        <v>1.25</v>
      </c>
      <c r="D2833" s="1">
        <v>2</v>
      </c>
      <c r="E2833" s="2">
        <v>2.8333333333333299</v>
      </c>
      <c r="F2833" s="1">
        <v>6</v>
      </c>
      <c r="G2833" s="1">
        <v>21.25</v>
      </c>
      <c r="H2833" s="1" t="s">
        <v>8</v>
      </c>
      <c r="I2833" t="str">
        <f t="shared" si="44"/>
        <v>TURQUOISE CHRISTMAS TREE [35591T]</v>
      </c>
    </row>
    <row r="2834" spans="1:9" x14ac:dyDescent="0.3">
      <c r="A2834" s="1">
        <v>35594</v>
      </c>
      <c r="B2834" t="s">
        <v>3294</v>
      </c>
      <c r="C2834" s="1">
        <v>0.47</v>
      </c>
      <c r="D2834" s="1">
        <v>21.5</v>
      </c>
      <c r="E2834" s="2">
        <v>25.1666666666666</v>
      </c>
      <c r="F2834" s="1">
        <v>6</v>
      </c>
      <c r="G2834" s="1">
        <v>79.78</v>
      </c>
      <c r="H2834" s="1" t="s">
        <v>9</v>
      </c>
      <c r="I2834" t="str">
        <f t="shared" si="44"/>
        <v>WOODEN CHRISTMAS TREE 3 HANGING [35594]</v>
      </c>
    </row>
    <row r="2835" spans="1:9" x14ac:dyDescent="0.3">
      <c r="A2835" s="1">
        <v>35596</v>
      </c>
      <c r="B2835" t="s">
        <v>3293</v>
      </c>
      <c r="C2835" s="1">
        <v>0.85</v>
      </c>
      <c r="D2835" s="1">
        <v>29</v>
      </c>
      <c r="E2835" s="1">
        <v>29</v>
      </c>
      <c r="F2835" s="1">
        <v>1</v>
      </c>
      <c r="G2835" s="1">
        <v>24.65</v>
      </c>
      <c r="H2835" s="1" t="s">
        <v>9</v>
      </c>
      <c r="I2835" t="str">
        <f t="shared" si="44"/>
        <v>WOOD XMAS TREE 9 FIG SHELVES [35596]</v>
      </c>
    </row>
    <row r="2836" spans="1:9" x14ac:dyDescent="0.3">
      <c r="A2836" s="1" t="s">
        <v>3292</v>
      </c>
      <c r="B2836" t="s">
        <v>3291</v>
      </c>
      <c r="C2836" s="1">
        <v>1.25</v>
      </c>
      <c r="D2836" s="1">
        <v>2</v>
      </c>
      <c r="E2836" s="2">
        <v>3.3333333333333299</v>
      </c>
      <c r="F2836" s="1">
        <v>3</v>
      </c>
      <c r="G2836" s="1">
        <v>12.5</v>
      </c>
      <c r="H2836" s="1" t="s">
        <v>8</v>
      </c>
      <c r="I2836" t="str">
        <f t="shared" si="44"/>
        <v>DUSTY PINK CHRISTMAS TREE 30CM [35597A]</v>
      </c>
    </row>
    <row r="2837" spans="1:9" x14ac:dyDescent="0.3">
      <c r="A2837" s="1" t="s">
        <v>3290</v>
      </c>
      <c r="B2837" t="s">
        <v>3289</v>
      </c>
      <c r="C2837" s="1">
        <v>1.25</v>
      </c>
      <c r="D2837" s="1">
        <v>2</v>
      </c>
      <c r="E2837" s="1">
        <v>3.6</v>
      </c>
      <c r="F2837" s="1">
        <v>5</v>
      </c>
      <c r="G2837" s="1">
        <v>22.5</v>
      </c>
      <c r="H2837" s="1" t="s">
        <v>8</v>
      </c>
      <c r="I2837" t="str">
        <f t="shared" si="44"/>
        <v>BLACKCHRISTMAS TREE 30CM [35597B]</v>
      </c>
    </row>
    <row r="2838" spans="1:9" x14ac:dyDescent="0.3">
      <c r="A2838" s="1" t="s">
        <v>3288</v>
      </c>
      <c r="B2838" t="s">
        <v>3287</v>
      </c>
      <c r="C2838" s="1">
        <v>0.65</v>
      </c>
      <c r="D2838" s="1">
        <v>10</v>
      </c>
      <c r="E2838" s="1">
        <v>11.6</v>
      </c>
      <c r="F2838" s="1">
        <v>5</v>
      </c>
      <c r="G2838" s="2">
        <v>25.279999999999902</v>
      </c>
      <c r="H2838" s="1" t="s">
        <v>9</v>
      </c>
      <c r="I2838" t="str">
        <f t="shared" si="44"/>
        <v>PINK/WHITE CHRISTMAS TREE 30CM [35597D]</v>
      </c>
    </row>
    <row r="2839" spans="1:9" x14ac:dyDescent="0.3">
      <c r="A2839" s="1" t="s">
        <v>3286</v>
      </c>
      <c r="B2839" t="s">
        <v>3285</v>
      </c>
      <c r="C2839" s="1">
        <v>2.95</v>
      </c>
      <c r="D2839" s="1">
        <v>5</v>
      </c>
      <c r="E2839" s="1">
        <v>5</v>
      </c>
      <c r="F2839" s="1">
        <v>2</v>
      </c>
      <c r="G2839" s="1">
        <v>29.5</v>
      </c>
      <c r="H2839" s="1" t="s">
        <v>8</v>
      </c>
      <c r="I2839" t="str">
        <f t="shared" si="44"/>
        <v>DUSTY PINK CHRISTMAS TREE 60CM [35598A]</v>
      </c>
    </row>
    <row r="2840" spans="1:9" x14ac:dyDescent="0.3">
      <c r="A2840" s="1" t="s">
        <v>3284</v>
      </c>
      <c r="B2840" t="s">
        <v>3283</v>
      </c>
      <c r="C2840" s="2">
        <v>0.79499999999999904</v>
      </c>
      <c r="D2840" s="1">
        <v>69</v>
      </c>
      <c r="E2840" s="1">
        <v>90.5</v>
      </c>
      <c r="F2840" s="1">
        <v>10</v>
      </c>
      <c r="G2840" s="1">
        <v>794.27</v>
      </c>
      <c r="H2840" s="1" t="s">
        <v>10</v>
      </c>
      <c r="I2840" t="str">
        <f t="shared" si="44"/>
        <v>BLACK CHRISTMAS TREE 60CM [35598B]</v>
      </c>
    </row>
    <row r="2841" spans="1:9" x14ac:dyDescent="0.3">
      <c r="A2841" s="1" t="s">
        <v>3282</v>
      </c>
      <c r="B2841" t="s">
        <v>3281</v>
      </c>
      <c r="C2841" s="1">
        <v>2.95</v>
      </c>
      <c r="D2841" s="1">
        <v>1.5</v>
      </c>
      <c r="E2841" s="1">
        <v>1.5</v>
      </c>
      <c r="F2841" s="1">
        <v>2</v>
      </c>
      <c r="G2841" s="2">
        <v>8.85</v>
      </c>
      <c r="H2841" s="1" t="s">
        <v>8</v>
      </c>
      <c r="I2841" t="str">
        <f t="shared" si="44"/>
        <v>WHITE CHRISTMAS TREE 60CM [35598C]</v>
      </c>
    </row>
    <row r="2842" spans="1:9" x14ac:dyDescent="0.3">
      <c r="A2842" s="1" t="s">
        <v>3280</v>
      </c>
      <c r="B2842" t="s">
        <v>3279</v>
      </c>
      <c r="C2842" s="1">
        <v>0.72</v>
      </c>
      <c r="D2842" s="1">
        <v>48</v>
      </c>
      <c r="E2842" s="2">
        <v>101.294117647058</v>
      </c>
      <c r="F2842" s="1">
        <v>17</v>
      </c>
      <c r="G2842" s="1">
        <v>1299.68</v>
      </c>
      <c r="H2842" s="1" t="s">
        <v>9</v>
      </c>
      <c r="I2842" t="str">
        <f t="shared" si="44"/>
        <v>PINK/WHITE CHRISTMAS TREE 60CM [35598D]</v>
      </c>
    </row>
    <row r="2843" spans="1:9" x14ac:dyDescent="0.3">
      <c r="A2843" s="1" t="s">
        <v>3278</v>
      </c>
      <c r="B2843" t="s">
        <v>3277</v>
      </c>
      <c r="C2843" s="1">
        <v>7.68</v>
      </c>
      <c r="D2843" s="1">
        <v>12</v>
      </c>
      <c r="E2843" s="1">
        <v>11</v>
      </c>
      <c r="F2843" s="1">
        <v>8</v>
      </c>
      <c r="G2843" s="2">
        <v>623.80999999999995</v>
      </c>
      <c r="H2843" s="1" t="s">
        <v>9</v>
      </c>
      <c r="I2843" t="str">
        <f t="shared" si="44"/>
        <v>BLACK CHRISTMAS TREE 120CM [35599B]</v>
      </c>
    </row>
    <row r="2844" spans="1:9" x14ac:dyDescent="0.3">
      <c r="A2844" s="1" t="s">
        <v>3276</v>
      </c>
      <c r="B2844" t="s">
        <v>3275</v>
      </c>
      <c r="C2844" s="1">
        <v>3.665</v>
      </c>
      <c r="D2844" s="1">
        <v>10.5</v>
      </c>
      <c r="E2844" s="1">
        <v>25.375</v>
      </c>
      <c r="F2844" s="1">
        <v>16</v>
      </c>
      <c r="G2844" s="1">
        <v>1366.48</v>
      </c>
      <c r="H2844" s="1" t="s">
        <v>9</v>
      </c>
      <c r="I2844" t="str">
        <f t="shared" si="44"/>
        <v>PINK AND WHITE CHRISTMAS TREE 120CM [35599D]</v>
      </c>
    </row>
    <row r="2845" spans="1:9" x14ac:dyDescent="0.3">
      <c r="A2845" s="1" t="s">
        <v>3274</v>
      </c>
      <c r="B2845" t="s">
        <v>3273</v>
      </c>
      <c r="C2845" s="1">
        <v>2.95</v>
      </c>
      <c r="D2845" s="1">
        <v>12</v>
      </c>
      <c r="E2845" s="1">
        <v>27.2</v>
      </c>
      <c r="F2845" s="1">
        <v>5</v>
      </c>
      <c r="G2845" s="1">
        <v>447.95</v>
      </c>
      <c r="H2845" s="1" t="s">
        <v>9</v>
      </c>
      <c r="I2845" t="str">
        <f t="shared" si="44"/>
        <v>PINK AND WHITE CHRISTMAS TREE 180CM [35600D]</v>
      </c>
    </row>
    <row r="2846" spans="1:9" x14ac:dyDescent="0.3">
      <c r="A2846" s="1" t="s">
        <v>3272</v>
      </c>
      <c r="B2846" t="s">
        <v>3271</v>
      </c>
      <c r="C2846" s="1">
        <v>0.42</v>
      </c>
      <c r="D2846" s="1">
        <v>50</v>
      </c>
      <c r="E2846" s="1">
        <v>50</v>
      </c>
      <c r="F2846" s="1">
        <v>1</v>
      </c>
      <c r="G2846" s="1">
        <v>21</v>
      </c>
      <c r="H2846" s="1" t="s">
        <v>9</v>
      </c>
      <c r="I2846" t="str">
        <f t="shared" si="44"/>
        <v>S/16 BLACK SHINY/MAT BAUBLES [35603B]</v>
      </c>
    </row>
    <row r="2847" spans="1:9" x14ac:dyDescent="0.3">
      <c r="A2847" s="1" t="s">
        <v>3270</v>
      </c>
      <c r="B2847" t="s">
        <v>3269</v>
      </c>
      <c r="C2847" s="1">
        <v>0.42</v>
      </c>
      <c r="D2847" s="1">
        <v>9</v>
      </c>
      <c r="E2847" s="1">
        <v>16.600000000000001</v>
      </c>
      <c r="F2847" s="1">
        <v>5</v>
      </c>
      <c r="G2847" s="1">
        <v>48.3</v>
      </c>
      <c r="H2847" s="1" t="s">
        <v>8</v>
      </c>
      <c r="I2847" t="str">
        <f t="shared" si="44"/>
        <v>SET/16 WHITE SHINY &amp; MATT BAUBLES [35603C]</v>
      </c>
    </row>
    <row r="2848" spans="1:9" x14ac:dyDescent="0.3">
      <c r="A2848" s="1" t="s">
        <v>3268</v>
      </c>
      <c r="B2848" t="s">
        <v>3267</v>
      </c>
      <c r="C2848" s="1">
        <v>0.19</v>
      </c>
      <c r="D2848" s="1">
        <v>24</v>
      </c>
      <c r="E2848" s="2">
        <v>61.3333333333333</v>
      </c>
      <c r="F2848" s="1">
        <v>9</v>
      </c>
      <c r="G2848" s="1">
        <v>115.17</v>
      </c>
      <c r="H2848" s="1" t="s">
        <v>9</v>
      </c>
      <c r="I2848" t="str">
        <f t="shared" si="44"/>
        <v>PINK FLUFFY CHRISTMAS DECORATION [35607A]</v>
      </c>
    </row>
    <row r="2849" spans="1:9" x14ac:dyDescent="0.3">
      <c r="A2849" s="1" t="s">
        <v>3266</v>
      </c>
      <c r="B2849" t="s">
        <v>3265</v>
      </c>
      <c r="C2849" s="1">
        <v>0.19</v>
      </c>
      <c r="D2849" s="1">
        <v>14</v>
      </c>
      <c r="E2849" s="1">
        <v>31.2</v>
      </c>
      <c r="F2849" s="1">
        <v>10</v>
      </c>
      <c r="G2849" s="1">
        <v>62.3</v>
      </c>
      <c r="H2849" s="1" t="s">
        <v>9</v>
      </c>
      <c r="I2849" t="str">
        <f t="shared" si="44"/>
        <v>BLACK FEATHER CHRISTMAS DECORATION [35607B]</v>
      </c>
    </row>
    <row r="2850" spans="1:9" x14ac:dyDescent="0.3">
      <c r="A2850" s="1" t="s">
        <v>3264</v>
      </c>
      <c r="B2850" t="s">
        <v>3263</v>
      </c>
      <c r="C2850" s="1">
        <v>0.24</v>
      </c>
      <c r="D2850" s="1">
        <v>54</v>
      </c>
      <c r="E2850" s="1">
        <v>86.2</v>
      </c>
      <c r="F2850" s="1">
        <v>5</v>
      </c>
      <c r="G2850" s="1">
        <v>107.77</v>
      </c>
      <c r="H2850" s="1" t="s">
        <v>9</v>
      </c>
      <c r="I2850" t="str">
        <f t="shared" si="44"/>
        <v>PINK FEATHER CHRISTMAS DECORATION [35609A]</v>
      </c>
    </row>
    <row r="2851" spans="1:9" x14ac:dyDescent="0.3">
      <c r="A2851" s="1" t="s">
        <v>3262</v>
      </c>
      <c r="B2851" t="s">
        <v>3261</v>
      </c>
      <c r="C2851" s="1">
        <v>1.5</v>
      </c>
      <c r="D2851" s="1">
        <v>2</v>
      </c>
      <c r="E2851" s="1">
        <v>28.6</v>
      </c>
      <c r="F2851" s="1">
        <v>5</v>
      </c>
      <c r="G2851" s="2">
        <v>105.429999999999</v>
      </c>
      <c r="H2851" s="1" t="s">
        <v>8</v>
      </c>
      <c r="I2851" t="str">
        <f t="shared" si="44"/>
        <v>PINK CHRISTMAS FLOCK DROPLET [35610A]</v>
      </c>
    </row>
    <row r="2852" spans="1:9" x14ac:dyDescent="0.3">
      <c r="A2852" s="1" t="s">
        <v>3260</v>
      </c>
      <c r="B2852" t="s">
        <v>3259</v>
      </c>
      <c r="C2852" s="1">
        <v>1.25</v>
      </c>
      <c r="D2852" s="1">
        <v>15.5</v>
      </c>
      <c r="E2852" s="2">
        <v>29.8333333333333</v>
      </c>
      <c r="F2852" s="1">
        <v>6</v>
      </c>
      <c r="G2852" s="1">
        <v>144.07</v>
      </c>
      <c r="H2852" s="1" t="s">
        <v>9</v>
      </c>
      <c r="I2852" t="str">
        <f t="shared" si="44"/>
        <v>BLACK CHRISTMAS FLOCK DROPLET [35610B]</v>
      </c>
    </row>
    <row r="2853" spans="1:9" x14ac:dyDescent="0.3">
      <c r="A2853" s="1" t="s">
        <v>3258</v>
      </c>
      <c r="B2853" t="s">
        <v>3257</v>
      </c>
      <c r="C2853" s="1">
        <v>1.25</v>
      </c>
      <c r="D2853" s="1">
        <v>4</v>
      </c>
      <c r="E2853" s="1">
        <v>18.8</v>
      </c>
      <c r="F2853" s="1">
        <v>5</v>
      </c>
      <c r="G2853" s="2">
        <v>81.559999999999903</v>
      </c>
      <c r="H2853" s="1" t="s">
        <v>8</v>
      </c>
      <c r="I2853" t="str">
        <f t="shared" si="44"/>
        <v>WHITE CHRISTMAS FLOCK DROPLET [35610C]</v>
      </c>
    </row>
    <row r="2854" spans="1:9" x14ac:dyDescent="0.3">
      <c r="A2854" s="1" t="s">
        <v>3256</v>
      </c>
      <c r="B2854" t="s">
        <v>3255</v>
      </c>
      <c r="C2854" s="1">
        <v>0.6</v>
      </c>
      <c r="D2854" s="1">
        <v>31</v>
      </c>
      <c r="E2854" s="1">
        <v>31</v>
      </c>
      <c r="F2854" s="1">
        <v>2</v>
      </c>
      <c r="G2854" s="1">
        <v>45.76</v>
      </c>
      <c r="H2854" s="1" t="s">
        <v>9</v>
      </c>
      <c r="I2854" t="str">
        <f t="shared" si="44"/>
        <v>BLACK ASSORTED DROPLET DECORATION [35611B]</v>
      </c>
    </row>
    <row r="2855" spans="1:9" x14ac:dyDescent="0.3">
      <c r="A2855" s="1" t="s">
        <v>3254</v>
      </c>
      <c r="B2855" t="s">
        <v>3253</v>
      </c>
      <c r="C2855" s="1">
        <v>0.19</v>
      </c>
      <c r="D2855" s="1">
        <v>32.5</v>
      </c>
      <c r="E2855" s="1">
        <v>32.5</v>
      </c>
      <c r="F2855" s="1">
        <v>4</v>
      </c>
      <c r="G2855" s="1">
        <v>24.7</v>
      </c>
      <c r="H2855" s="1" t="s">
        <v>9</v>
      </c>
      <c r="I2855" t="str">
        <f t="shared" si="44"/>
        <v>BLUE TINSEL GARLAND [35633B]</v>
      </c>
    </row>
    <row r="2856" spans="1:9" x14ac:dyDescent="0.3">
      <c r="A2856" s="1" t="s">
        <v>3252</v>
      </c>
      <c r="B2856" t="s">
        <v>3251</v>
      </c>
      <c r="C2856" s="1">
        <v>5.95</v>
      </c>
      <c r="D2856" s="1">
        <v>7</v>
      </c>
      <c r="E2856" s="1">
        <v>32</v>
      </c>
      <c r="F2856" s="1">
        <v>17</v>
      </c>
      <c r="G2856" s="1">
        <v>1335.5</v>
      </c>
      <c r="H2856" s="1" t="s">
        <v>8</v>
      </c>
      <c r="I2856" t="str">
        <f t="shared" si="44"/>
        <v>IVORY STRING CURTAIN WITH POLE [35637A]</v>
      </c>
    </row>
    <row r="2857" spans="1:9" x14ac:dyDescent="0.3">
      <c r="A2857" s="1" t="s">
        <v>3250</v>
      </c>
      <c r="B2857" t="s">
        <v>3249</v>
      </c>
      <c r="C2857" s="1">
        <v>5.95</v>
      </c>
      <c r="D2857" s="1">
        <v>5</v>
      </c>
      <c r="E2857" s="2">
        <v>8.9090909090908994</v>
      </c>
      <c r="F2857" s="1">
        <v>11</v>
      </c>
      <c r="G2857" s="1">
        <v>292.88</v>
      </c>
      <c r="H2857" s="1" t="s">
        <v>8</v>
      </c>
      <c r="I2857" t="str">
        <f t="shared" si="44"/>
        <v>PINK STRING CURTAIN WITH POLE [35637C]</v>
      </c>
    </row>
    <row r="2858" spans="1:9" x14ac:dyDescent="0.3">
      <c r="A2858" s="1" t="s">
        <v>3248</v>
      </c>
      <c r="B2858" t="s">
        <v>3247</v>
      </c>
      <c r="C2858" s="1">
        <v>3.95</v>
      </c>
      <c r="D2858" s="1">
        <v>1</v>
      </c>
      <c r="E2858" s="1">
        <v>6.5</v>
      </c>
      <c r="F2858" s="1">
        <v>6</v>
      </c>
      <c r="G2858" s="1">
        <v>88.05</v>
      </c>
      <c r="H2858" s="1" t="s">
        <v>8</v>
      </c>
      <c r="I2858" t="str">
        <f t="shared" si="44"/>
        <v>PINK AND BLACK STRING CURTAIN [35638A]</v>
      </c>
    </row>
    <row r="2859" spans="1:9" x14ac:dyDescent="0.3">
      <c r="A2859" s="1" t="s">
        <v>3246</v>
      </c>
      <c r="B2859" t="s">
        <v>3245</v>
      </c>
      <c r="C2859" s="1">
        <v>3.33</v>
      </c>
      <c r="D2859" s="1">
        <v>3.5</v>
      </c>
      <c r="E2859" s="1">
        <v>14.625</v>
      </c>
      <c r="F2859" s="1">
        <v>8</v>
      </c>
      <c r="G2859" s="1">
        <v>293.33</v>
      </c>
      <c r="H2859" s="1" t="s">
        <v>8</v>
      </c>
      <c r="I2859" t="str">
        <f t="shared" si="44"/>
        <v>PINK/BLUE STRING CURTAIN [35638B]</v>
      </c>
    </row>
    <row r="2860" spans="1:9" x14ac:dyDescent="0.3">
      <c r="A2860" s="1">
        <v>35644</v>
      </c>
      <c r="B2860" t="s">
        <v>3244</v>
      </c>
      <c r="C2860" s="1">
        <v>1.95</v>
      </c>
      <c r="D2860" s="1">
        <v>2.5</v>
      </c>
      <c r="E2860" s="1">
        <v>5.25</v>
      </c>
      <c r="F2860" s="1">
        <v>4</v>
      </c>
      <c r="G2860" s="1">
        <v>40.950000000000003</v>
      </c>
      <c r="H2860" s="1" t="s">
        <v>8</v>
      </c>
      <c r="I2860" t="str">
        <f t="shared" si="44"/>
        <v>PAIR PINK/BLACK COATHANGERS [35644]</v>
      </c>
    </row>
    <row r="2861" spans="1:9" x14ac:dyDescent="0.3">
      <c r="A2861" s="1">
        <v>35645</v>
      </c>
      <c r="B2861" t="s">
        <v>3243</v>
      </c>
      <c r="C2861" s="1">
        <v>4.95</v>
      </c>
      <c r="D2861" s="1">
        <v>5.5</v>
      </c>
      <c r="E2861" s="2">
        <v>5.0833333333333304</v>
      </c>
      <c r="F2861" s="1">
        <v>12</v>
      </c>
      <c r="G2861" s="1">
        <v>301.81</v>
      </c>
      <c r="H2861" s="1" t="s">
        <v>8</v>
      </c>
      <c r="I2861" t="str">
        <f t="shared" si="44"/>
        <v>VINTAGE BEAD PINK JEWEL BOX [35645]</v>
      </c>
    </row>
    <row r="2862" spans="1:9" x14ac:dyDescent="0.3">
      <c r="A2862" s="1">
        <v>35646</v>
      </c>
      <c r="B2862" t="s">
        <v>3242</v>
      </c>
      <c r="C2862" s="1">
        <v>1.33</v>
      </c>
      <c r="D2862" s="1">
        <v>35</v>
      </c>
      <c r="E2862" s="2">
        <v>55.909090909090899</v>
      </c>
      <c r="F2862" s="1">
        <v>11</v>
      </c>
      <c r="G2862" s="1">
        <v>920.25</v>
      </c>
      <c r="H2862" s="1" t="s">
        <v>9</v>
      </c>
      <c r="I2862" t="str">
        <f t="shared" si="44"/>
        <v>VINTAGE BEAD PINK EVENING BAG [35646]</v>
      </c>
    </row>
    <row r="2863" spans="1:9" x14ac:dyDescent="0.3">
      <c r="A2863" s="1">
        <v>35647</v>
      </c>
      <c r="B2863" t="s">
        <v>3241</v>
      </c>
      <c r="C2863" s="1">
        <v>1.355</v>
      </c>
      <c r="D2863" s="1">
        <v>10.5</v>
      </c>
      <c r="E2863" s="2">
        <v>40.214285714285701</v>
      </c>
      <c r="F2863" s="1">
        <v>14</v>
      </c>
      <c r="G2863" s="1">
        <v>748.24</v>
      </c>
      <c r="H2863" s="1" t="s">
        <v>9</v>
      </c>
      <c r="I2863" t="str">
        <f t="shared" si="44"/>
        <v>VINTAGE BEAD PINK SHADE [35647]</v>
      </c>
    </row>
    <row r="2864" spans="1:9" x14ac:dyDescent="0.3">
      <c r="A2864" s="1">
        <v>35648</v>
      </c>
      <c r="B2864" t="s">
        <v>3240</v>
      </c>
      <c r="C2864" s="1">
        <v>1.375</v>
      </c>
      <c r="D2864" s="1">
        <v>52.5</v>
      </c>
      <c r="E2864" s="1">
        <v>64.625</v>
      </c>
      <c r="F2864" s="1">
        <v>16</v>
      </c>
      <c r="G2864" s="1">
        <v>1231.8699999999999</v>
      </c>
      <c r="H2864" s="1" t="s">
        <v>9</v>
      </c>
      <c r="I2864" t="str">
        <f t="shared" si="44"/>
        <v>VINTAGE BEAD PINK PURSE [35648]</v>
      </c>
    </row>
    <row r="2865" spans="1:9" x14ac:dyDescent="0.3">
      <c r="A2865" s="1">
        <v>35649</v>
      </c>
      <c r="B2865" t="s">
        <v>3239</v>
      </c>
      <c r="C2865" s="1">
        <v>3.35</v>
      </c>
      <c r="D2865" s="1">
        <v>5</v>
      </c>
      <c r="E2865" s="2">
        <v>6.5333333333333297</v>
      </c>
      <c r="F2865" s="1">
        <v>15</v>
      </c>
      <c r="G2865" s="1">
        <v>326.10000000000002</v>
      </c>
      <c r="H2865" s="1" t="s">
        <v>8</v>
      </c>
      <c r="I2865" t="str">
        <f t="shared" si="44"/>
        <v>VINTAGE BEAD COSMETIC BAG [35649]</v>
      </c>
    </row>
    <row r="2866" spans="1:9" x14ac:dyDescent="0.3">
      <c r="A2866" s="1">
        <v>35650</v>
      </c>
      <c r="B2866" t="s">
        <v>3238</v>
      </c>
      <c r="C2866" s="1">
        <v>4.95</v>
      </c>
      <c r="D2866" s="1">
        <v>1</v>
      </c>
      <c r="E2866" s="1">
        <v>1</v>
      </c>
      <c r="F2866" s="1">
        <v>3</v>
      </c>
      <c r="G2866" s="2">
        <v>14.85</v>
      </c>
      <c r="H2866" s="1" t="s">
        <v>8</v>
      </c>
      <c r="I2866" t="str">
        <f t="shared" si="44"/>
        <v>VINTAGE BEAD PINK JEWEL STAND [35650]</v>
      </c>
    </row>
    <row r="2867" spans="1:9" x14ac:dyDescent="0.3">
      <c r="A2867" s="1">
        <v>35651</v>
      </c>
      <c r="B2867" t="s">
        <v>3237</v>
      </c>
      <c r="C2867" s="1">
        <v>1.65</v>
      </c>
      <c r="D2867" s="1">
        <v>41</v>
      </c>
      <c r="E2867" s="2">
        <v>50.1111111111111</v>
      </c>
      <c r="F2867" s="1">
        <v>9</v>
      </c>
      <c r="G2867" s="1">
        <v>985.84</v>
      </c>
      <c r="H2867" s="1" t="s">
        <v>9</v>
      </c>
      <c r="I2867" t="str">
        <f t="shared" si="44"/>
        <v>VINTAGE BEAD PINK SCARF [35651]</v>
      </c>
    </row>
    <row r="2868" spans="1:9" x14ac:dyDescent="0.3">
      <c r="A2868" s="1">
        <v>35652</v>
      </c>
      <c r="B2868" t="s">
        <v>3236</v>
      </c>
      <c r="C2868" s="1">
        <v>6.75</v>
      </c>
      <c r="D2868" s="1">
        <v>2</v>
      </c>
      <c r="E2868" s="1">
        <v>2</v>
      </c>
      <c r="F2868" s="1">
        <v>1</v>
      </c>
      <c r="G2868" s="1">
        <v>13.5</v>
      </c>
      <c r="H2868" s="1" t="s">
        <v>8</v>
      </c>
      <c r="I2868" t="str">
        <f t="shared" si="44"/>
        <v>VINTAGE BEAD CHAISE LONG JEWEL BOX [35652]</v>
      </c>
    </row>
    <row r="2869" spans="1:9" x14ac:dyDescent="0.3">
      <c r="A2869" s="1">
        <v>35653</v>
      </c>
      <c r="B2869" t="s">
        <v>3235</v>
      </c>
      <c r="C2869" s="2">
        <v>3.21999999999999</v>
      </c>
      <c r="D2869" s="1">
        <v>11.5</v>
      </c>
      <c r="E2869" s="1">
        <v>15.55</v>
      </c>
      <c r="F2869" s="1">
        <v>20</v>
      </c>
      <c r="G2869" s="1">
        <v>982.53</v>
      </c>
      <c r="H2869" s="1" t="s">
        <v>9</v>
      </c>
      <c r="I2869" t="str">
        <f t="shared" si="44"/>
        <v>VINTAGE BEAD NOTEBOOK [35653]</v>
      </c>
    </row>
    <row r="2870" spans="1:9" x14ac:dyDescent="0.3">
      <c r="A2870" s="1">
        <v>35654</v>
      </c>
      <c r="B2870" t="s">
        <v>3234</v>
      </c>
      <c r="C2870" s="1">
        <v>4.95</v>
      </c>
      <c r="D2870" s="1">
        <v>2</v>
      </c>
      <c r="E2870" s="1">
        <v>2.4</v>
      </c>
      <c r="F2870" s="1">
        <v>5</v>
      </c>
      <c r="G2870" s="1">
        <v>59.4</v>
      </c>
      <c r="H2870" s="1" t="s">
        <v>8</v>
      </c>
      <c r="I2870" t="str">
        <f t="shared" si="44"/>
        <v>VINTAGE BEAD FILLED PINK CUSHION [35654]</v>
      </c>
    </row>
    <row r="2871" spans="1:9" x14ac:dyDescent="0.3">
      <c r="A2871" s="1" t="s">
        <v>3233</v>
      </c>
      <c r="B2871" t="s">
        <v>3232</v>
      </c>
      <c r="C2871" s="1">
        <v>0.41</v>
      </c>
      <c r="D2871" s="1">
        <v>31</v>
      </c>
      <c r="E2871" s="1">
        <v>31</v>
      </c>
      <c r="F2871" s="1">
        <v>1</v>
      </c>
      <c r="G2871" s="1">
        <v>12.61</v>
      </c>
      <c r="H2871" s="1" t="s">
        <v>9</v>
      </c>
      <c r="I2871" t="str">
        <f t="shared" si="44"/>
        <v>PURPLE CURRENT CANDLE RING [35751C]</v>
      </c>
    </row>
    <row r="2872" spans="1:9" x14ac:dyDescent="0.3">
      <c r="A2872" s="1" t="s">
        <v>3231</v>
      </c>
      <c r="B2872" t="s">
        <v>3230</v>
      </c>
      <c r="C2872" s="1">
        <v>0.19</v>
      </c>
      <c r="D2872" s="1">
        <v>28</v>
      </c>
      <c r="E2872" s="1">
        <v>28</v>
      </c>
      <c r="F2872" s="1">
        <v>1</v>
      </c>
      <c r="G2872" s="1">
        <v>5.32</v>
      </c>
      <c r="H2872" s="1" t="s">
        <v>9</v>
      </c>
      <c r="I2872" t="str">
        <f t="shared" si="44"/>
        <v>PINK CURRENT CANDLE RING [35751D]</v>
      </c>
    </row>
    <row r="2873" spans="1:9" x14ac:dyDescent="0.3">
      <c r="A2873" s="1">
        <v>35793</v>
      </c>
      <c r="B2873" t="s">
        <v>3229</v>
      </c>
      <c r="C2873" s="1">
        <v>2</v>
      </c>
      <c r="D2873" s="1">
        <v>108</v>
      </c>
      <c r="E2873" s="1">
        <v>108</v>
      </c>
      <c r="F2873" s="1">
        <v>1</v>
      </c>
      <c r="G2873" s="1">
        <v>216.33</v>
      </c>
      <c r="H2873" s="1" t="s">
        <v>10</v>
      </c>
      <c r="I2873" t="str">
        <f t="shared" si="44"/>
        <v>S/3 PUPPIES CHRISTMAS DECORATIONS [35793]</v>
      </c>
    </row>
    <row r="2874" spans="1:9" x14ac:dyDescent="0.3">
      <c r="A2874" s="1" t="s">
        <v>3228</v>
      </c>
      <c r="B2874" t="s">
        <v>3224</v>
      </c>
      <c r="C2874" s="1">
        <v>2.2400000000000002</v>
      </c>
      <c r="D2874" s="1">
        <v>34</v>
      </c>
      <c r="E2874" s="1">
        <v>59.842105263157897</v>
      </c>
      <c r="F2874" s="1">
        <v>19</v>
      </c>
      <c r="G2874" s="1">
        <v>1666.78</v>
      </c>
      <c r="H2874" s="1" t="s">
        <v>9</v>
      </c>
      <c r="I2874" t="str">
        <f t="shared" si="44"/>
        <v>ENAMEL PINK TEA CONTAINER [35809A]</v>
      </c>
    </row>
    <row r="2875" spans="1:9" x14ac:dyDescent="0.3">
      <c r="A2875" s="1" t="s">
        <v>3227</v>
      </c>
      <c r="B2875" t="s">
        <v>3226</v>
      </c>
      <c r="C2875" s="1">
        <v>2.1349999999999998</v>
      </c>
      <c r="D2875" s="1">
        <v>3</v>
      </c>
      <c r="E2875" s="1">
        <v>10.4</v>
      </c>
      <c r="F2875" s="1">
        <v>10</v>
      </c>
      <c r="G2875" s="1">
        <v>227.54</v>
      </c>
      <c r="H2875" s="1" t="s">
        <v>8</v>
      </c>
      <c r="I2875" t="str">
        <f t="shared" si="44"/>
        <v>ENAMEL BLUE RIM TEA CONTAINER [35809B]</v>
      </c>
    </row>
    <row r="2876" spans="1:9" x14ac:dyDescent="0.3">
      <c r="A2876" s="1" t="s">
        <v>3225</v>
      </c>
      <c r="B2876" t="s">
        <v>3224</v>
      </c>
      <c r="C2876" s="1">
        <v>4.13</v>
      </c>
      <c r="D2876" s="1">
        <v>1</v>
      </c>
      <c r="E2876" s="2">
        <v>1.4285714285714199</v>
      </c>
      <c r="F2876" s="1">
        <v>7</v>
      </c>
      <c r="G2876" s="1">
        <v>41.54</v>
      </c>
      <c r="H2876" s="1" t="s">
        <v>8</v>
      </c>
      <c r="I2876" t="str">
        <f t="shared" si="44"/>
        <v>ENAMEL PINK TEA CONTAINER [35809a]</v>
      </c>
    </row>
    <row r="2877" spans="1:9" x14ac:dyDescent="0.3">
      <c r="A2877" s="1" t="s">
        <v>3223</v>
      </c>
      <c r="B2877" t="s">
        <v>3222</v>
      </c>
      <c r="C2877" s="1">
        <v>2.11</v>
      </c>
      <c r="D2877" s="1">
        <v>34</v>
      </c>
      <c r="E2877" s="2">
        <v>52.391304347826001</v>
      </c>
      <c r="F2877" s="1">
        <v>23</v>
      </c>
      <c r="G2877" s="1">
        <v>1604.74</v>
      </c>
      <c r="H2877" s="1" t="s">
        <v>9</v>
      </c>
      <c r="I2877" t="str">
        <f t="shared" si="44"/>
        <v>ENAMEL PINK COFFEE CONTAINER [35810A]</v>
      </c>
    </row>
    <row r="2878" spans="1:9" x14ac:dyDescent="0.3">
      <c r="A2878" s="1" t="s">
        <v>3221</v>
      </c>
      <c r="B2878" t="s">
        <v>3220</v>
      </c>
      <c r="C2878" s="1">
        <v>2.1</v>
      </c>
      <c r="D2878" s="1">
        <v>14</v>
      </c>
      <c r="E2878" s="2">
        <v>17.105263157894701</v>
      </c>
      <c r="F2878" s="1">
        <v>19</v>
      </c>
      <c r="G2878" s="1">
        <v>517.71</v>
      </c>
      <c r="H2878" s="1" t="s">
        <v>9</v>
      </c>
      <c r="I2878" t="str">
        <f t="shared" si="44"/>
        <v>ENAMEL BLUE RIM COFFEE CONTAINER [35810B]</v>
      </c>
    </row>
    <row r="2879" spans="1:9" x14ac:dyDescent="0.3">
      <c r="A2879" s="1" t="s">
        <v>3219</v>
      </c>
      <c r="B2879" t="s">
        <v>3218</v>
      </c>
      <c r="C2879" s="1">
        <v>2.1</v>
      </c>
      <c r="D2879" s="1">
        <v>25</v>
      </c>
      <c r="E2879" s="2">
        <v>39.454545454545404</v>
      </c>
      <c r="F2879" s="1">
        <v>11</v>
      </c>
      <c r="G2879" s="1">
        <v>762.97</v>
      </c>
      <c r="H2879" s="1" t="s">
        <v>9</v>
      </c>
      <c r="I2879" t="str">
        <f t="shared" si="44"/>
        <v>ENAMEL PINK SUGAR CONTAINER [35811A]</v>
      </c>
    </row>
    <row r="2880" spans="1:9" x14ac:dyDescent="0.3">
      <c r="A2880" s="1" t="s">
        <v>3217</v>
      </c>
      <c r="B2880" t="s">
        <v>3209</v>
      </c>
      <c r="C2880" s="1">
        <v>0.46</v>
      </c>
      <c r="D2880" s="1">
        <v>95</v>
      </c>
      <c r="E2880" s="1">
        <v>95</v>
      </c>
      <c r="F2880" s="1">
        <v>1</v>
      </c>
      <c r="G2880" s="1">
        <v>43.94</v>
      </c>
      <c r="H2880" s="1" t="s">
        <v>10</v>
      </c>
      <c r="I2880" t="str">
        <f t="shared" si="44"/>
        <v>ACRYLIC JEWEL SNOWFLAKE,BLUE [35815B]</v>
      </c>
    </row>
    <row r="2881" spans="1:9" x14ac:dyDescent="0.3">
      <c r="A2881" s="1" t="s">
        <v>3216</v>
      </c>
      <c r="B2881" t="s">
        <v>3215</v>
      </c>
      <c r="C2881" s="1">
        <v>2.1</v>
      </c>
      <c r="D2881" s="1">
        <v>1</v>
      </c>
      <c r="E2881" s="2">
        <v>2.3333333333333299</v>
      </c>
      <c r="F2881" s="1">
        <v>3</v>
      </c>
      <c r="G2881" s="1">
        <v>14.7</v>
      </c>
      <c r="H2881" s="1" t="s">
        <v>8</v>
      </c>
      <c r="I2881" t="str">
        <f t="shared" si="44"/>
        <v>ACRYLIC JEWEL SNOWFLAKE, PINK [35815P]</v>
      </c>
    </row>
    <row r="2882" spans="1:9" x14ac:dyDescent="0.3">
      <c r="A2882" s="1" t="s">
        <v>3214</v>
      </c>
      <c r="B2882" t="s">
        <v>3213</v>
      </c>
      <c r="C2882" s="1">
        <v>1.25</v>
      </c>
      <c r="D2882" s="1">
        <v>2</v>
      </c>
      <c r="E2882" s="2">
        <v>46.3333333333333</v>
      </c>
      <c r="F2882" s="1">
        <v>3</v>
      </c>
      <c r="G2882" s="1">
        <v>58.07</v>
      </c>
      <c r="H2882" s="1" t="s">
        <v>8</v>
      </c>
      <c r="I2882" t="str">
        <f t="shared" si="44"/>
        <v>ACRYLIC JEWEL ANGEL,BLUE [35816B]</v>
      </c>
    </row>
    <row r="2883" spans="1:9" x14ac:dyDescent="0.3">
      <c r="A2883" s="1" t="s">
        <v>3212</v>
      </c>
      <c r="B2883" t="s">
        <v>3211</v>
      </c>
      <c r="C2883" s="1">
        <v>0.52500000000000002</v>
      </c>
      <c r="D2883" s="1">
        <v>72</v>
      </c>
      <c r="E2883" s="1">
        <v>73.75</v>
      </c>
      <c r="F2883" s="1">
        <v>4</v>
      </c>
      <c r="G2883" s="1">
        <v>132.41</v>
      </c>
      <c r="H2883" s="1" t="s">
        <v>10</v>
      </c>
      <c r="I2883" t="str">
        <f t="shared" ref="I2883:I2946" si="45">B2883&amp;" ["&amp;A2883&amp;"]"</f>
        <v>ACRYLIC JEWEL ANGEL,PINK [35816P]</v>
      </c>
    </row>
    <row r="2884" spans="1:9" x14ac:dyDescent="0.3">
      <c r="A2884" s="1" t="s">
        <v>3210</v>
      </c>
      <c r="B2884" t="s">
        <v>3209</v>
      </c>
      <c r="C2884" s="1">
        <v>3.86</v>
      </c>
      <c r="D2884" s="1">
        <v>2</v>
      </c>
      <c r="E2884" s="1">
        <v>2</v>
      </c>
      <c r="F2884" s="1">
        <v>1</v>
      </c>
      <c r="G2884" s="1">
        <v>7.72</v>
      </c>
      <c r="H2884" s="1" t="s">
        <v>8</v>
      </c>
      <c r="I2884" t="str">
        <f t="shared" si="45"/>
        <v>ACRYLIC JEWEL SNOWFLAKE,BLUE [35817B]</v>
      </c>
    </row>
    <row r="2885" spans="1:9" x14ac:dyDescent="0.3">
      <c r="A2885" s="1" t="s">
        <v>3208</v>
      </c>
      <c r="B2885" t="s">
        <v>3207</v>
      </c>
      <c r="C2885" s="1">
        <v>0.46500000000000002</v>
      </c>
      <c r="D2885" s="1">
        <v>44</v>
      </c>
      <c r="E2885" s="1">
        <v>68</v>
      </c>
      <c r="F2885" s="1">
        <v>6</v>
      </c>
      <c r="G2885" s="1">
        <v>186.1</v>
      </c>
      <c r="H2885" s="1" t="s">
        <v>9</v>
      </c>
      <c r="I2885" t="str">
        <f t="shared" si="45"/>
        <v>ACRYLIC JEWEL SNOWFLAKE,PINK [35817P]</v>
      </c>
    </row>
    <row r="2886" spans="1:9" x14ac:dyDescent="0.3">
      <c r="A2886" s="1" t="s">
        <v>3206</v>
      </c>
      <c r="B2886" t="s">
        <v>3205</v>
      </c>
      <c r="C2886" s="1">
        <v>0.38</v>
      </c>
      <c r="D2886" s="1">
        <v>72</v>
      </c>
      <c r="E2886" s="2">
        <v>57.857142857142797</v>
      </c>
      <c r="F2886" s="1">
        <v>7</v>
      </c>
      <c r="G2886" s="1">
        <v>175.1</v>
      </c>
      <c r="H2886" s="1" t="s">
        <v>10</v>
      </c>
      <c r="I2886" t="str">
        <f t="shared" si="45"/>
        <v>ACRYLIC JEWEL ICICLE, BLUE [35818B]</v>
      </c>
    </row>
    <row r="2887" spans="1:9" x14ac:dyDescent="0.3">
      <c r="A2887" s="1" t="s">
        <v>3204</v>
      </c>
      <c r="B2887" t="s">
        <v>3203</v>
      </c>
      <c r="C2887" s="1">
        <v>3.43</v>
      </c>
      <c r="D2887" s="1">
        <v>1</v>
      </c>
      <c r="E2887" s="1">
        <v>1</v>
      </c>
      <c r="F2887" s="1">
        <v>1</v>
      </c>
      <c r="G2887" s="1">
        <v>3.43</v>
      </c>
      <c r="H2887" s="1" t="s">
        <v>8</v>
      </c>
      <c r="I2887" t="str">
        <f t="shared" si="45"/>
        <v>ACRYLIC JEWEL ICICLE, CLEAR [35818C]</v>
      </c>
    </row>
    <row r="2888" spans="1:9" x14ac:dyDescent="0.3">
      <c r="A2888" s="1" t="s">
        <v>3202</v>
      </c>
      <c r="B2888" t="s">
        <v>3201</v>
      </c>
      <c r="C2888" s="1">
        <v>0.38</v>
      </c>
      <c r="D2888" s="1">
        <v>71.5</v>
      </c>
      <c r="E2888" s="1">
        <v>69</v>
      </c>
      <c r="F2888" s="1">
        <v>8</v>
      </c>
      <c r="G2888" s="1">
        <v>218.7</v>
      </c>
      <c r="H2888" s="1" t="s">
        <v>10</v>
      </c>
      <c r="I2888" t="str">
        <f t="shared" si="45"/>
        <v>ACRYLIC JEWEL ICICLE, PINK [35818P]</v>
      </c>
    </row>
    <row r="2889" spans="1:9" x14ac:dyDescent="0.3">
      <c r="A2889" s="1" t="s">
        <v>3200</v>
      </c>
      <c r="B2889" t="s">
        <v>3199</v>
      </c>
      <c r="C2889" s="1">
        <v>1.25</v>
      </c>
      <c r="D2889" s="1">
        <v>9.5</v>
      </c>
      <c r="E2889" s="2">
        <v>32.0833333333333</v>
      </c>
      <c r="F2889" s="1">
        <v>12</v>
      </c>
      <c r="G2889" s="1">
        <v>192.3</v>
      </c>
      <c r="H2889" s="1" t="s">
        <v>8</v>
      </c>
      <c r="I2889" t="str">
        <f t="shared" si="45"/>
        <v>ACRYLIC HANGING JEWEL,BLUE [35819B]</v>
      </c>
    </row>
    <row r="2890" spans="1:9" x14ac:dyDescent="0.3">
      <c r="A2890" s="1" t="s">
        <v>3198</v>
      </c>
      <c r="B2890" t="s">
        <v>3197</v>
      </c>
      <c r="C2890" s="1">
        <v>0.38</v>
      </c>
      <c r="D2890" s="1">
        <v>30</v>
      </c>
      <c r="E2890" s="1">
        <v>30</v>
      </c>
      <c r="F2890" s="1">
        <v>2</v>
      </c>
      <c r="G2890" s="1">
        <v>22.8</v>
      </c>
      <c r="H2890" s="1" t="s">
        <v>9</v>
      </c>
      <c r="I2890" t="str">
        <f t="shared" si="45"/>
        <v>ACRYLIC HANGING JEWEL,PINK [35819P]</v>
      </c>
    </row>
    <row r="2891" spans="1:9" x14ac:dyDescent="0.3">
      <c r="A2891" s="1" t="s">
        <v>3196</v>
      </c>
      <c r="B2891" t="s">
        <v>3195</v>
      </c>
      <c r="C2891" s="1">
        <v>0.38</v>
      </c>
      <c r="D2891" s="1">
        <v>75</v>
      </c>
      <c r="E2891" s="1">
        <v>75</v>
      </c>
      <c r="F2891" s="1">
        <v>2</v>
      </c>
      <c r="G2891" s="1">
        <v>57</v>
      </c>
      <c r="H2891" s="1" t="s">
        <v>10</v>
      </c>
      <c r="I2891" t="str">
        <f t="shared" si="45"/>
        <v>JEWELLED DECORATION,BLUE [35821B]</v>
      </c>
    </row>
    <row r="2892" spans="1:9" x14ac:dyDescent="0.3">
      <c r="A2892" s="1" t="s">
        <v>3194</v>
      </c>
      <c r="B2892" t="s">
        <v>3193</v>
      </c>
      <c r="C2892" s="1">
        <v>2.95</v>
      </c>
      <c r="D2892" s="1">
        <v>2</v>
      </c>
      <c r="E2892" s="1">
        <v>2</v>
      </c>
      <c r="F2892" s="1">
        <v>1</v>
      </c>
      <c r="G2892" s="1">
        <v>5.9</v>
      </c>
      <c r="H2892" s="1" t="s">
        <v>8</v>
      </c>
      <c r="I2892" t="str">
        <f t="shared" si="45"/>
        <v>JEWELLED DECORATION,PINK [35821P]</v>
      </c>
    </row>
    <row r="2893" spans="1:9" x14ac:dyDescent="0.3">
      <c r="A2893" s="1" t="s">
        <v>3192</v>
      </c>
      <c r="B2893" t="s">
        <v>3191</v>
      </c>
      <c r="C2893" s="1">
        <v>0.38</v>
      </c>
      <c r="D2893" s="1">
        <v>229</v>
      </c>
      <c r="E2893" s="1">
        <v>229</v>
      </c>
      <c r="F2893" s="1">
        <v>1</v>
      </c>
      <c r="G2893" s="1">
        <v>87.02</v>
      </c>
      <c r="H2893" s="1" t="s">
        <v>10</v>
      </c>
      <c r="I2893" t="str">
        <f t="shared" si="45"/>
        <v>ACRYLIC BEAD CHAIN, BLUE [35822B]</v>
      </c>
    </row>
    <row r="2894" spans="1:9" x14ac:dyDescent="0.3">
      <c r="A2894" s="1" t="s">
        <v>3190</v>
      </c>
      <c r="B2894" t="s">
        <v>3189</v>
      </c>
      <c r="C2894" s="1">
        <v>0.38</v>
      </c>
      <c r="D2894" s="1">
        <v>114</v>
      </c>
      <c r="E2894" s="1">
        <v>114</v>
      </c>
      <c r="F2894" s="1">
        <v>1</v>
      </c>
      <c r="G2894" s="1">
        <v>43.32</v>
      </c>
      <c r="H2894" s="1" t="s">
        <v>10</v>
      </c>
      <c r="I2894" t="str">
        <f t="shared" si="45"/>
        <v>ACRYLIC BEAD CHAIN, PINK [35822P]</v>
      </c>
    </row>
    <row r="2895" spans="1:9" x14ac:dyDescent="0.3">
      <c r="A2895" s="1" t="s">
        <v>3188</v>
      </c>
      <c r="B2895" t="s">
        <v>3187</v>
      </c>
      <c r="C2895" s="1">
        <v>2.95</v>
      </c>
      <c r="D2895" s="1">
        <v>1</v>
      </c>
      <c r="E2895" s="1">
        <v>1</v>
      </c>
      <c r="F2895" s="1">
        <v>2</v>
      </c>
      <c r="G2895" s="1">
        <v>5.9</v>
      </c>
      <c r="H2895" s="1" t="s">
        <v>8</v>
      </c>
      <c r="I2895" t="str">
        <f t="shared" si="45"/>
        <v>ACRYLIC BEAD GARLAND,PINK [35823P]</v>
      </c>
    </row>
    <row r="2896" spans="1:9" x14ac:dyDescent="0.3">
      <c r="A2896" s="1" t="s">
        <v>3186</v>
      </c>
      <c r="B2896" t="s">
        <v>3185</v>
      </c>
      <c r="C2896" s="1">
        <v>0.38</v>
      </c>
      <c r="D2896" s="1">
        <v>95</v>
      </c>
      <c r="E2896" s="2">
        <v>175.666666666666</v>
      </c>
      <c r="F2896" s="1">
        <v>3</v>
      </c>
      <c r="G2896" s="2">
        <v>200.26</v>
      </c>
      <c r="H2896" s="1" t="s">
        <v>10</v>
      </c>
      <c r="I2896" t="str">
        <f t="shared" si="45"/>
        <v>HANGING FLOWERS+MIRROR,BLUE [35824B]</v>
      </c>
    </row>
    <row r="2897" spans="1:9" x14ac:dyDescent="0.3">
      <c r="A2897" s="1" t="s">
        <v>3184</v>
      </c>
      <c r="B2897" t="s">
        <v>3183</v>
      </c>
      <c r="C2897" s="1">
        <v>0.54</v>
      </c>
      <c r="D2897" s="1">
        <v>91</v>
      </c>
      <c r="E2897" s="2">
        <v>78.3333333333333</v>
      </c>
      <c r="F2897" s="1">
        <v>3</v>
      </c>
      <c r="G2897" s="1">
        <v>117.05</v>
      </c>
      <c r="H2897" s="1" t="s">
        <v>10</v>
      </c>
      <c r="I2897" t="str">
        <f t="shared" si="45"/>
        <v>HANGING FLOWERS+MIRROR,CLEAR [35824C]</v>
      </c>
    </row>
    <row r="2898" spans="1:9" x14ac:dyDescent="0.3">
      <c r="A2898" s="1" t="s">
        <v>3182</v>
      </c>
      <c r="B2898" t="s">
        <v>3181</v>
      </c>
      <c r="C2898" s="1">
        <v>0.93500000000000005</v>
      </c>
      <c r="D2898" s="1">
        <v>162</v>
      </c>
      <c r="E2898" s="1">
        <v>162</v>
      </c>
      <c r="F2898" s="1">
        <v>2</v>
      </c>
      <c r="G2898" s="1">
        <v>136.44</v>
      </c>
      <c r="H2898" s="1" t="s">
        <v>10</v>
      </c>
      <c r="I2898" t="str">
        <f t="shared" si="45"/>
        <v>HANGING FLOWERS+MIRROR,PINK [35824P]</v>
      </c>
    </row>
    <row r="2899" spans="1:9" x14ac:dyDescent="0.3">
      <c r="A2899" s="1">
        <v>35832</v>
      </c>
      <c r="B2899" t="s">
        <v>3180</v>
      </c>
      <c r="C2899" s="1">
        <v>3</v>
      </c>
      <c r="D2899" s="1">
        <v>146</v>
      </c>
      <c r="E2899" s="2">
        <v>245.85714285714201</v>
      </c>
      <c r="F2899" s="1">
        <v>7</v>
      </c>
      <c r="G2899" s="1">
        <v>5169.66</v>
      </c>
      <c r="H2899" s="1" t="s">
        <v>10</v>
      </c>
      <c r="I2899" t="str">
        <f t="shared" si="45"/>
        <v>WOOLLY HAT SOCK GLOVE ADVENT STRING [35832]</v>
      </c>
    </row>
    <row r="2900" spans="1:9" x14ac:dyDescent="0.3">
      <c r="A2900" s="1" t="s">
        <v>3179</v>
      </c>
      <c r="B2900" t="s">
        <v>3178</v>
      </c>
      <c r="C2900" s="1">
        <v>1.28</v>
      </c>
      <c r="D2900" s="1">
        <v>22</v>
      </c>
      <c r="E2900" s="1">
        <v>22</v>
      </c>
      <c r="F2900" s="1">
        <v>6</v>
      </c>
      <c r="G2900" s="1">
        <v>213.94</v>
      </c>
      <c r="H2900" s="1" t="s">
        <v>9</v>
      </c>
      <c r="I2900" t="str">
        <f t="shared" si="45"/>
        <v>4 GOLD FLOCK CHRISTMAS BALLS [35833G]</v>
      </c>
    </row>
    <row r="2901" spans="1:9" x14ac:dyDescent="0.3">
      <c r="A2901" s="1" t="s">
        <v>3177</v>
      </c>
      <c r="B2901" t="s">
        <v>3176</v>
      </c>
      <c r="C2901" s="1">
        <v>1.25</v>
      </c>
      <c r="D2901" s="1">
        <v>17</v>
      </c>
      <c r="E2901" s="1">
        <v>15</v>
      </c>
      <c r="F2901" s="1">
        <v>9</v>
      </c>
      <c r="G2901" s="1">
        <v>187.74</v>
      </c>
      <c r="H2901" s="1" t="s">
        <v>9</v>
      </c>
      <c r="I2901" t="str">
        <f t="shared" si="45"/>
        <v>4 PINK FLOCK CHRISTMAS BALLS [35833P]</v>
      </c>
    </row>
    <row r="2902" spans="1:9" x14ac:dyDescent="0.3">
      <c r="A2902" s="1">
        <v>35837</v>
      </c>
      <c r="B2902" t="s">
        <v>3175</v>
      </c>
      <c r="C2902" s="1">
        <v>0.85</v>
      </c>
      <c r="D2902" s="1">
        <v>2</v>
      </c>
      <c r="E2902" s="1">
        <v>2</v>
      </c>
      <c r="F2902" s="1">
        <v>1</v>
      </c>
      <c r="G2902" s="1">
        <v>1.7</v>
      </c>
      <c r="H2902" s="1" t="s">
        <v>8</v>
      </c>
      <c r="I2902" t="str">
        <f t="shared" si="45"/>
        <v>SET OF SIX SILVER+RED FLOCK BAUBLES [35837]</v>
      </c>
    </row>
    <row r="2903" spans="1:9" x14ac:dyDescent="0.3">
      <c r="A2903" s="1" t="s">
        <v>3174</v>
      </c>
      <c r="B2903" t="s">
        <v>3173</v>
      </c>
      <c r="C2903" s="1">
        <v>0.85</v>
      </c>
      <c r="D2903" s="1">
        <v>41.5</v>
      </c>
      <c r="E2903" s="1">
        <v>45</v>
      </c>
      <c r="F2903" s="1">
        <v>4</v>
      </c>
      <c r="G2903" s="1">
        <v>184.4</v>
      </c>
      <c r="H2903" s="1" t="s">
        <v>9</v>
      </c>
      <c r="I2903" t="str">
        <f t="shared" si="45"/>
        <v>S/6 MULTICOLOUR ORNAMENETAL CANDLE [35838A]</v>
      </c>
    </row>
    <row r="2904" spans="1:9" x14ac:dyDescent="0.3">
      <c r="A2904" s="1" t="s">
        <v>3172</v>
      </c>
      <c r="B2904" t="s">
        <v>3171</v>
      </c>
      <c r="C2904" s="1">
        <v>0.85</v>
      </c>
      <c r="D2904" s="1">
        <v>27</v>
      </c>
      <c r="E2904" s="1">
        <v>25</v>
      </c>
      <c r="F2904" s="1">
        <v>4</v>
      </c>
      <c r="G2904" s="1">
        <v>85</v>
      </c>
      <c r="H2904" s="1" t="s">
        <v>9</v>
      </c>
      <c r="I2904" t="str">
        <f t="shared" si="45"/>
        <v>S/6 SILVER ORNAMENETAL CANDLE [35838B]</v>
      </c>
    </row>
    <row r="2905" spans="1:9" x14ac:dyDescent="0.3">
      <c r="A2905" s="1">
        <v>35840</v>
      </c>
      <c r="B2905" t="s">
        <v>3170</v>
      </c>
      <c r="C2905" s="1">
        <v>2.38</v>
      </c>
      <c r="D2905" s="1">
        <v>45</v>
      </c>
      <c r="E2905" s="1">
        <v>45</v>
      </c>
      <c r="F2905" s="1">
        <v>1</v>
      </c>
      <c r="G2905" s="1">
        <v>107.13</v>
      </c>
      <c r="H2905" s="1" t="s">
        <v>9</v>
      </c>
      <c r="I2905" t="str">
        <f t="shared" si="45"/>
        <v>FLAT GLASS  BAUBLE WHITE FLOCK [35840]</v>
      </c>
    </row>
    <row r="2906" spans="1:9" x14ac:dyDescent="0.3">
      <c r="A2906" s="1" t="s">
        <v>3169</v>
      </c>
      <c r="B2906" t="s">
        <v>3168</v>
      </c>
      <c r="C2906" s="1">
        <v>2.95</v>
      </c>
      <c r="D2906" s="1">
        <v>6</v>
      </c>
      <c r="E2906" s="1">
        <v>4</v>
      </c>
      <c r="F2906" s="1">
        <v>5</v>
      </c>
      <c r="G2906" s="1">
        <v>59</v>
      </c>
      <c r="H2906" s="1" t="s">
        <v>8</v>
      </c>
      <c r="I2906" t="str">
        <f t="shared" si="45"/>
        <v>RABBIT EASTER DECORATION [35909A]</v>
      </c>
    </row>
    <row r="2907" spans="1:9" x14ac:dyDescent="0.3">
      <c r="A2907" s="1" t="s">
        <v>3167</v>
      </c>
      <c r="B2907" t="s">
        <v>3163</v>
      </c>
      <c r="C2907" s="1">
        <v>2.95</v>
      </c>
      <c r="D2907" s="1">
        <v>2.5</v>
      </c>
      <c r="E2907" s="2">
        <v>2.6666666666666599</v>
      </c>
      <c r="F2907" s="1">
        <v>6</v>
      </c>
      <c r="G2907" s="1">
        <v>47.2</v>
      </c>
      <c r="H2907" s="1" t="s">
        <v>8</v>
      </c>
      <c r="I2907" t="str">
        <f t="shared" si="45"/>
        <v>PINK FLOWERS RABBIT EASTER [35909B]</v>
      </c>
    </row>
    <row r="2908" spans="1:9" x14ac:dyDescent="0.3">
      <c r="A2908" s="1" t="s">
        <v>3166</v>
      </c>
      <c r="B2908" t="s">
        <v>3165</v>
      </c>
      <c r="C2908" s="1">
        <v>1.95</v>
      </c>
      <c r="D2908" s="1">
        <v>6</v>
      </c>
      <c r="E2908" s="2">
        <v>5.8888888888888804</v>
      </c>
      <c r="F2908" s="1">
        <v>9</v>
      </c>
      <c r="G2908" s="1">
        <v>103.35</v>
      </c>
      <c r="H2908" s="1" t="s">
        <v>8</v>
      </c>
      <c r="I2908" t="str">
        <f t="shared" si="45"/>
        <v>MULTICOLOUR EASTER RABBIT [35910A]</v>
      </c>
    </row>
    <row r="2909" spans="1:9" x14ac:dyDescent="0.3">
      <c r="A2909" s="1" t="s">
        <v>3164</v>
      </c>
      <c r="B2909" t="s">
        <v>3163</v>
      </c>
      <c r="C2909" s="1">
        <v>2.0350000000000001</v>
      </c>
      <c r="D2909" s="1">
        <v>7.5</v>
      </c>
      <c r="E2909" s="1">
        <v>7.25</v>
      </c>
      <c r="F2909" s="1">
        <v>4</v>
      </c>
      <c r="G2909" s="1">
        <v>61.07</v>
      </c>
      <c r="H2909" s="1" t="s">
        <v>8</v>
      </c>
      <c r="I2909" t="str">
        <f t="shared" si="45"/>
        <v>PINK FLOWERS RABBIT EASTER [35910B]</v>
      </c>
    </row>
    <row r="2910" spans="1:9" x14ac:dyDescent="0.3">
      <c r="A2910" s="1" t="s">
        <v>3162</v>
      </c>
      <c r="B2910" t="s">
        <v>3161</v>
      </c>
      <c r="C2910" s="1">
        <v>2.1</v>
      </c>
      <c r="D2910" s="1">
        <v>8</v>
      </c>
      <c r="E2910" s="2">
        <v>20.421052631578899</v>
      </c>
      <c r="F2910" s="1">
        <v>19</v>
      </c>
      <c r="G2910" s="1">
        <v>466.69</v>
      </c>
      <c r="H2910" s="1" t="s">
        <v>8</v>
      </c>
      <c r="I2910" t="str">
        <f t="shared" si="45"/>
        <v>MULTICOLOUR RABBIT EGG WARMER [35911A]</v>
      </c>
    </row>
    <row r="2911" spans="1:9" x14ac:dyDescent="0.3">
      <c r="A2911" s="1" t="s">
        <v>3160</v>
      </c>
      <c r="B2911" t="s">
        <v>3159</v>
      </c>
      <c r="C2911" s="1">
        <v>2.1</v>
      </c>
      <c r="D2911" s="1">
        <v>8</v>
      </c>
      <c r="E2911" s="2">
        <v>17.6666666666666</v>
      </c>
      <c r="F2911" s="1">
        <v>9</v>
      </c>
      <c r="G2911" s="1">
        <v>184.76</v>
      </c>
      <c r="H2911" s="1" t="s">
        <v>8</v>
      </c>
      <c r="I2911" t="str">
        <f t="shared" si="45"/>
        <v>PINK/FLOWER RABBIT EGG WARMER [35911B]</v>
      </c>
    </row>
    <row r="2912" spans="1:9" x14ac:dyDescent="0.3">
      <c r="A2912" s="1" t="s">
        <v>3158</v>
      </c>
      <c r="B2912" t="s">
        <v>3157</v>
      </c>
      <c r="C2912" s="1">
        <v>1.25</v>
      </c>
      <c r="D2912" s="1">
        <v>12</v>
      </c>
      <c r="E2912" s="1">
        <v>24</v>
      </c>
      <c r="F2912" s="1">
        <v>12</v>
      </c>
      <c r="G2912" s="1">
        <v>355.58</v>
      </c>
      <c r="H2912" s="1" t="s">
        <v>9</v>
      </c>
      <c r="I2912" t="str">
        <f t="shared" si="45"/>
        <v>WHITE/PINK CHICK DECORATION [35912B]</v>
      </c>
    </row>
    <row r="2913" spans="1:9" x14ac:dyDescent="0.3">
      <c r="A2913" s="1" t="s">
        <v>3156</v>
      </c>
      <c r="B2913" t="s">
        <v>3155</v>
      </c>
      <c r="C2913" s="1">
        <v>0.85</v>
      </c>
      <c r="D2913" s="1">
        <v>6.5</v>
      </c>
      <c r="E2913" s="1">
        <v>9.9</v>
      </c>
      <c r="F2913" s="1">
        <v>10</v>
      </c>
      <c r="G2913" s="1">
        <v>89.03</v>
      </c>
      <c r="H2913" s="1" t="s">
        <v>8</v>
      </c>
      <c r="I2913" t="str">
        <f t="shared" si="45"/>
        <v>WHITE/PINK CHICK EASTER DECORATION [35913B]</v>
      </c>
    </row>
    <row r="2914" spans="1:9" x14ac:dyDescent="0.3">
      <c r="A2914" s="1">
        <v>35914</v>
      </c>
      <c r="B2914" t="s">
        <v>3154</v>
      </c>
      <c r="C2914" s="1">
        <v>2.1</v>
      </c>
      <c r="D2914" s="1">
        <v>8</v>
      </c>
      <c r="E2914" s="2">
        <v>18.692307692307601</v>
      </c>
      <c r="F2914" s="1">
        <v>13</v>
      </c>
      <c r="G2914" s="1">
        <v>336.58</v>
      </c>
      <c r="H2914" s="1" t="s">
        <v>8</v>
      </c>
      <c r="I2914" t="str">
        <f t="shared" si="45"/>
        <v>PINK CHICK EGG WARMER + EGG CUP [35914]</v>
      </c>
    </row>
    <row r="2915" spans="1:9" x14ac:dyDescent="0.3">
      <c r="A2915" s="1" t="s">
        <v>3153</v>
      </c>
      <c r="B2915" t="s">
        <v>3152</v>
      </c>
      <c r="C2915" s="1">
        <v>1.27</v>
      </c>
      <c r="D2915" s="1">
        <v>288</v>
      </c>
      <c r="E2915" s="1">
        <v>288</v>
      </c>
      <c r="F2915" s="1">
        <v>1</v>
      </c>
      <c r="G2915" s="1">
        <v>365.76</v>
      </c>
      <c r="H2915" s="1" t="s">
        <v>10</v>
      </c>
      <c r="I2915" t="str">
        <f t="shared" si="45"/>
        <v>CREAM KNITTED HEN [35915A]</v>
      </c>
    </row>
    <row r="2916" spans="1:9" x14ac:dyDescent="0.3">
      <c r="A2916" s="1" t="s">
        <v>3151</v>
      </c>
      <c r="B2916" t="s">
        <v>3150</v>
      </c>
      <c r="C2916" s="1">
        <v>1.65</v>
      </c>
      <c r="D2916" s="1">
        <v>10.5</v>
      </c>
      <c r="E2916" s="2">
        <v>46.9166666666666</v>
      </c>
      <c r="F2916" s="1">
        <v>12</v>
      </c>
      <c r="G2916" s="1">
        <v>713.73</v>
      </c>
      <c r="H2916" s="1" t="s">
        <v>9</v>
      </c>
      <c r="I2916" t="str">
        <f t="shared" si="45"/>
        <v>BLUE KNITTED HEN [35915B]</v>
      </c>
    </row>
    <row r="2917" spans="1:9" x14ac:dyDescent="0.3">
      <c r="A2917" s="1" t="s">
        <v>3149</v>
      </c>
      <c r="B2917" t="s">
        <v>3148</v>
      </c>
      <c r="C2917" s="1">
        <v>1.65</v>
      </c>
      <c r="D2917" s="1">
        <v>7</v>
      </c>
      <c r="E2917" s="2">
        <v>47.285714285714199</v>
      </c>
      <c r="F2917" s="1">
        <v>14</v>
      </c>
      <c r="G2917" s="2">
        <v>793.31999999999903</v>
      </c>
      <c r="H2917" s="1" t="s">
        <v>8</v>
      </c>
      <c r="I2917" t="str">
        <f t="shared" si="45"/>
        <v>PEACH KNITTED HEN [35915C]</v>
      </c>
    </row>
    <row r="2918" spans="1:9" x14ac:dyDescent="0.3">
      <c r="A2918" s="1" t="s">
        <v>3147</v>
      </c>
      <c r="B2918" t="s">
        <v>3146</v>
      </c>
      <c r="C2918" s="1">
        <v>1.63</v>
      </c>
      <c r="D2918" s="1">
        <v>2</v>
      </c>
      <c r="E2918" s="2">
        <v>7.1666666666666599</v>
      </c>
      <c r="F2918" s="1">
        <v>18</v>
      </c>
      <c r="G2918" s="2">
        <v>112.039999999999</v>
      </c>
      <c r="H2918" s="1" t="s">
        <v>8</v>
      </c>
      <c r="I2918" t="str">
        <f t="shared" si="45"/>
        <v>YELLOW FELT HANGING HEART W FLOWER [35916A]</v>
      </c>
    </row>
    <row r="2919" spans="1:9" x14ac:dyDescent="0.3">
      <c r="A2919" s="1" t="s">
        <v>3145</v>
      </c>
      <c r="B2919" t="s">
        <v>3144</v>
      </c>
      <c r="C2919" s="1">
        <v>1.63</v>
      </c>
      <c r="D2919" s="1">
        <v>1.5</v>
      </c>
      <c r="E2919" s="1">
        <v>8.25</v>
      </c>
      <c r="F2919" s="1">
        <v>16</v>
      </c>
      <c r="G2919" s="1">
        <v>119.67</v>
      </c>
      <c r="H2919" s="1" t="s">
        <v>8</v>
      </c>
      <c r="I2919" t="str">
        <f t="shared" si="45"/>
        <v>BLUE FELT HANGING HEART W FLOWER [35916B]</v>
      </c>
    </row>
    <row r="2920" spans="1:9" x14ac:dyDescent="0.3">
      <c r="A2920" s="1" t="s">
        <v>3143</v>
      </c>
      <c r="B2920" t="s">
        <v>3142</v>
      </c>
      <c r="C2920" s="1">
        <v>1.63</v>
      </c>
      <c r="D2920" s="1">
        <v>6</v>
      </c>
      <c r="E2920" s="2">
        <v>10.466666666666599</v>
      </c>
      <c r="F2920" s="1">
        <v>15</v>
      </c>
      <c r="G2920" s="1">
        <v>167.55</v>
      </c>
      <c r="H2920" s="1" t="s">
        <v>8</v>
      </c>
      <c r="I2920" t="str">
        <f t="shared" si="45"/>
        <v>PINK FELT HANGING HEART W FLOWER [35916C]</v>
      </c>
    </row>
    <row r="2921" spans="1:9" x14ac:dyDescent="0.3">
      <c r="A2921" s="1" t="s">
        <v>3141</v>
      </c>
      <c r="B2921" t="s">
        <v>3140</v>
      </c>
      <c r="C2921" s="1">
        <v>1.25</v>
      </c>
      <c r="D2921" s="1">
        <v>5</v>
      </c>
      <c r="E2921" s="1">
        <v>5</v>
      </c>
      <c r="F2921" s="1">
        <v>2</v>
      </c>
      <c r="G2921" s="1">
        <v>12.5</v>
      </c>
      <c r="H2921" s="1" t="s">
        <v>8</v>
      </c>
      <c r="I2921" t="str">
        <f t="shared" si="45"/>
        <v>BLUE FLORIBUNDA EGG WARMER [35918B]</v>
      </c>
    </row>
    <row r="2922" spans="1:9" x14ac:dyDescent="0.3">
      <c r="A2922" s="1">
        <v>35920</v>
      </c>
      <c r="B2922" t="s">
        <v>3139</v>
      </c>
      <c r="C2922" s="1">
        <v>1.25</v>
      </c>
      <c r="D2922" s="1">
        <v>14</v>
      </c>
      <c r="E2922" s="2">
        <v>15.3333333333333</v>
      </c>
      <c r="F2922" s="1">
        <v>6</v>
      </c>
      <c r="G2922" s="1">
        <v>129.84</v>
      </c>
      <c r="H2922" s="1" t="s">
        <v>9</v>
      </c>
      <c r="I2922" t="str">
        <f t="shared" si="45"/>
        <v>FOUR RABBIT EASTER DECORATIONS [35920]</v>
      </c>
    </row>
    <row r="2923" spans="1:9" x14ac:dyDescent="0.3">
      <c r="A2923" s="1">
        <v>35921</v>
      </c>
      <c r="B2923" t="s">
        <v>3138</v>
      </c>
      <c r="C2923" s="1">
        <v>1.6</v>
      </c>
      <c r="D2923" s="1">
        <v>20</v>
      </c>
      <c r="E2923" s="2">
        <v>20.3333333333333</v>
      </c>
      <c r="F2923" s="1">
        <v>9</v>
      </c>
      <c r="G2923" s="1">
        <v>330.32</v>
      </c>
      <c r="H2923" s="1" t="s">
        <v>9</v>
      </c>
      <c r="I2923" t="str">
        <f t="shared" si="45"/>
        <v>EASTER BUNNY HANGING GARLAND [35921]</v>
      </c>
    </row>
    <row r="2924" spans="1:9" x14ac:dyDescent="0.3">
      <c r="A2924" s="1">
        <v>35922</v>
      </c>
      <c r="B2924" t="s">
        <v>3137</v>
      </c>
      <c r="C2924" s="1">
        <v>4.95</v>
      </c>
      <c r="D2924" s="1">
        <v>5</v>
      </c>
      <c r="E2924" s="2">
        <v>8.8181818181818095</v>
      </c>
      <c r="F2924" s="1">
        <v>11</v>
      </c>
      <c r="G2924" s="1">
        <v>575.99</v>
      </c>
      <c r="H2924" s="1" t="s">
        <v>8</v>
      </c>
      <c r="I2924" t="str">
        <f t="shared" si="45"/>
        <v>EASTER BUNNY WREATH [35922]</v>
      </c>
    </row>
    <row r="2925" spans="1:9" x14ac:dyDescent="0.3">
      <c r="A2925" s="1">
        <v>35923</v>
      </c>
      <c r="B2925" t="s">
        <v>3136</v>
      </c>
      <c r="C2925" s="2">
        <v>1.2849999999999999</v>
      </c>
      <c r="D2925" s="1">
        <v>18.5</v>
      </c>
      <c r="E2925" s="1">
        <v>64.375</v>
      </c>
      <c r="F2925" s="1">
        <v>24</v>
      </c>
      <c r="G2925" s="1">
        <v>1023.77</v>
      </c>
      <c r="H2925" s="1" t="s">
        <v>9</v>
      </c>
      <c r="I2925" t="str">
        <f t="shared" si="45"/>
        <v>CANDY HEART HANGING DECORATION [35923]</v>
      </c>
    </row>
    <row r="2926" spans="1:9" x14ac:dyDescent="0.3">
      <c r="A2926" s="1">
        <v>35924</v>
      </c>
      <c r="B2926" t="s">
        <v>3135</v>
      </c>
      <c r="C2926" s="1">
        <v>1.86</v>
      </c>
      <c r="D2926" s="1">
        <v>79</v>
      </c>
      <c r="E2926" s="1">
        <v>86.56</v>
      </c>
      <c r="F2926" s="1">
        <v>25</v>
      </c>
      <c r="G2926" s="1">
        <v>4049.4</v>
      </c>
      <c r="H2926" s="1" t="s">
        <v>10</v>
      </c>
      <c r="I2926" t="str">
        <f t="shared" si="45"/>
        <v>HANGING FAIRY CAKE DECORATION [35924]</v>
      </c>
    </row>
    <row r="2927" spans="1:9" x14ac:dyDescent="0.3">
      <c r="A2927" s="1">
        <v>35930</v>
      </c>
      <c r="B2927" t="s">
        <v>3134</v>
      </c>
      <c r="C2927" s="1">
        <v>0.38</v>
      </c>
      <c r="D2927" s="1">
        <v>1</v>
      </c>
      <c r="E2927" s="1">
        <v>1</v>
      </c>
      <c r="F2927" s="1">
        <v>1</v>
      </c>
      <c r="G2927" s="1">
        <v>0.38</v>
      </c>
      <c r="H2927" s="1" t="s">
        <v>8</v>
      </c>
      <c r="I2927" t="str">
        <f t="shared" si="45"/>
        <v>PINK HEART CHRISTMAS DECORATION [35930]</v>
      </c>
    </row>
    <row r="2928" spans="1:9" x14ac:dyDescent="0.3">
      <c r="A2928" s="1">
        <v>35931</v>
      </c>
      <c r="B2928" t="s">
        <v>3133</v>
      </c>
      <c r="C2928" s="1">
        <v>0.38</v>
      </c>
      <c r="D2928" s="1">
        <v>2</v>
      </c>
      <c r="E2928" s="1">
        <v>26</v>
      </c>
      <c r="F2928" s="1">
        <v>6</v>
      </c>
      <c r="G2928" s="1">
        <v>78.12</v>
      </c>
      <c r="H2928" s="1" t="s">
        <v>8</v>
      </c>
      <c r="I2928" t="str">
        <f t="shared" si="45"/>
        <v>PINK STAR CHRISTMAS DECORATION [35931]</v>
      </c>
    </row>
    <row r="2929" spans="1:9" x14ac:dyDescent="0.3">
      <c r="A2929" s="1">
        <v>35932</v>
      </c>
      <c r="B2929" t="s">
        <v>3132</v>
      </c>
      <c r="C2929" s="1">
        <v>0.38</v>
      </c>
      <c r="D2929" s="1">
        <v>5</v>
      </c>
      <c r="E2929" s="2">
        <v>6.1666666666666599</v>
      </c>
      <c r="F2929" s="1">
        <v>6</v>
      </c>
      <c r="G2929" s="1">
        <v>15.63</v>
      </c>
      <c r="H2929" s="1" t="s">
        <v>8</v>
      </c>
      <c r="I2929" t="str">
        <f t="shared" si="45"/>
        <v>PINK CHRISTMAS TREE DECORATION [35932]</v>
      </c>
    </row>
    <row r="2930" spans="1:9" x14ac:dyDescent="0.3">
      <c r="A2930" s="1">
        <v>35933</v>
      </c>
      <c r="B2930" t="s">
        <v>3131</v>
      </c>
      <c r="C2930" s="1">
        <v>0.38</v>
      </c>
      <c r="D2930" s="1">
        <v>20</v>
      </c>
      <c r="E2930" s="1">
        <v>31.7</v>
      </c>
      <c r="F2930" s="1">
        <v>10</v>
      </c>
      <c r="G2930" s="2">
        <v>126.789999999999</v>
      </c>
      <c r="H2930" s="1" t="s">
        <v>9</v>
      </c>
      <c r="I2930" t="str">
        <f t="shared" si="45"/>
        <v>PINK STOCKING CHRISTMAS DECORATION [35933]</v>
      </c>
    </row>
    <row r="2931" spans="1:9" x14ac:dyDescent="0.3">
      <c r="A2931" s="1">
        <v>35936</v>
      </c>
      <c r="B2931" t="s">
        <v>3130</v>
      </c>
      <c r="C2931" s="1">
        <v>0.38</v>
      </c>
      <c r="D2931" s="1">
        <v>7</v>
      </c>
      <c r="E2931" s="1">
        <v>7.2</v>
      </c>
      <c r="F2931" s="1">
        <v>5</v>
      </c>
      <c r="G2931" s="1">
        <v>13.68</v>
      </c>
      <c r="H2931" s="1" t="s">
        <v>8</v>
      </c>
      <c r="I2931" t="str">
        <f t="shared" si="45"/>
        <v>CERISE+GOLD CHRISTMAS TREE DEC [35936]</v>
      </c>
    </row>
    <row r="2932" spans="1:9" x14ac:dyDescent="0.3">
      <c r="A2932" s="1">
        <v>35937</v>
      </c>
      <c r="B2932" t="s">
        <v>3129</v>
      </c>
      <c r="C2932" s="1">
        <v>0.38</v>
      </c>
      <c r="D2932" s="1">
        <v>28</v>
      </c>
      <c r="E2932" s="1">
        <v>37.6</v>
      </c>
      <c r="F2932" s="1">
        <v>5</v>
      </c>
      <c r="G2932" s="1">
        <v>71.44</v>
      </c>
      <c r="H2932" s="1" t="s">
        <v>9</v>
      </c>
      <c r="I2932" t="str">
        <f t="shared" si="45"/>
        <v>CERISE+GOLD CHRISTMAS STOCKING DEC [35937]</v>
      </c>
    </row>
    <row r="2933" spans="1:9" x14ac:dyDescent="0.3">
      <c r="A2933" s="1">
        <v>35945</v>
      </c>
      <c r="B2933" t="s">
        <v>3128</v>
      </c>
      <c r="C2933" s="1">
        <v>1.95</v>
      </c>
      <c r="D2933" s="1">
        <v>1</v>
      </c>
      <c r="E2933" s="1">
        <v>1</v>
      </c>
      <c r="F2933" s="1">
        <v>1</v>
      </c>
      <c r="G2933" s="1">
        <v>1.95</v>
      </c>
      <c r="H2933" s="1" t="s">
        <v>8</v>
      </c>
      <c r="I2933" t="str">
        <f t="shared" si="45"/>
        <v>GOLD CHRISTMAS STOCKING DECORATION [35945]</v>
      </c>
    </row>
    <row r="2934" spans="1:9" x14ac:dyDescent="0.3">
      <c r="A2934" s="1">
        <v>35950</v>
      </c>
      <c r="B2934" t="s">
        <v>3127</v>
      </c>
      <c r="C2934" s="1">
        <v>1.25</v>
      </c>
      <c r="D2934" s="1">
        <v>1</v>
      </c>
      <c r="E2934" s="1">
        <v>1</v>
      </c>
      <c r="F2934" s="1">
        <v>1</v>
      </c>
      <c r="G2934" s="1">
        <v>1.25</v>
      </c>
      <c r="H2934" s="1" t="s">
        <v>8</v>
      </c>
      <c r="I2934" t="str">
        <f t="shared" si="45"/>
        <v>FOLKART HEART CHRISTMAS DECORATIONS [35950]</v>
      </c>
    </row>
    <row r="2935" spans="1:9" x14ac:dyDescent="0.3">
      <c r="A2935" s="1">
        <v>35951</v>
      </c>
      <c r="B2935" t="s">
        <v>3126</v>
      </c>
      <c r="C2935" s="1">
        <v>0.40500000000000003</v>
      </c>
      <c r="D2935" s="1">
        <v>84</v>
      </c>
      <c r="E2935" s="1">
        <v>134.69999999999999</v>
      </c>
      <c r="F2935" s="1">
        <v>10</v>
      </c>
      <c r="G2935" s="1">
        <v>711.74</v>
      </c>
      <c r="H2935" s="1" t="s">
        <v>10</v>
      </c>
      <c r="I2935" t="str">
        <f t="shared" si="45"/>
        <v>FOLKART BAUBLE CHRISTMAS DECORATION [35951]</v>
      </c>
    </row>
    <row r="2936" spans="1:9" x14ac:dyDescent="0.3">
      <c r="A2936" s="1">
        <v>35953</v>
      </c>
      <c r="B2936" t="s">
        <v>3125</v>
      </c>
      <c r="C2936" s="1">
        <v>1.25</v>
      </c>
      <c r="D2936" s="1">
        <v>63.5</v>
      </c>
      <c r="E2936" s="2">
        <v>321.916666666666</v>
      </c>
      <c r="F2936" s="1">
        <v>12</v>
      </c>
      <c r="G2936" s="1">
        <v>1986.17</v>
      </c>
      <c r="H2936" s="1" t="s">
        <v>10</v>
      </c>
      <c r="I2936" t="str">
        <f t="shared" si="45"/>
        <v>FOLKART STAR CHRISTMAS DECORATIONS [35953]</v>
      </c>
    </row>
    <row r="2937" spans="1:9" x14ac:dyDescent="0.3">
      <c r="A2937" s="1">
        <v>35954</v>
      </c>
      <c r="B2937" t="s">
        <v>3124</v>
      </c>
      <c r="C2937" s="1">
        <v>0.49</v>
      </c>
      <c r="D2937" s="1">
        <v>162</v>
      </c>
      <c r="E2937" s="2">
        <v>181.333333333333</v>
      </c>
      <c r="F2937" s="1">
        <v>12</v>
      </c>
      <c r="G2937" s="1">
        <v>833.62</v>
      </c>
      <c r="H2937" s="1" t="s">
        <v>10</v>
      </c>
      <c r="I2937" t="str">
        <f t="shared" si="45"/>
        <v>SMALL FOLKART STAR CHRISTMAS DEC [35954]</v>
      </c>
    </row>
    <row r="2938" spans="1:9" x14ac:dyDescent="0.3">
      <c r="A2938" s="1">
        <v>35955</v>
      </c>
      <c r="B2938" t="s">
        <v>3123</v>
      </c>
      <c r="C2938" s="2">
        <v>0.33999999999999903</v>
      </c>
      <c r="D2938" s="1">
        <v>67.5</v>
      </c>
      <c r="E2938" s="1">
        <v>67.5</v>
      </c>
      <c r="F2938" s="1">
        <v>2</v>
      </c>
      <c r="G2938" s="2">
        <v>34.619999999999997</v>
      </c>
      <c r="H2938" s="1" t="s">
        <v>10</v>
      </c>
      <c r="I2938" t="str">
        <f t="shared" si="45"/>
        <v>SMALL FOLKART CHRISTMAS TREE DEC [35955]</v>
      </c>
    </row>
    <row r="2939" spans="1:9" x14ac:dyDescent="0.3">
      <c r="A2939" s="1">
        <v>35957</v>
      </c>
      <c r="B2939" t="s">
        <v>3122</v>
      </c>
      <c r="C2939" s="1">
        <v>0.315</v>
      </c>
      <c r="D2939" s="1">
        <v>240</v>
      </c>
      <c r="E2939" s="2">
        <v>297.08333333333297</v>
      </c>
      <c r="F2939" s="1">
        <v>12</v>
      </c>
      <c r="G2939" s="1">
        <v>1254.9000000000001</v>
      </c>
      <c r="H2939" s="1" t="s">
        <v>10</v>
      </c>
      <c r="I2939" t="str">
        <f t="shared" si="45"/>
        <v>SMALLFOLKART BAUBLE CHRISTMAS DEC [35957]</v>
      </c>
    </row>
    <row r="2940" spans="1:9" x14ac:dyDescent="0.3">
      <c r="A2940" s="1">
        <v>35958</v>
      </c>
      <c r="B2940" t="s">
        <v>3121</v>
      </c>
      <c r="C2940" s="1">
        <v>0.86</v>
      </c>
      <c r="D2940" s="1">
        <v>113</v>
      </c>
      <c r="E2940" s="2">
        <v>125.666666666666</v>
      </c>
      <c r="F2940" s="1">
        <v>9</v>
      </c>
      <c r="G2940" s="1">
        <v>984.63</v>
      </c>
      <c r="H2940" s="1" t="s">
        <v>10</v>
      </c>
      <c r="I2940" t="str">
        <f t="shared" si="45"/>
        <v>FOLKART ZINC STAR CHRISTMAS DEC [35958]</v>
      </c>
    </row>
    <row r="2941" spans="1:9" x14ac:dyDescent="0.3">
      <c r="A2941" s="1">
        <v>35961</v>
      </c>
      <c r="B2941" t="s">
        <v>3120</v>
      </c>
      <c r="C2941" s="1">
        <v>0.86</v>
      </c>
      <c r="D2941" s="1">
        <v>373</v>
      </c>
      <c r="E2941" s="1">
        <v>457.2</v>
      </c>
      <c r="F2941" s="1">
        <v>25</v>
      </c>
      <c r="G2941" s="1">
        <v>9514.7800000000007</v>
      </c>
      <c r="H2941" s="1" t="s">
        <v>10</v>
      </c>
      <c r="I2941" t="str">
        <f t="shared" si="45"/>
        <v>FOLKART ZINC HEART CHRISTMAS DEC [35961]</v>
      </c>
    </row>
    <row r="2942" spans="1:9" x14ac:dyDescent="0.3">
      <c r="A2942" s="1">
        <v>35962</v>
      </c>
      <c r="B2942" t="s">
        <v>3119</v>
      </c>
      <c r="C2942" s="1">
        <v>2.2149999999999999</v>
      </c>
      <c r="D2942" s="1">
        <v>45</v>
      </c>
      <c r="E2942" s="1">
        <v>58.1</v>
      </c>
      <c r="F2942" s="1">
        <v>8</v>
      </c>
      <c r="G2942" s="1">
        <v>1351.78</v>
      </c>
      <c r="H2942" s="1" t="s">
        <v>9</v>
      </c>
      <c r="I2942" t="str">
        <f t="shared" si="45"/>
        <v>12 ASS ZINC CHRISTMAS DECORATIONS [35962]</v>
      </c>
    </row>
    <row r="2943" spans="1:9" x14ac:dyDescent="0.3">
      <c r="A2943" s="1">
        <v>35963</v>
      </c>
      <c r="B2943" t="s">
        <v>3118</v>
      </c>
      <c r="C2943" s="1">
        <v>0.38</v>
      </c>
      <c r="D2943" s="1">
        <v>7</v>
      </c>
      <c r="E2943" s="2">
        <v>11.2222222222222</v>
      </c>
      <c r="F2943" s="1">
        <v>9</v>
      </c>
      <c r="G2943" s="2">
        <v>38.379999999999903</v>
      </c>
      <c r="H2943" s="1" t="s">
        <v>8</v>
      </c>
      <c r="I2943" t="str">
        <f t="shared" si="45"/>
        <v>FOLKART ZINC CLIP ON ANGEL WINGS [35963]</v>
      </c>
    </row>
    <row r="2944" spans="1:9" x14ac:dyDescent="0.3">
      <c r="A2944" s="1">
        <v>35964</v>
      </c>
      <c r="B2944" t="s">
        <v>3117</v>
      </c>
      <c r="C2944" s="1">
        <v>1.63</v>
      </c>
      <c r="D2944" s="1">
        <v>12</v>
      </c>
      <c r="E2944" s="2">
        <v>67.846153846153797</v>
      </c>
      <c r="F2944" s="1">
        <v>13</v>
      </c>
      <c r="G2944" s="1">
        <v>556.73</v>
      </c>
      <c r="H2944" s="1" t="s">
        <v>9</v>
      </c>
      <c r="I2944" t="str">
        <f t="shared" si="45"/>
        <v>FOLKART CLIP ON STARS [35964]</v>
      </c>
    </row>
    <row r="2945" spans="1:9" x14ac:dyDescent="0.3">
      <c r="A2945" s="1">
        <v>35965</v>
      </c>
      <c r="B2945" t="s">
        <v>3116</v>
      </c>
      <c r="C2945" s="1">
        <v>3.23</v>
      </c>
      <c r="D2945" s="1">
        <v>25</v>
      </c>
      <c r="E2945" s="2">
        <v>24.789473684210499</v>
      </c>
      <c r="F2945" s="1">
        <v>19</v>
      </c>
      <c r="G2945" s="1">
        <v>1317.53</v>
      </c>
      <c r="H2945" s="1" t="s">
        <v>9</v>
      </c>
      <c r="I2945" t="str">
        <f t="shared" si="45"/>
        <v>FOLKART HEART NAPKIN RINGS [35965]</v>
      </c>
    </row>
    <row r="2946" spans="1:9" x14ac:dyDescent="0.3">
      <c r="A2946" s="1">
        <v>35966</v>
      </c>
      <c r="B2946" t="s">
        <v>3115</v>
      </c>
      <c r="C2946" s="1">
        <v>0.38</v>
      </c>
      <c r="D2946" s="1">
        <v>33</v>
      </c>
      <c r="E2946" s="2">
        <v>36.285714285714199</v>
      </c>
      <c r="F2946" s="1">
        <v>7</v>
      </c>
      <c r="G2946" s="1">
        <v>109.68</v>
      </c>
      <c r="H2946" s="1" t="s">
        <v>9</v>
      </c>
      <c r="I2946" t="str">
        <f t="shared" si="45"/>
        <v>FOLKART CHRISTMAS TREE T-LIGHT HOLD [35966]</v>
      </c>
    </row>
    <row r="2947" spans="1:9" x14ac:dyDescent="0.3">
      <c r="A2947" s="1">
        <v>35967</v>
      </c>
      <c r="B2947" t="s">
        <v>3114</v>
      </c>
      <c r="C2947" s="1">
        <v>0.46</v>
      </c>
      <c r="D2947" s="1">
        <v>46</v>
      </c>
      <c r="E2947" s="1">
        <v>54.823529411764703</v>
      </c>
      <c r="F2947" s="1">
        <v>17</v>
      </c>
      <c r="G2947" s="1">
        <v>481.87</v>
      </c>
      <c r="H2947" s="1" t="s">
        <v>9</v>
      </c>
      <c r="I2947" t="str">
        <f t="shared" ref="I2947:I3010" si="46">B2947&amp;" ["&amp;A2947&amp;"]"</f>
        <v>FOLK ART METAL STAR T-LIGHT HOLDER [35967]</v>
      </c>
    </row>
    <row r="2948" spans="1:9" x14ac:dyDescent="0.3">
      <c r="A2948" s="1">
        <v>35968</v>
      </c>
      <c r="B2948" t="s">
        <v>3113</v>
      </c>
      <c r="C2948" s="1">
        <v>0.38</v>
      </c>
      <c r="D2948" s="1">
        <v>36</v>
      </c>
      <c r="E2948" s="1">
        <v>47</v>
      </c>
      <c r="F2948" s="1">
        <v>15</v>
      </c>
      <c r="G2948" s="1">
        <v>301.64</v>
      </c>
      <c r="H2948" s="1" t="s">
        <v>9</v>
      </c>
      <c r="I2948" t="str">
        <f t="shared" si="46"/>
        <v>FOLK ART METAL HEART T-LIGHT HOLDER [35968]</v>
      </c>
    </row>
    <row r="2949" spans="1:9" x14ac:dyDescent="0.3">
      <c r="A2949" s="1">
        <v>35969</v>
      </c>
      <c r="B2949" t="s">
        <v>3112</v>
      </c>
      <c r="C2949" s="2">
        <v>1.7149999999999901</v>
      </c>
      <c r="D2949" s="1">
        <v>48</v>
      </c>
      <c r="E2949" s="1">
        <v>47.5</v>
      </c>
      <c r="F2949" s="1">
        <v>10</v>
      </c>
      <c r="G2949" s="1">
        <v>524.23</v>
      </c>
      <c r="H2949" s="1" t="s">
        <v>9</v>
      </c>
      <c r="I2949" t="str">
        <f t="shared" si="46"/>
        <v>FOLKART CROWN TABLE DECORATIONS [35969]</v>
      </c>
    </row>
    <row r="2950" spans="1:9" x14ac:dyDescent="0.3">
      <c r="A2950" s="1">
        <v>35970</v>
      </c>
      <c r="B2950" t="s">
        <v>3111</v>
      </c>
      <c r="C2950" s="1">
        <v>1.83</v>
      </c>
      <c r="D2950" s="1">
        <v>168</v>
      </c>
      <c r="E2950" s="2">
        <v>436.57894736842098</v>
      </c>
      <c r="F2950" s="1">
        <v>19</v>
      </c>
      <c r="G2950" s="1">
        <v>14736.58</v>
      </c>
      <c r="H2950" s="1" t="s">
        <v>10</v>
      </c>
      <c r="I2950" t="str">
        <f t="shared" si="46"/>
        <v>ZINC FOLKART SLEIGH BELLS [35970]</v>
      </c>
    </row>
    <row r="2951" spans="1:9" x14ac:dyDescent="0.3">
      <c r="A2951" s="1">
        <v>35971</v>
      </c>
      <c r="B2951" t="s">
        <v>3110</v>
      </c>
      <c r="C2951" s="1">
        <v>1.38</v>
      </c>
      <c r="D2951" s="1">
        <v>38</v>
      </c>
      <c r="E2951" s="1">
        <v>78.52</v>
      </c>
      <c r="F2951" s="1">
        <v>25</v>
      </c>
      <c r="G2951" s="1">
        <v>1947.74</v>
      </c>
      <c r="H2951" s="1" t="s">
        <v>9</v>
      </c>
      <c r="I2951" t="str">
        <f t="shared" si="46"/>
        <v>ROSE FOLKART HEART DECORATIONS [35971]</v>
      </c>
    </row>
    <row r="2952" spans="1:9" x14ac:dyDescent="0.3">
      <c r="A2952" s="1">
        <v>35972</v>
      </c>
      <c r="B2952" t="s">
        <v>3109</v>
      </c>
      <c r="C2952" s="1">
        <v>1.25</v>
      </c>
      <c r="D2952" s="1">
        <v>10</v>
      </c>
      <c r="E2952" s="2">
        <v>20.952380952380899</v>
      </c>
      <c r="F2952" s="1">
        <v>21</v>
      </c>
      <c r="G2952" s="1">
        <v>611.38</v>
      </c>
      <c r="H2952" s="1" t="s">
        <v>9</v>
      </c>
      <c r="I2952" t="str">
        <f t="shared" si="46"/>
        <v>DAISY FOLKART HEART DECORATION [35972]</v>
      </c>
    </row>
    <row r="2953" spans="1:9" x14ac:dyDescent="0.3">
      <c r="A2953" s="1">
        <v>35973</v>
      </c>
      <c r="B2953" t="s">
        <v>3108</v>
      </c>
      <c r="C2953" s="1">
        <v>1.25</v>
      </c>
      <c r="D2953" s="1">
        <v>18</v>
      </c>
      <c r="E2953" s="2">
        <v>16.3333333333333</v>
      </c>
      <c r="F2953" s="1">
        <v>3</v>
      </c>
      <c r="G2953" s="1">
        <v>61.25</v>
      </c>
      <c r="H2953" s="1" t="s">
        <v>9</v>
      </c>
      <c r="I2953" t="str">
        <f t="shared" si="46"/>
        <v>GERANIUM FOLKART HEART DECORATION [35973]</v>
      </c>
    </row>
    <row r="2954" spans="1:9" x14ac:dyDescent="0.3">
      <c r="A2954" s="1">
        <v>35974</v>
      </c>
      <c r="B2954" t="s">
        <v>3107</v>
      </c>
      <c r="C2954" s="1">
        <v>3.75</v>
      </c>
      <c r="D2954" s="1">
        <v>1</v>
      </c>
      <c r="E2954" s="1">
        <v>1</v>
      </c>
      <c r="F2954" s="1">
        <v>1</v>
      </c>
      <c r="G2954" s="1">
        <v>3.75</v>
      </c>
      <c r="H2954" s="1" t="s">
        <v>8</v>
      </c>
      <c r="I2954" t="str">
        <f t="shared" si="46"/>
        <v>S/6 CHRISTMAS TREE PLACE SETTING [35974]</v>
      </c>
    </row>
    <row r="2955" spans="1:9" x14ac:dyDescent="0.3">
      <c r="A2955" s="1" t="s">
        <v>3106</v>
      </c>
      <c r="B2955" t="s">
        <v>3105</v>
      </c>
      <c r="C2955" s="1">
        <v>1.25</v>
      </c>
      <c r="D2955" s="1">
        <v>1</v>
      </c>
      <c r="E2955" s="1">
        <v>1</v>
      </c>
      <c r="F2955" s="1">
        <v>1</v>
      </c>
      <c r="G2955" s="1">
        <v>1.25</v>
      </c>
      <c r="H2955" s="1" t="s">
        <v>8</v>
      </c>
      <c r="I2955" t="str">
        <f t="shared" si="46"/>
        <v>WHITE SCANDINAVIAN HEART CHRISTMAS [35976B]</v>
      </c>
    </row>
    <row r="2956" spans="1:9" x14ac:dyDescent="0.3">
      <c r="A2956" s="1">
        <v>35979</v>
      </c>
      <c r="B2956" t="s">
        <v>3104</v>
      </c>
      <c r="C2956" s="1">
        <v>3.44</v>
      </c>
      <c r="D2956" s="1">
        <v>6</v>
      </c>
      <c r="E2956" s="2">
        <v>31.3333333333333</v>
      </c>
      <c r="F2956" s="1">
        <v>3</v>
      </c>
      <c r="G2956" s="1">
        <v>311.02999999999997</v>
      </c>
      <c r="H2956" s="1" t="s">
        <v>8</v>
      </c>
      <c r="I2956" t="str">
        <f t="shared" si="46"/>
        <v>SIX STRING SCANDINAVIAN HEART DECS [35979]</v>
      </c>
    </row>
    <row r="2957" spans="1:9" x14ac:dyDescent="0.3">
      <c r="A2957" s="1" t="s">
        <v>3103</v>
      </c>
      <c r="B2957" t="s">
        <v>3102</v>
      </c>
      <c r="C2957" s="1">
        <v>0.38</v>
      </c>
      <c r="D2957" s="1">
        <v>2</v>
      </c>
      <c r="E2957" s="1">
        <v>2</v>
      </c>
      <c r="F2957" s="1">
        <v>2</v>
      </c>
      <c r="G2957" s="1">
        <v>1.52</v>
      </c>
      <c r="H2957" s="1" t="s">
        <v>8</v>
      </c>
      <c r="I2957" t="str">
        <f t="shared" si="46"/>
        <v>RED TOP SCANDINAVIAN HEART [35980B]</v>
      </c>
    </row>
    <row r="2958" spans="1:9" x14ac:dyDescent="0.3">
      <c r="A2958" s="1" t="s">
        <v>3101</v>
      </c>
      <c r="B2958" t="s">
        <v>3100</v>
      </c>
      <c r="C2958" s="1">
        <v>0.38</v>
      </c>
      <c r="D2958" s="1">
        <v>18</v>
      </c>
      <c r="E2958" s="2">
        <v>41.8888888888888</v>
      </c>
      <c r="F2958" s="1">
        <v>9</v>
      </c>
      <c r="G2958" s="1">
        <v>147.63999999999999</v>
      </c>
      <c r="H2958" s="1" t="s">
        <v>9</v>
      </c>
      <c r="I2958" t="str">
        <f t="shared" si="46"/>
        <v>REDWHITE STRIPE SCANDINAVIAN HEART [35980C]</v>
      </c>
    </row>
    <row r="2959" spans="1:9" x14ac:dyDescent="0.3">
      <c r="A2959" s="1" t="s">
        <v>3099</v>
      </c>
      <c r="B2959" t="s">
        <v>3098</v>
      </c>
      <c r="C2959" s="1">
        <v>0.38</v>
      </c>
      <c r="D2959" s="1">
        <v>102</v>
      </c>
      <c r="E2959" s="1">
        <v>116.8</v>
      </c>
      <c r="F2959" s="1">
        <v>5</v>
      </c>
      <c r="G2959" s="1">
        <v>285.07</v>
      </c>
      <c r="H2959" s="1" t="s">
        <v>10</v>
      </c>
      <c r="I2959" t="str">
        <f t="shared" si="46"/>
        <v>WHITE SNOW SCANDINAVIAN STOCKING [35981C]</v>
      </c>
    </row>
    <row r="2960" spans="1:9" x14ac:dyDescent="0.3">
      <c r="A2960" s="1">
        <v>35991</v>
      </c>
      <c r="B2960" t="s">
        <v>3097</v>
      </c>
      <c r="C2960" s="1">
        <v>0.42</v>
      </c>
      <c r="D2960" s="1">
        <v>58</v>
      </c>
      <c r="E2960" s="1">
        <v>66.5</v>
      </c>
      <c r="F2960" s="1">
        <v>6</v>
      </c>
      <c r="G2960" s="1">
        <v>222</v>
      </c>
      <c r="H2960" s="1" t="s">
        <v>9</v>
      </c>
      <c r="I2960" t="str">
        <f t="shared" si="46"/>
        <v>SET/6 BLACK SNOWFLAKE T-LIGHTS [35991]</v>
      </c>
    </row>
    <row r="2961" spans="1:9" x14ac:dyDescent="0.3">
      <c r="A2961" s="1">
        <v>35995</v>
      </c>
      <c r="B2961" t="s">
        <v>3096</v>
      </c>
      <c r="C2961" s="1">
        <v>0.76</v>
      </c>
      <c r="D2961" s="1">
        <v>5</v>
      </c>
      <c r="E2961" s="1">
        <v>5</v>
      </c>
      <c r="F2961" s="1">
        <v>1</v>
      </c>
      <c r="G2961" s="1">
        <v>3.78</v>
      </c>
      <c r="H2961" s="1" t="s">
        <v>8</v>
      </c>
      <c r="I2961" t="str">
        <f t="shared" si="46"/>
        <v>SET/6 BLACK GLITTER REINDEER CANDLE [35995]</v>
      </c>
    </row>
    <row r="2962" spans="1:9" x14ac:dyDescent="0.3">
      <c r="A2962" s="1">
        <v>35999</v>
      </c>
      <c r="B2962" t="s">
        <v>3095</v>
      </c>
      <c r="C2962" s="1">
        <v>2.5499999999999998</v>
      </c>
      <c r="D2962" s="1">
        <v>1</v>
      </c>
      <c r="E2962" s="1">
        <v>1</v>
      </c>
      <c r="F2962" s="1">
        <v>1</v>
      </c>
      <c r="G2962" s="1">
        <v>2.5499999999999998</v>
      </c>
      <c r="H2962" s="1" t="s">
        <v>8</v>
      </c>
      <c r="I2962" t="str">
        <f t="shared" si="46"/>
        <v>S/6 SCANDINAVIAN HEART T-LIGHT [35999]</v>
      </c>
    </row>
    <row r="2963" spans="1:9" x14ac:dyDescent="0.3">
      <c r="A2963" s="1">
        <v>37112</v>
      </c>
      <c r="B2963" t="s">
        <v>3094</v>
      </c>
      <c r="C2963" s="1">
        <v>3.75</v>
      </c>
      <c r="D2963" s="1">
        <v>3</v>
      </c>
      <c r="E2963" s="2">
        <v>3.3333333333333299</v>
      </c>
      <c r="F2963" s="1">
        <v>3</v>
      </c>
      <c r="G2963" s="1">
        <v>37.5</v>
      </c>
      <c r="H2963" s="1" t="s">
        <v>8</v>
      </c>
      <c r="I2963" t="str">
        <f t="shared" si="46"/>
        <v>YELLOW BIRDS FELT DES FOODCOVER [37112]</v>
      </c>
    </row>
    <row r="2964" spans="1:9" x14ac:dyDescent="0.3">
      <c r="A2964" s="1">
        <v>37326</v>
      </c>
      <c r="B2964" t="s">
        <v>3093</v>
      </c>
      <c r="C2964" s="2">
        <v>2.3049999999999899</v>
      </c>
      <c r="D2964" s="1">
        <v>1</v>
      </c>
      <c r="E2964" s="1">
        <v>1</v>
      </c>
      <c r="F2964" s="1">
        <v>2</v>
      </c>
      <c r="G2964" s="2">
        <v>4.6099999999999897</v>
      </c>
      <c r="H2964" s="1" t="s">
        <v>8</v>
      </c>
      <c r="I2964" t="str">
        <f t="shared" si="46"/>
        <v>FAIRY DESIGN MUGS [37326]</v>
      </c>
    </row>
    <row r="2965" spans="1:9" x14ac:dyDescent="0.3">
      <c r="A2965" s="1">
        <v>37327</v>
      </c>
      <c r="B2965" t="s">
        <v>3092</v>
      </c>
      <c r="C2965" s="1">
        <v>0.51</v>
      </c>
      <c r="D2965" s="1">
        <v>104</v>
      </c>
      <c r="E2965" s="2">
        <v>128.230769230769</v>
      </c>
      <c r="F2965" s="1">
        <v>13</v>
      </c>
      <c r="G2965" s="2">
        <v>937.18999999999903</v>
      </c>
      <c r="H2965" s="1" t="s">
        <v>10</v>
      </c>
      <c r="I2965" t="str">
        <f t="shared" si="46"/>
        <v>ASSTD MULTICOLOUR CIRCLES MUG [37327]</v>
      </c>
    </row>
    <row r="2966" spans="1:9" x14ac:dyDescent="0.3">
      <c r="A2966" s="1">
        <v>37330</v>
      </c>
      <c r="B2966" t="s">
        <v>3091</v>
      </c>
      <c r="C2966" s="1">
        <v>1.915</v>
      </c>
      <c r="D2966" s="1">
        <v>61</v>
      </c>
      <c r="E2966" s="1">
        <v>51.1</v>
      </c>
      <c r="F2966" s="1">
        <v>10</v>
      </c>
      <c r="G2966" s="1">
        <v>925.12</v>
      </c>
      <c r="H2966" s="1" t="s">
        <v>10</v>
      </c>
      <c r="I2966" t="str">
        <f t="shared" si="46"/>
        <v>SPOTS MUG [37330]</v>
      </c>
    </row>
    <row r="2967" spans="1:9" x14ac:dyDescent="0.3">
      <c r="A2967" s="1">
        <v>37333</v>
      </c>
      <c r="B2967" t="s">
        <v>3090</v>
      </c>
      <c r="C2967" s="1">
        <v>5.38</v>
      </c>
      <c r="D2967" s="1">
        <v>4.5</v>
      </c>
      <c r="E2967" s="1">
        <v>9.0625</v>
      </c>
      <c r="F2967" s="1">
        <v>16</v>
      </c>
      <c r="G2967" s="1">
        <v>805.1</v>
      </c>
      <c r="H2967" s="1" t="s">
        <v>8</v>
      </c>
      <c r="I2967" t="str">
        <f t="shared" si="46"/>
        <v>RETRO "TEA FOR ONE" [37333]</v>
      </c>
    </row>
    <row r="2968" spans="1:9" x14ac:dyDescent="0.3">
      <c r="A2968" s="1">
        <v>37340</v>
      </c>
      <c r="B2968" t="s">
        <v>3089</v>
      </c>
      <c r="C2968" s="1">
        <v>0.73</v>
      </c>
      <c r="D2968" s="1">
        <v>194</v>
      </c>
      <c r="E2968" s="1">
        <v>222.375</v>
      </c>
      <c r="F2968" s="1">
        <v>16</v>
      </c>
      <c r="G2968" s="1">
        <v>2443.8200000000002</v>
      </c>
      <c r="H2968" s="1" t="s">
        <v>10</v>
      </c>
      <c r="I2968" t="str">
        <f t="shared" si="46"/>
        <v>MULTICOLOUR SPRING FLOWER MUG [37340]</v>
      </c>
    </row>
    <row r="2969" spans="1:9" x14ac:dyDescent="0.3">
      <c r="A2969" s="1">
        <v>37342</v>
      </c>
      <c r="B2969" t="s">
        <v>3088</v>
      </c>
      <c r="C2969" s="1">
        <v>2.95</v>
      </c>
      <c r="D2969" s="1">
        <v>9</v>
      </c>
      <c r="E2969" s="2">
        <v>77.294117647058798</v>
      </c>
      <c r="F2969" s="1">
        <v>17</v>
      </c>
      <c r="G2969" s="1">
        <v>1472.53</v>
      </c>
      <c r="H2969" s="1" t="s">
        <v>8</v>
      </c>
      <c r="I2969" t="str">
        <f t="shared" si="46"/>
        <v>SPOTTY COFFEE CUP &amp; SAUCER [37342]</v>
      </c>
    </row>
    <row r="2970" spans="1:9" x14ac:dyDescent="0.3">
      <c r="A2970" s="1">
        <v>37343</v>
      </c>
      <c r="B2970" t="s">
        <v>3087</v>
      </c>
      <c r="C2970" s="1">
        <v>1.65</v>
      </c>
      <c r="D2970" s="1">
        <v>57</v>
      </c>
      <c r="E2970" s="2">
        <v>73.3333333333333</v>
      </c>
      <c r="F2970" s="1">
        <v>14</v>
      </c>
      <c r="G2970" s="1">
        <v>1755.14</v>
      </c>
      <c r="H2970" s="1" t="s">
        <v>9</v>
      </c>
      <c r="I2970" t="str">
        <f t="shared" si="46"/>
        <v>SPOTS DESIGN MUG W PINK INSIDE [37343]</v>
      </c>
    </row>
    <row r="2971" spans="1:9" x14ac:dyDescent="0.3">
      <c r="A2971" s="1">
        <v>37345</v>
      </c>
      <c r="B2971" t="s">
        <v>3086</v>
      </c>
      <c r="C2971" s="1">
        <v>2.0350000000000001</v>
      </c>
      <c r="D2971" s="1">
        <v>160.5</v>
      </c>
      <c r="E2971" s="1">
        <v>160.5</v>
      </c>
      <c r="F2971" s="1">
        <v>2</v>
      </c>
      <c r="G2971" s="1">
        <v>561.04999999999995</v>
      </c>
      <c r="H2971" s="1" t="s">
        <v>10</v>
      </c>
      <c r="I2971" t="str">
        <f t="shared" si="46"/>
        <v>ASSTD HEARTS DESIGN MUGS [37345]</v>
      </c>
    </row>
    <row r="2972" spans="1:9" x14ac:dyDescent="0.3">
      <c r="A2972" s="1">
        <v>37348</v>
      </c>
      <c r="B2972" t="s">
        <v>3085</v>
      </c>
      <c r="C2972" s="1">
        <v>2.5499999999999998</v>
      </c>
      <c r="D2972" s="1">
        <v>3</v>
      </c>
      <c r="E2972" s="1">
        <v>3.5</v>
      </c>
      <c r="F2972" s="1">
        <v>4</v>
      </c>
      <c r="G2972" s="1">
        <v>35.700000000000003</v>
      </c>
      <c r="H2972" s="1" t="s">
        <v>8</v>
      </c>
      <c r="I2972" t="str">
        <f t="shared" si="46"/>
        <v>SET OF 4 PASTEL STACKING MUGS [37348]</v>
      </c>
    </row>
    <row r="2973" spans="1:9" x14ac:dyDescent="0.3">
      <c r="A2973" s="1">
        <v>37351</v>
      </c>
      <c r="B2973" t="s">
        <v>3084</v>
      </c>
      <c r="C2973" s="1">
        <v>1.25</v>
      </c>
      <c r="D2973" s="1">
        <v>6</v>
      </c>
      <c r="E2973" s="2">
        <v>5.8333333333333304</v>
      </c>
      <c r="F2973" s="1">
        <v>6</v>
      </c>
      <c r="G2973" s="1">
        <v>50.08</v>
      </c>
      <c r="H2973" s="1" t="s">
        <v>8</v>
      </c>
      <c r="I2973" t="str">
        <f t="shared" si="46"/>
        <v>ORANGE FLOWER MUG [37351]</v>
      </c>
    </row>
    <row r="2974" spans="1:9" x14ac:dyDescent="0.3">
      <c r="A2974" s="1">
        <v>37352</v>
      </c>
      <c r="B2974" t="s">
        <v>3083</v>
      </c>
      <c r="C2974" s="1">
        <v>1.25</v>
      </c>
      <c r="D2974" s="1">
        <v>5.5</v>
      </c>
      <c r="E2974" s="2">
        <v>5.8333333333333304</v>
      </c>
      <c r="F2974" s="1">
        <v>6</v>
      </c>
      <c r="G2974" s="1">
        <v>43.75</v>
      </c>
      <c r="H2974" s="1" t="s">
        <v>8</v>
      </c>
      <c r="I2974" t="str">
        <f t="shared" si="46"/>
        <v>BIRD IN TREE MUG [37352]</v>
      </c>
    </row>
    <row r="2975" spans="1:9" x14ac:dyDescent="0.3">
      <c r="A2975" s="1">
        <v>37370</v>
      </c>
      <c r="B2975" t="s">
        <v>3082</v>
      </c>
      <c r="C2975" s="2">
        <v>1.4449999999999901</v>
      </c>
      <c r="D2975" s="1">
        <v>328.5</v>
      </c>
      <c r="E2975" s="2">
        <v>324.77272727272702</v>
      </c>
      <c r="F2975" s="1">
        <v>22</v>
      </c>
      <c r="G2975" s="1">
        <v>10821.29</v>
      </c>
      <c r="H2975" s="1" t="s">
        <v>10</v>
      </c>
      <c r="I2975" t="str">
        <f t="shared" si="46"/>
        <v>RETRO COFFEE MUGS ASSORTED [37370]</v>
      </c>
    </row>
    <row r="2976" spans="1:9" x14ac:dyDescent="0.3">
      <c r="A2976" s="1" t="s">
        <v>3081</v>
      </c>
      <c r="B2976" t="s">
        <v>3080</v>
      </c>
      <c r="C2976" s="1">
        <v>2.65</v>
      </c>
      <c r="D2976" s="1">
        <v>7</v>
      </c>
      <c r="E2976" s="1">
        <v>7</v>
      </c>
      <c r="F2976" s="1">
        <v>5</v>
      </c>
      <c r="G2976" s="1">
        <v>93.08</v>
      </c>
      <c r="H2976" s="1" t="s">
        <v>8</v>
      </c>
      <c r="I2976" t="str">
        <f t="shared" si="46"/>
        <v>PINK CHERRY BLOSSOM CUP &amp; SAUCER [37379A]</v>
      </c>
    </row>
    <row r="2977" spans="1:9" x14ac:dyDescent="0.3">
      <c r="A2977" s="1" t="s">
        <v>3079</v>
      </c>
      <c r="B2977" t="s">
        <v>3078</v>
      </c>
      <c r="C2977" s="1">
        <v>0.16</v>
      </c>
      <c r="D2977" s="1">
        <v>1122</v>
      </c>
      <c r="E2977" s="1">
        <v>1122</v>
      </c>
      <c r="F2977" s="1">
        <v>1</v>
      </c>
      <c r="G2977" s="1">
        <v>181.5</v>
      </c>
      <c r="H2977" s="1" t="s">
        <v>10</v>
      </c>
      <c r="I2977" t="str">
        <f t="shared" si="46"/>
        <v>BLUE CHERRY BLOSSOM CUP &amp; SAUCER [37379B]</v>
      </c>
    </row>
    <row r="2978" spans="1:9" x14ac:dyDescent="0.3">
      <c r="A2978" s="1">
        <v>37399</v>
      </c>
      <c r="B2978" t="s">
        <v>3077</v>
      </c>
      <c r="C2978" s="1">
        <v>0.52</v>
      </c>
      <c r="D2978" s="1">
        <v>143</v>
      </c>
      <c r="E2978" s="1">
        <v>143</v>
      </c>
      <c r="F2978" s="1">
        <v>1</v>
      </c>
      <c r="G2978" s="1">
        <v>75</v>
      </c>
      <c r="H2978" s="1" t="s">
        <v>10</v>
      </c>
      <c r="I2978" t="str">
        <f t="shared" si="46"/>
        <v>ASS RETROSPOOF MUGS,SPORTS [37399]</v>
      </c>
    </row>
    <row r="2979" spans="1:9" x14ac:dyDescent="0.3">
      <c r="A2979" s="1">
        <v>37408</v>
      </c>
      <c r="B2979" t="s">
        <v>3076</v>
      </c>
      <c r="C2979" s="1">
        <v>1.25</v>
      </c>
      <c r="D2979" s="1">
        <v>5</v>
      </c>
      <c r="E2979" s="1">
        <v>5</v>
      </c>
      <c r="F2979" s="1">
        <v>1</v>
      </c>
      <c r="G2979" s="1">
        <v>6.25</v>
      </c>
      <c r="H2979" s="1" t="s">
        <v>8</v>
      </c>
      <c r="I2979" t="str">
        <f t="shared" si="46"/>
        <v>ASSORTED DESIGN GEISHA GIRL MUGS [37408]</v>
      </c>
    </row>
    <row r="2980" spans="1:9" x14ac:dyDescent="0.3">
      <c r="A2980" s="1">
        <v>37409</v>
      </c>
      <c r="B2980" t="s">
        <v>3075</v>
      </c>
      <c r="C2980" s="1">
        <v>0.85</v>
      </c>
      <c r="D2980" s="1">
        <v>1</v>
      </c>
      <c r="E2980" s="2">
        <v>2.3333333333333299</v>
      </c>
      <c r="F2980" s="1">
        <v>3</v>
      </c>
      <c r="G2980" s="1">
        <v>5.95</v>
      </c>
      <c r="H2980" s="1" t="s">
        <v>8</v>
      </c>
      <c r="I2980" t="str">
        <f t="shared" si="46"/>
        <v>ASSORTED DESIGN FLOWER MUGS [37409]</v>
      </c>
    </row>
    <row r="2981" spans="1:9" x14ac:dyDescent="0.3">
      <c r="A2981" s="1">
        <v>37410</v>
      </c>
      <c r="B2981" t="s">
        <v>3074</v>
      </c>
      <c r="C2981" s="1">
        <v>1.125</v>
      </c>
      <c r="D2981" s="1">
        <v>197</v>
      </c>
      <c r="E2981" s="1">
        <v>197</v>
      </c>
      <c r="F2981" s="1">
        <v>2</v>
      </c>
      <c r="G2981" s="1">
        <v>525.52</v>
      </c>
      <c r="H2981" s="1" t="s">
        <v>10</v>
      </c>
      <c r="I2981" t="str">
        <f t="shared" si="46"/>
        <v>BLACK AND WHITE PAISLEY FLOWER MUG [37410]</v>
      </c>
    </row>
    <row r="2982" spans="1:9" x14ac:dyDescent="0.3">
      <c r="A2982" s="1">
        <v>37413</v>
      </c>
      <c r="B2982" t="s">
        <v>3073</v>
      </c>
      <c r="C2982" s="1">
        <v>0.39</v>
      </c>
      <c r="D2982" s="1">
        <v>37</v>
      </c>
      <c r="E2982" s="2">
        <v>63.909090909090899</v>
      </c>
      <c r="F2982" s="1">
        <v>11</v>
      </c>
      <c r="G2982" s="1">
        <v>284.49</v>
      </c>
      <c r="H2982" s="1" t="s">
        <v>9</v>
      </c>
      <c r="I2982" t="str">
        <f t="shared" si="46"/>
        <v>ICON MUG REVOLUTIONARY [37413]</v>
      </c>
    </row>
    <row r="2983" spans="1:9" x14ac:dyDescent="0.3">
      <c r="A2983" s="1">
        <v>37422</v>
      </c>
      <c r="B2983" t="s">
        <v>3072</v>
      </c>
      <c r="C2983" s="1">
        <v>1.21</v>
      </c>
      <c r="D2983" s="1">
        <v>41</v>
      </c>
      <c r="E2983" s="1">
        <v>35.799999999999997</v>
      </c>
      <c r="F2983" s="1">
        <v>5</v>
      </c>
      <c r="G2983" s="1">
        <v>213.9</v>
      </c>
      <c r="H2983" s="1" t="s">
        <v>9</v>
      </c>
      <c r="I2983" t="str">
        <f t="shared" si="46"/>
        <v>WHITE WITH BLACK CATS BOWL [37422]</v>
      </c>
    </row>
    <row r="2984" spans="1:9" x14ac:dyDescent="0.3">
      <c r="A2984" s="1">
        <v>37423</v>
      </c>
      <c r="B2984" t="s">
        <v>3071</v>
      </c>
      <c r="C2984" s="1">
        <v>1.3</v>
      </c>
      <c r="D2984" s="1">
        <v>16</v>
      </c>
      <c r="E2984" s="2">
        <v>21.545454545454501</v>
      </c>
      <c r="F2984" s="1">
        <v>11</v>
      </c>
      <c r="G2984" s="1">
        <v>227.29</v>
      </c>
      <c r="H2984" s="1" t="s">
        <v>9</v>
      </c>
      <c r="I2984" t="str">
        <f t="shared" si="46"/>
        <v>WHITE WITH BLACK CATS PLATE [37423]</v>
      </c>
    </row>
    <row r="2985" spans="1:9" x14ac:dyDescent="0.3">
      <c r="A2985" s="1">
        <v>37424</v>
      </c>
      <c r="B2985" t="s">
        <v>3070</v>
      </c>
      <c r="C2985" s="1">
        <v>1.1000000000000001</v>
      </c>
      <c r="D2985" s="1">
        <v>39</v>
      </c>
      <c r="E2985" s="1">
        <v>99.6</v>
      </c>
      <c r="F2985" s="1">
        <v>10</v>
      </c>
      <c r="G2985" s="1">
        <v>554.42999999999995</v>
      </c>
      <c r="H2985" s="1" t="s">
        <v>9</v>
      </c>
      <c r="I2985" t="str">
        <f t="shared" si="46"/>
        <v>WHITE WITH BLACK CATS MUG [37424]</v>
      </c>
    </row>
    <row r="2986" spans="1:9" x14ac:dyDescent="0.3">
      <c r="A2986" s="1">
        <v>37432</v>
      </c>
      <c r="B2986" t="s">
        <v>3069</v>
      </c>
      <c r="C2986" s="1">
        <v>0.65</v>
      </c>
      <c r="D2986" s="1">
        <v>6</v>
      </c>
      <c r="E2986" s="1">
        <v>6</v>
      </c>
      <c r="F2986" s="1">
        <v>1</v>
      </c>
      <c r="G2986" s="1">
        <v>3.9</v>
      </c>
      <c r="H2986" s="1" t="s">
        <v>8</v>
      </c>
      <c r="I2986" t="str">
        <f t="shared" si="46"/>
        <v>MUG PINK AND PURPLE ARABIC DESIGN [37432]</v>
      </c>
    </row>
    <row r="2987" spans="1:9" x14ac:dyDescent="0.3">
      <c r="A2987" s="1">
        <v>37438</v>
      </c>
      <c r="B2987" t="s">
        <v>3068</v>
      </c>
      <c r="C2987" s="1">
        <v>3.75</v>
      </c>
      <c r="D2987" s="1">
        <v>1</v>
      </c>
      <c r="E2987" s="1">
        <v>1</v>
      </c>
      <c r="F2987" s="1">
        <v>1</v>
      </c>
      <c r="G2987" s="1">
        <v>3.75</v>
      </c>
      <c r="H2987" s="1" t="s">
        <v>8</v>
      </c>
      <c r="I2987" t="str">
        <f t="shared" si="46"/>
        <v>FUNKY FLOWER COFFEE POT [37438]</v>
      </c>
    </row>
    <row r="2988" spans="1:9" x14ac:dyDescent="0.3">
      <c r="A2988" s="1">
        <v>37441</v>
      </c>
      <c r="B2988" t="s">
        <v>3067</v>
      </c>
      <c r="C2988" s="1">
        <v>2.2200000000000002</v>
      </c>
      <c r="D2988" s="1">
        <v>74</v>
      </c>
      <c r="E2988" s="2">
        <v>97.142857142857096</v>
      </c>
      <c r="F2988" s="1">
        <v>7</v>
      </c>
      <c r="G2988" s="1">
        <v>1512</v>
      </c>
      <c r="H2988" s="1" t="s">
        <v>10</v>
      </c>
      <c r="I2988" t="str">
        <f t="shared" si="46"/>
        <v>ASSORTED WHITE EMBOSSED CHINA MUGS [37441]</v>
      </c>
    </row>
    <row r="2989" spans="1:9" x14ac:dyDescent="0.3">
      <c r="A2989" s="1" t="s">
        <v>3066</v>
      </c>
      <c r="B2989" t="s">
        <v>3065</v>
      </c>
      <c r="C2989" s="1">
        <v>3.8149999999999999</v>
      </c>
      <c r="D2989" s="1">
        <v>3.5</v>
      </c>
      <c r="E2989" s="2">
        <v>4.0833333333333304</v>
      </c>
      <c r="F2989" s="1">
        <v>12</v>
      </c>
      <c r="G2989" s="1">
        <v>198.11</v>
      </c>
      <c r="H2989" s="1" t="s">
        <v>8</v>
      </c>
      <c r="I2989" t="str">
        <f t="shared" si="46"/>
        <v>YELLOW BREAKFAST CUP AND SAUCER [37444A]</v>
      </c>
    </row>
    <row r="2990" spans="1:9" x14ac:dyDescent="0.3">
      <c r="A2990" s="1" t="s">
        <v>3064</v>
      </c>
      <c r="B2990" t="s">
        <v>3063</v>
      </c>
      <c r="C2990" s="1">
        <v>3.44</v>
      </c>
      <c r="D2990" s="1">
        <v>4</v>
      </c>
      <c r="E2990" s="2">
        <v>3.5454545454545401</v>
      </c>
      <c r="F2990" s="1">
        <v>11</v>
      </c>
      <c r="G2990" s="1">
        <v>141.94999999999999</v>
      </c>
      <c r="H2990" s="1" t="s">
        <v>8</v>
      </c>
      <c r="I2990" t="str">
        <f t="shared" si="46"/>
        <v>BLUE BREAKFAST CUP AND SAUCER [37444B]</v>
      </c>
    </row>
    <row r="2991" spans="1:9" x14ac:dyDescent="0.3">
      <c r="A2991" s="1" t="s">
        <v>3062</v>
      </c>
      <c r="B2991" t="s">
        <v>3061</v>
      </c>
      <c r="C2991" s="1">
        <v>5.0449999999999999</v>
      </c>
      <c r="D2991" s="1">
        <v>5</v>
      </c>
      <c r="E2991" s="2">
        <v>8.5833333333333304</v>
      </c>
      <c r="F2991" s="1">
        <v>12</v>
      </c>
      <c r="G2991" s="1">
        <v>440.59</v>
      </c>
      <c r="H2991" s="1" t="s">
        <v>8</v>
      </c>
      <c r="I2991" t="str">
        <f t="shared" si="46"/>
        <v>PINK BREAKFAST CUP AND SAUCER [37444C]</v>
      </c>
    </row>
    <row r="2992" spans="1:9" x14ac:dyDescent="0.3">
      <c r="A2992" s="1">
        <v>37446</v>
      </c>
      <c r="B2992" t="s">
        <v>3060</v>
      </c>
      <c r="C2992" s="1">
        <v>1.45</v>
      </c>
      <c r="D2992" s="1">
        <v>124</v>
      </c>
      <c r="E2992" s="2">
        <v>175.76190476190399</v>
      </c>
      <c r="F2992" s="1">
        <v>21</v>
      </c>
      <c r="G2992" s="1">
        <v>5332.25</v>
      </c>
      <c r="H2992" s="1" t="s">
        <v>10</v>
      </c>
      <c r="I2992" t="str">
        <f t="shared" si="46"/>
        <v>MINI CAKE STAND WITH HANGING CAKES [37446]</v>
      </c>
    </row>
    <row r="2993" spans="1:9" x14ac:dyDescent="0.3">
      <c r="A2993" s="1">
        <v>37447</v>
      </c>
      <c r="B2993" t="s">
        <v>3059</v>
      </c>
      <c r="C2993" s="1">
        <v>1.59</v>
      </c>
      <c r="D2993" s="1">
        <v>102</v>
      </c>
      <c r="E2993" s="1">
        <v>115.64</v>
      </c>
      <c r="F2993" s="1">
        <v>25</v>
      </c>
      <c r="G2993" s="1">
        <v>4540.8500000000004</v>
      </c>
      <c r="H2993" s="1" t="s">
        <v>10</v>
      </c>
      <c r="I2993" t="str">
        <f t="shared" si="46"/>
        <v>CERAMIC CAKE DESIGN SPOTTED PLATE [37447]</v>
      </c>
    </row>
    <row r="2994" spans="1:9" x14ac:dyDescent="0.3">
      <c r="A2994" s="1">
        <v>37448</v>
      </c>
      <c r="B2994" t="s">
        <v>3058</v>
      </c>
      <c r="C2994" s="1">
        <v>1.49</v>
      </c>
      <c r="D2994" s="1">
        <v>193</v>
      </c>
      <c r="E2994" s="1">
        <v>181.96</v>
      </c>
      <c r="F2994" s="1">
        <v>25</v>
      </c>
      <c r="G2994" s="1">
        <v>6827.21</v>
      </c>
      <c r="H2994" s="1" t="s">
        <v>10</v>
      </c>
      <c r="I2994" t="str">
        <f t="shared" si="46"/>
        <v>CERAMIC CAKE DESIGN SPOTTED MUG [37448]</v>
      </c>
    </row>
    <row r="2995" spans="1:9" x14ac:dyDescent="0.3">
      <c r="A2995" s="1">
        <v>37449</v>
      </c>
      <c r="B2995" t="s">
        <v>3057</v>
      </c>
      <c r="C2995" s="1">
        <v>9.36</v>
      </c>
      <c r="D2995" s="1">
        <v>77</v>
      </c>
      <c r="E2995" s="2">
        <v>103.565217391304</v>
      </c>
      <c r="F2995" s="1">
        <v>23</v>
      </c>
      <c r="G2995" s="1">
        <v>22333.3</v>
      </c>
      <c r="H2995" s="1" t="s">
        <v>10</v>
      </c>
      <c r="I2995" t="str">
        <f t="shared" si="46"/>
        <v>CERAMIC CAKE STAND + HANGING CAKES [37449]</v>
      </c>
    </row>
    <row r="2996" spans="1:9" x14ac:dyDescent="0.3">
      <c r="A2996" s="1">
        <v>37450</v>
      </c>
      <c r="B2996" t="s">
        <v>3056</v>
      </c>
      <c r="C2996" s="1">
        <v>2.84</v>
      </c>
      <c r="D2996" s="1">
        <v>93</v>
      </c>
      <c r="E2996" s="1">
        <v>97.76</v>
      </c>
      <c r="F2996" s="1">
        <v>25</v>
      </c>
      <c r="G2996" s="1">
        <v>7023.14</v>
      </c>
      <c r="H2996" s="1" t="s">
        <v>10</v>
      </c>
      <c r="I2996" t="str">
        <f t="shared" si="46"/>
        <v>CERAMIC CAKE BOWL + HANGING CAKES [37450]</v>
      </c>
    </row>
    <row r="2997" spans="1:9" x14ac:dyDescent="0.3">
      <c r="A2997" s="1">
        <v>37451</v>
      </c>
      <c r="B2997" t="s">
        <v>3055</v>
      </c>
      <c r="C2997" s="1">
        <v>4.95</v>
      </c>
      <c r="D2997" s="1">
        <v>1</v>
      </c>
      <c r="E2997" s="1">
        <v>1</v>
      </c>
      <c r="F2997" s="1">
        <v>1</v>
      </c>
      <c r="G2997" s="1">
        <v>4.95</v>
      </c>
      <c r="H2997" s="1" t="s">
        <v>8</v>
      </c>
      <c r="I2997" t="str">
        <f t="shared" si="46"/>
        <v>CERAMIC CAKE TEAPOT WITH CHERRY [37451]</v>
      </c>
    </row>
    <row r="2998" spans="1:9" x14ac:dyDescent="0.3">
      <c r="A2998" s="1">
        <v>37461</v>
      </c>
      <c r="B2998" t="s">
        <v>3054</v>
      </c>
      <c r="C2998" s="1">
        <v>1.26</v>
      </c>
      <c r="D2998" s="1">
        <v>26</v>
      </c>
      <c r="E2998" s="2">
        <v>57.076923076923002</v>
      </c>
      <c r="F2998" s="1">
        <v>13</v>
      </c>
      <c r="G2998" s="1">
        <v>778.64</v>
      </c>
      <c r="H2998" s="1" t="s">
        <v>9</v>
      </c>
      <c r="I2998" t="str">
        <f t="shared" si="46"/>
        <v>FUNKY MONKEY MUG [37461]</v>
      </c>
    </row>
    <row r="2999" spans="1:9" x14ac:dyDescent="0.3">
      <c r="A2999" s="1" t="s">
        <v>3053</v>
      </c>
      <c r="B2999" t="s">
        <v>3052</v>
      </c>
      <c r="C2999" s="1">
        <v>0.63500000000000001</v>
      </c>
      <c r="D2999" s="1">
        <v>16</v>
      </c>
      <c r="E2999" s="1">
        <v>21.25</v>
      </c>
      <c r="F2999" s="1">
        <v>8</v>
      </c>
      <c r="G2999" s="1">
        <v>87.28</v>
      </c>
      <c r="H2999" s="1" t="s">
        <v>9</v>
      </c>
      <c r="I2999" t="str">
        <f t="shared" si="46"/>
        <v>PET MUG, BUDGIE [37462B]</v>
      </c>
    </row>
    <row r="3000" spans="1:9" x14ac:dyDescent="0.3">
      <c r="A3000" s="1" t="s">
        <v>3051</v>
      </c>
      <c r="B3000" t="s">
        <v>3050</v>
      </c>
      <c r="C3000" s="1">
        <v>0.63</v>
      </c>
      <c r="D3000" s="1">
        <v>2</v>
      </c>
      <c r="E3000" s="2">
        <v>6.2941176470588198</v>
      </c>
      <c r="F3000" s="1">
        <v>17</v>
      </c>
      <c r="G3000" s="1">
        <v>47.12</v>
      </c>
      <c r="H3000" s="1" t="s">
        <v>8</v>
      </c>
      <c r="I3000" t="str">
        <f t="shared" si="46"/>
        <v>PET MUG, GOLDFISH [37462E]</v>
      </c>
    </row>
    <row r="3001" spans="1:9" x14ac:dyDescent="0.3">
      <c r="A3001" s="1">
        <v>37464</v>
      </c>
      <c r="B3001" t="s">
        <v>3049</v>
      </c>
      <c r="C3001" s="1">
        <v>1.38</v>
      </c>
      <c r="D3001" s="1">
        <v>20</v>
      </c>
      <c r="E3001" s="2">
        <v>24.307692307692299</v>
      </c>
      <c r="F3001" s="1">
        <v>13</v>
      </c>
      <c r="G3001" s="1">
        <v>431.18</v>
      </c>
      <c r="H3001" s="1" t="s">
        <v>9</v>
      </c>
      <c r="I3001" t="str">
        <f t="shared" si="46"/>
        <v>ROBOT MUG IN DISPLAY BOX [37464]</v>
      </c>
    </row>
    <row r="3002" spans="1:9" x14ac:dyDescent="0.3">
      <c r="A3002" s="1">
        <v>37467</v>
      </c>
      <c r="B3002" t="s">
        <v>3048</v>
      </c>
      <c r="C3002" s="1">
        <v>1.37</v>
      </c>
      <c r="D3002" s="1">
        <v>19.5</v>
      </c>
      <c r="E3002" s="1">
        <v>20.6</v>
      </c>
      <c r="F3002" s="1">
        <v>10</v>
      </c>
      <c r="G3002" s="1">
        <v>260.44</v>
      </c>
      <c r="H3002" s="1" t="s">
        <v>9</v>
      </c>
      <c r="I3002" t="str">
        <f t="shared" si="46"/>
        <v>PIG MUG IN TWO COLOUR DESIGNS [37467]</v>
      </c>
    </row>
    <row r="3003" spans="1:9" x14ac:dyDescent="0.3">
      <c r="A3003" s="1">
        <v>37468</v>
      </c>
      <c r="B3003" t="s">
        <v>3047</v>
      </c>
      <c r="C3003" s="1">
        <v>0.39</v>
      </c>
      <c r="D3003" s="1">
        <v>5</v>
      </c>
      <c r="E3003" s="1">
        <v>10.5</v>
      </c>
      <c r="F3003" s="1">
        <v>6</v>
      </c>
      <c r="G3003" s="1">
        <v>24.57</v>
      </c>
      <c r="H3003" s="1" t="s">
        <v>8</v>
      </c>
      <c r="I3003" t="str">
        <f t="shared" si="46"/>
        <v>HARDMAN MUG 3 ASSORTED [37468]</v>
      </c>
    </row>
    <row r="3004" spans="1:9" x14ac:dyDescent="0.3">
      <c r="A3004" s="1">
        <v>37471</v>
      </c>
      <c r="B3004" t="s">
        <v>3046</v>
      </c>
      <c r="C3004" s="1">
        <v>0.85</v>
      </c>
      <c r="D3004" s="1">
        <v>12</v>
      </c>
      <c r="E3004" s="2">
        <v>10.6666666666666</v>
      </c>
      <c r="F3004" s="1">
        <v>3</v>
      </c>
      <c r="G3004" s="1">
        <v>27.2</v>
      </c>
      <c r="H3004" s="1" t="s">
        <v>9</v>
      </c>
      <c r="I3004" t="str">
        <f t="shared" si="46"/>
        <v>MULTICOLOUR DOTS PLATE [37471]</v>
      </c>
    </row>
    <row r="3005" spans="1:9" x14ac:dyDescent="0.3">
      <c r="A3005" s="1">
        <v>37474</v>
      </c>
      <c r="B3005" t="s">
        <v>3045</v>
      </c>
      <c r="C3005" s="1">
        <v>9.9499999999999993</v>
      </c>
      <c r="D3005" s="1">
        <v>3.5</v>
      </c>
      <c r="E3005" s="1">
        <v>5.25</v>
      </c>
      <c r="F3005" s="1">
        <v>12</v>
      </c>
      <c r="G3005" s="1">
        <v>651.04999999999995</v>
      </c>
      <c r="H3005" s="1" t="s">
        <v>8</v>
      </c>
      <c r="I3005" t="str">
        <f t="shared" si="46"/>
        <v>SET/4 2 TONE EGG SHAPE MIXING BOWLS [37474]</v>
      </c>
    </row>
    <row r="3006" spans="1:9" x14ac:dyDescent="0.3">
      <c r="A3006" s="1">
        <v>37475</v>
      </c>
      <c r="B3006" t="s">
        <v>3044</v>
      </c>
      <c r="C3006" s="1">
        <v>9.9499999999999993</v>
      </c>
      <c r="D3006" s="1">
        <v>4</v>
      </c>
      <c r="E3006" s="2">
        <v>5.0434782608695601</v>
      </c>
      <c r="F3006" s="1">
        <v>23</v>
      </c>
      <c r="G3006" s="1">
        <v>1160.56</v>
      </c>
      <c r="H3006" s="1" t="s">
        <v>8</v>
      </c>
      <c r="I3006" t="str">
        <f t="shared" si="46"/>
        <v>SET/4 COLOURFUL MIXING BOWLS [37475]</v>
      </c>
    </row>
    <row r="3007" spans="1:9" x14ac:dyDescent="0.3">
      <c r="A3007" s="1">
        <v>37476</v>
      </c>
      <c r="B3007" t="s">
        <v>3043</v>
      </c>
      <c r="C3007" s="1">
        <v>10.79</v>
      </c>
      <c r="D3007" s="1">
        <v>4</v>
      </c>
      <c r="E3007" s="2">
        <v>9.9523809523809508</v>
      </c>
      <c r="F3007" s="1">
        <v>21</v>
      </c>
      <c r="G3007" s="1">
        <v>2010.6</v>
      </c>
      <c r="H3007" s="1" t="s">
        <v>8</v>
      </c>
      <c r="I3007" t="str">
        <f t="shared" si="46"/>
        <v>CONDIMENT TRAY 4 BOWLS AND 4 SPOONS [37476]</v>
      </c>
    </row>
    <row r="3008" spans="1:9" x14ac:dyDescent="0.3">
      <c r="A3008" s="1" t="s">
        <v>3042</v>
      </c>
      <c r="B3008" t="s">
        <v>3041</v>
      </c>
      <c r="C3008" s="1">
        <v>3.75</v>
      </c>
      <c r="D3008" s="1">
        <v>1.5</v>
      </c>
      <c r="E3008" s="2">
        <v>1.8333333333333299</v>
      </c>
      <c r="F3008" s="1">
        <v>6</v>
      </c>
      <c r="G3008" s="1">
        <v>41.25</v>
      </c>
      <c r="H3008" s="1" t="s">
        <v>8</v>
      </c>
      <c r="I3008" t="str">
        <f t="shared" si="46"/>
        <v>FLOWER FAIRY MUG+COASTER,LAVENDER [37477B]</v>
      </c>
    </row>
    <row r="3009" spans="1:9" x14ac:dyDescent="0.3">
      <c r="A3009" s="1" t="s">
        <v>3040</v>
      </c>
      <c r="B3009" t="s">
        <v>3039</v>
      </c>
      <c r="C3009" s="1">
        <v>3.75</v>
      </c>
      <c r="D3009" s="1">
        <v>6</v>
      </c>
      <c r="E3009" s="1">
        <v>6</v>
      </c>
      <c r="F3009" s="1">
        <v>1</v>
      </c>
      <c r="G3009" s="1">
        <v>22.5</v>
      </c>
      <c r="H3009" s="1" t="s">
        <v>8</v>
      </c>
      <c r="I3009" t="str">
        <f t="shared" si="46"/>
        <v>FLOWER FAIRY MUG+COASTER,ROSE [37477C]</v>
      </c>
    </row>
    <row r="3010" spans="1:9" x14ac:dyDescent="0.3">
      <c r="A3010" s="1" t="s">
        <v>3038</v>
      </c>
      <c r="B3010" t="s">
        <v>3037</v>
      </c>
      <c r="C3010" s="1">
        <v>2.5499999999999998</v>
      </c>
      <c r="D3010" s="1">
        <v>12</v>
      </c>
      <c r="E3010" s="1">
        <v>126</v>
      </c>
      <c r="F3010" s="1">
        <v>9</v>
      </c>
      <c r="G3010" s="2">
        <v>984.18</v>
      </c>
      <c r="H3010" s="1" t="s">
        <v>9</v>
      </c>
      <c r="I3010" t="str">
        <f t="shared" si="46"/>
        <v>CUBIC MUG FLOCK BLUE ON BROWN [37479B]</v>
      </c>
    </row>
    <row r="3011" spans="1:9" x14ac:dyDescent="0.3">
      <c r="A3011" s="1" t="s">
        <v>3036</v>
      </c>
      <c r="B3011" t="s">
        <v>3035</v>
      </c>
      <c r="C3011" s="1">
        <v>0.39</v>
      </c>
      <c r="D3011" s="1">
        <v>20.5</v>
      </c>
      <c r="E3011" s="1">
        <v>19.125</v>
      </c>
      <c r="F3011" s="1">
        <v>8</v>
      </c>
      <c r="G3011" s="1">
        <v>87.87</v>
      </c>
      <c r="H3011" s="1" t="s">
        <v>9</v>
      </c>
      <c r="I3011" t="str">
        <f t="shared" ref="I3011:I3074" si="47">B3011&amp;" ["&amp;A3011&amp;"]"</f>
        <v>CUBIC MUG FLOCK PINK ON BROWN [37479P]</v>
      </c>
    </row>
    <row r="3012" spans="1:9" x14ac:dyDescent="0.3">
      <c r="A3012" s="1">
        <v>37481</v>
      </c>
      <c r="B3012" t="s">
        <v>3034</v>
      </c>
      <c r="C3012" s="1">
        <v>2.5499999999999998</v>
      </c>
      <c r="D3012" s="1">
        <v>6</v>
      </c>
      <c r="E3012" s="1">
        <v>6</v>
      </c>
      <c r="F3012" s="1">
        <v>1</v>
      </c>
      <c r="G3012" s="1">
        <v>15.3</v>
      </c>
      <c r="H3012" s="1" t="s">
        <v>8</v>
      </c>
      <c r="I3012" t="str">
        <f t="shared" si="47"/>
        <v>CUBIC MUG TEATIME CAKES [37481]</v>
      </c>
    </row>
    <row r="3013" spans="1:9" x14ac:dyDescent="0.3">
      <c r="A3013" s="1" t="s">
        <v>3033</v>
      </c>
      <c r="B3013" t="s">
        <v>3030</v>
      </c>
      <c r="C3013" s="1">
        <v>1.74</v>
      </c>
      <c r="D3013" s="1">
        <v>126</v>
      </c>
      <c r="E3013" s="1">
        <v>208.5</v>
      </c>
      <c r="F3013" s="1">
        <v>6</v>
      </c>
      <c r="G3013" s="1">
        <v>1127.9100000000001</v>
      </c>
      <c r="H3013" s="1" t="s">
        <v>10</v>
      </c>
      <c r="I3013" t="str">
        <f t="shared" si="47"/>
        <v>CUBIC MUG BLUE POLKA DOT [37482B]</v>
      </c>
    </row>
    <row r="3014" spans="1:9" x14ac:dyDescent="0.3">
      <c r="A3014" s="1" t="s">
        <v>3032</v>
      </c>
      <c r="B3014" t="s">
        <v>3028</v>
      </c>
      <c r="C3014" s="1">
        <v>2.7850000000000001</v>
      </c>
      <c r="D3014" s="1">
        <v>13.5</v>
      </c>
      <c r="E3014" s="2">
        <v>16.4166666666666</v>
      </c>
      <c r="F3014" s="1">
        <v>12</v>
      </c>
      <c r="G3014" s="1">
        <v>635.74</v>
      </c>
      <c r="H3014" s="1" t="s">
        <v>9</v>
      </c>
      <c r="I3014" t="str">
        <f t="shared" si="47"/>
        <v>CUBIC MUG PINK POLKA DOT [37482P]</v>
      </c>
    </row>
    <row r="3015" spans="1:9" x14ac:dyDescent="0.3">
      <c r="A3015" s="1" t="s">
        <v>3031</v>
      </c>
      <c r="B3015" t="s">
        <v>3030</v>
      </c>
      <c r="C3015" s="1">
        <v>17.350000000000001</v>
      </c>
      <c r="D3015" s="1">
        <v>1</v>
      </c>
      <c r="E3015" s="1">
        <v>1</v>
      </c>
      <c r="F3015" s="1">
        <v>1</v>
      </c>
      <c r="G3015" s="1">
        <v>17.350000000000001</v>
      </c>
      <c r="H3015" s="1" t="s">
        <v>8</v>
      </c>
      <c r="I3015" t="str">
        <f t="shared" si="47"/>
        <v>CUBIC MUG BLUE POLKA DOT [37482b]</v>
      </c>
    </row>
    <row r="3016" spans="1:9" x14ac:dyDescent="0.3">
      <c r="A3016" s="1" t="s">
        <v>3029</v>
      </c>
      <c r="B3016" t="s">
        <v>3028</v>
      </c>
      <c r="C3016" s="1">
        <v>17.350000000000001</v>
      </c>
      <c r="D3016" s="1">
        <v>2</v>
      </c>
      <c r="E3016" s="1">
        <v>2</v>
      </c>
      <c r="F3016" s="1">
        <v>1</v>
      </c>
      <c r="G3016" s="1">
        <v>34.700000000000003</v>
      </c>
      <c r="H3016" s="1" t="s">
        <v>8</v>
      </c>
      <c r="I3016" t="str">
        <f t="shared" si="47"/>
        <v>CUBIC MUG PINK POLKA DOT [37482p]</v>
      </c>
    </row>
    <row r="3017" spans="1:9" x14ac:dyDescent="0.3">
      <c r="A3017" s="1">
        <v>37483</v>
      </c>
      <c r="B3017" t="s">
        <v>3027</v>
      </c>
      <c r="C3017" s="1">
        <v>2.0449999999999999</v>
      </c>
      <c r="D3017" s="1">
        <v>71.5</v>
      </c>
      <c r="E3017" s="1">
        <v>71.5</v>
      </c>
      <c r="F3017" s="1">
        <v>2</v>
      </c>
      <c r="G3017" s="1">
        <v>232.89</v>
      </c>
      <c r="H3017" s="1" t="s">
        <v>10</v>
      </c>
      <c r="I3017" t="str">
        <f t="shared" si="47"/>
        <v>ENGLISH ROSE MUG IN GIFT BOX [37483]</v>
      </c>
    </row>
    <row r="3018" spans="1:9" x14ac:dyDescent="0.3">
      <c r="A3018" s="1">
        <v>37484</v>
      </c>
      <c r="B3018" t="s">
        <v>3026</v>
      </c>
      <c r="C3018" s="1">
        <v>6.75</v>
      </c>
      <c r="D3018" s="1">
        <v>1</v>
      </c>
      <c r="E3018" s="1">
        <v>1</v>
      </c>
      <c r="F3018" s="1">
        <v>1</v>
      </c>
      <c r="G3018" s="1">
        <v>6.75</v>
      </c>
      <c r="H3018" s="1" t="s">
        <v>8</v>
      </c>
      <c r="I3018" t="str">
        <f t="shared" si="47"/>
        <v>ENGLISH ROSE TEA FOR ONE GIFT BOX [37484]</v>
      </c>
    </row>
    <row r="3019" spans="1:9" x14ac:dyDescent="0.3">
      <c r="A3019" s="1">
        <v>37485</v>
      </c>
      <c r="B3019" t="s">
        <v>3025</v>
      </c>
      <c r="C3019" s="1">
        <v>4.6500000000000004</v>
      </c>
      <c r="D3019" s="1">
        <v>5</v>
      </c>
      <c r="E3019" s="2">
        <v>16.3333333333333</v>
      </c>
      <c r="F3019" s="1">
        <v>3</v>
      </c>
      <c r="G3019" s="1">
        <v>207.69</v>
      </c>
      <c r="H3019" s="1" t="s">
        <v>8</v>
      </c>
      <c r="I3019" t="str">
        <f t="shared" si="47"/>
        <v>ENGLISH ROSE TEA SET IN GIFT BOX [37485]</v>
      </c>
    </row>
    <row r="3020" spans="1:9" x14ac:dyDescent="0.3">
      <c r="A3020" s="1" t="s">
        <v>3024</v>
      </c>
      <c r="B3020" t="s">
        <v>3023</v>
      </c>
      <c r="C3020" s="1">
        <v>0.28999999999999998</v>
      </c>
      <c r="D3020" s="1">
        <v>68</v>
      </c>
      <c r="E3020" s="1">
        <v>68</v>
      </c>
      <c r="F3020" s="1">
        <v>1</v>
      </c>
      <c r="G3020" s="1">
        <v>19.72</v>
      </c>
      <c r="H3020" s="1" t="s">
        <v>10</v>
      </c>
      <c r="I3020" t="str">
        <f t="shared" si="47"/>
        <v>YELLOW/ORANGE FLOWER DESIGN PLATE [37487B]</v>
      </c>
    </row>
    <row r="3021" spans="1:9" x14ac:dyDescent="0.3">
      <c r="A3021" s="1" t="s">
        <v>3022</v>
      </c>
      <c r="B3021" t="s">
        <v>3021</v>
      </c>
      <c r="C3021" s="1">
        <v>2.95</v>
      </c>
      <c r="D3021" s="1">
        <v>1.5</v>
      </c>
      <c r="E3021" s="1">
        <v>1.5</v>
      </c>
      <c r="F3021" s="1">
        <v>2</v>
      </c>
      <c r="G3021" s="2">
        <v>8.85</v>
      </c>
      <c r="H3021" s="1" t="s">
        <v>8</v>
      </c>
      <c r="I3021" t="str">
        <f t="shared" si="47"/>
        <v>YELLOW PINK FLOWER DESIGN BIG BOWL [37488A]</v>
      </c>
    </row>
    <row r="3022" spans="1:9" x14ac:dyDescent="0.3">
      <c r="A3022" s="1" t="s">
        <v>3020</v>
      </c>
      <c r="B3022" t="s">
        <v>3019</v>
      </c>
      <c r="C3022" s="1">
        <v>0.39</v>
      </c>
      <c r="D3022" s="1">
        <v>2</v>
      </c>
      <c r="E3022" s="2">
        <v>2.93333333333333</v>
      </c>
      <c r="F3022" s="1">
        <v>15</v>
      </c>
      <c r="G3022" s="1">
        <v>38.14</v>
      </c>
      <c r="H3022" s="1" t="s">
        <v>8</v>
      </c>
      <c r="I3022" t="str">
        <f t="shared" si="47"/>
        <v>YELLOW/PINK FLOWER DESIGN BIG MUG [37489A]</v>
      </c>
    </row>
    <row r="3023" spans="1:9" x14ac:dyDescent="0.3">
      <c r="A3023" s="1" t="s">
        <v>3018</v>
      </c>
      <c r="B3023" t="s">
        <v>3017</v>
      </c>
      <c r="C3023" s="1">
        <v>1.17</v>
      </c>
      <c r="D3023" s="1">
        <v>2.5</v>
      </c>
      <c r="E3023" s="2">
        <v>3.1666666666666599</v>
      </c>
      <c r="F3023" s="1">
        <v>12</v>
      </c>
      <c r="G3023" s="2">
        <v>30.419999999999899</v>
      </c>
      <c r="H3023" s="1" t="s">
        <v>8</v>
      </c>
      <c r="I3023" t="str">
        <f t="shared" si="47"/>
        <v>BLUE/YELLOW FLOWER DESIGN BIG MUG [37489B]</v>
      </c>
    </row>
    <row r="3024" spans="1:9" x14ac:dyDescent="0.3">
      <c r="A3024" s="1" t="s">
        <v>3016</v>
      </c>
      <c r="B3024" t="s">
        <v>3015</v>
      </c>
      <c r="C3024" s="1">
        <v>1.95</v>
      </c>
      <c r="D3024" s="1">
        <v>1</v>
      </c>
      <c r="E3024" s="1">
        <v>1.4</v>
      </c>
      <c r="F3024" s="1">
        <v>5</v>
      </c>
      <c r="G3024" s="2">
        <v>18.259999999999899</v>
      </c>
      <c r="H3024" s="1" t="s">
        <v>8</v>
      </c>
      <c r="I3024" t="str">
        <f t="shared" si="47"/>
        <v>GREEN/BLUE FLOWER DESIGN BIG MUG [37489C]</v>
      </c>
    </row>
    <row r="3025" spans="1:9" x14ac:dyDescent="0.3">
      <c r="A3025" s="1" t="s">
        <v>3014</v>
      </c>
      <c r="B3025" t="s">
        <v>3013</v>
      </c>
      <c r="C3025" s="1">
        <v>0.39</v>
      </c>
      <c r="D3025" s="1">
        <v>4</v>
      </c>
      <c r="E3025" s="2">
        <v>4.3333333333333304</v>
      </c>
      <c r="F3025" s="1">
        <v>9</v>
      </c>
      <c r="G3025" s="1">
        <v>15.21</v>
      </c>
      <c r="H3025" s="1" t="s">
        <v>8</v>
      </c>
      <c r="I3025" t="str">
        <f t="shared" si="47"/>
        <v>PINK/GREEN FLOWER DESIGN BIG MUG [37489D]</v>
      </c>
    </row>
    <row r="3026" spans="1:9" x14ac:dyDescent="0.3">
      <c r="A3026" s="1" t="s">
        <v>3012</v>
      </c>
      <c r="B3026" t="s">
        <v>3011</v>
      </c>
      <c r="C3026" s="1">
        <v>3.29</v>
      </c>
      <c r="D3026" s="1">
        <v>2</v>
      </c>
      <c r="E3026" s="2">
        <v>1.63636363636363</v>
      </c>
      <c r="F3026" s="1">
        <v>11</v>
      </c>
      <c r="G3026" s="1">
        <v>48.3</v>
      </c>
      <c r="H3026" s="1" t="s">
        <v>8</v>
      </c>
      <c r="I3026" t="str">
        <f t="shared" si="47"/>
        <v>YELLOW/PINK CERAMIC CANDLE HOLDER [37491A]</v>
      </c>
    </row>
    <row r="3027" spans="1:9" x14ac:dyDescent="0.3">
      <c r="A3027" s="1" t="s">
        <v>3010</v>
      </c>
      <c r="B3027" t="s">
        <v>3009</v>
      </c>
      <c r="C3027" s="1">
        <v>1.65</v>
      </c>
      <c r="D3027" s="1">
        <v>2</v>
      </c>
      <c r="E3027" s="1">
        <v>2.8</v>
      </c>
      <c r="F3027" s="1">
        <v>5</v>
      </c>
      <c r="G3027" s="1">
        <v>30.08</v>
      </c>
      <c r="H3027" s="1" t="s">
        <v>8</v>
      </c>
      <c r="I3027" t="str">
        <f t="shared" si="47"/>
        <v>BLUE/YELLOW CERAMIC CANDLE HOLDER [37491B]</v>
      </c>
    </row>
    <row r="3028" spans="1:9" x14ac:dyDescent="0.3">
      <c r="A3028" s="1" t="s">
        <v>3008</v>
      </c>
      <c r="B3028" t="s">
        <v>3007</v>
      </c>
      <c r="C3028" s="1">
        <v>1.65</v>
      </c>
      <c r="D3028" s="1">
        <v>3</v>
      </c>
      <c r="E3028" s="2">
        <v>8.2857142857142794</v>
      </c>
      <c r="F3028" s="1">
        <v>7</v>
      </c>
      <c r="G3028" s="1">
        <v>167.52</v>
      </c>
      <c r="H3028" s="1" t="s">
        <v>8</v>
      </c>
      <c r="I3028" t="str">
        <f t="shared" si="47"/>
        <v>GREEN/BLUE CERAMIC CANDLE HOLDER [37491C]</v>
      </c>
    </row>
    <row r="3029" spans="1:9" x14ac:dyDescent="0.3">
      <c r="A3029" s="1" t="s">
        <v>3006</v>
      </c>
      <c r="B3029" t="s">
        <v>3005</v>
      </c>
      <c r="C3029" s="1">
        <v>2.79</v>
      </c>
      <c r="D3029" s="1">
        <v>2</v>
      </c>
      <c r="E3029" s="2">
        <v>2.88888888888888</v>
      </c>
      <c r="F3029" s="1">
        <v>9</v>
      </c>
      <c r="G3029" s="1">
        <v>63.28</v>
      </c>
      <c r="H3029" s="1" t="s">
        <v>8</v>
      </c>
      <c r="I3029" t="str">
        <f t="shared" si="47"/>
        <v>PURPLE/BLUE CERAMIC CANDLE HOLDER [37491D]</v>
      </c>
    </row>
    <row r="3030" spans="1:9" x14ac:dyDescent="0.3">
      <c r="A3030" s="1" t="s">
        <v>3004</v>
      </c>
      <c r="B3030" t="s">
        <v>3003</v>
      </c>
      <c r="C3030" s="1">
        <v>2</v>
      </c>
      <c r="D3030" s="1">
        <v>108</v>
      </c>
      <c r="E3030" s="1">
        <v>108</v>
      </c>
      <c r="F3030" s="1">
        <v>1</v>
      </c>
      <c r="G3030" s="1">
        <v>216.07</v>
      </c>
      <c r="H3030" s="1" t="s">
        <v>10</v>
      </c>
      <c r="I3030" t="str">
        <f t="shared" si="47"/>
        <v>YELLOW RED FLOWER PIGGY BANK [37492A]</v>
      </c>
    </row>
    <row r="3031" spans="1:9" x14ac:dyDescent="0.3">
      <c r="A3031" s="1" t="s">
        <v>3002</v>
      </c>
      <c r="B3031" t="s">
        <v>3001</v>
      </c>
      <c r="C3031" s="1">
        <v>2.3250000000000002</v>
      </c>
      <c r="D3031" s="1">
        <v>17</v>
      </c>
      <c r="E3031" s="1">
        <v>48.9</v>
      </c>
      <c r="F3031" s="1">
        <v>10</v>
      </c>
      <c r="G3031" s="1">
        <v>946.72</v>
      </c>
      <c r="H3031" s="1" t="s">
        <v>9</v>
      </c>
      <c r="I3031" t="str">
        <f t="shared" si="47"/>
        <v>BLUE YELLOW FLOWER PIGGY BANK [37492B]</v>
      </c>
    </row>
    <row r="3032" spans="1:9" x14ac:dyDescent="0.3">
      <c r="A3032" s="1" t="s">
        <v>3000</v>
      </c>
      <c r="B3032" t="s">
        <v>2999</v>
      </c>
      <c r="C3032" s="2">
        <v>2.6449999999999898</v>
      </c>
      <c r="D3032" s="1">
        <v>18</v>
      </c>
      <c r="E3032" s="2">
        <v>40.3333333333333</v>
      </c>
      <c r="F3032" s="1">
        <v>6</v>
      </c>
      <c r="G3032" s="1">
        <v>477.3</v>
      </c>
      <c r="H3032" s="1" t="s">
        <v>9</v>
      </c>
      <c r="I3032" t="str">
        <f t="shared" si="47"/>
        <v>GREEN BLUE FLOWER PIGGY BANK [37492C]</v>
      </c>
    </row>
    <row r="3033" spans="1:9" x14ac:dyDescent="0.3">
      <c r="A3033" s="1" t="s">
        <v>2998</v>
      </c>
      <c r="B3033" t="s">
        <v>2997</v>
      </c>
      <c r="C3033" s="1">
        <v>1.88</v>
      </c>
      <c r="D3033" s="1">
        <v>16</v>
      </c>
      <c r="E3033" s="1">
        <v>72</v>
      </c>
      <c r="F3033" s="1">
        <v>5</v>
      </c>
      <c r="G3033" s="1">
        <v>673.67</v>
      </c>
      <c r="H3033" s="1" t="s">
        <v>9</v>
      </c>
      <c r="I3033" t="str">
        <f t="shared" si="47"/>
        <v>PURPLE GREEN FLOWER PIGGY BANK [37492D]</v>
      </c>
    </row>
    <row r="3034" spans="1:9" x14ac:dyDescent="0.3">
      <c r="A3034" s="1" t="s">
        <v>2996</v>
      </c>
      <c r="B3034" t="s">
        <v>2994</v>
      </c>
      <c r="C3034" s="1">
        <v>3.3650000000000002</v>
      </c>
      <c r="D3034" s="1">
        <v>52</v>
      </c>
      <c r="E3034" s="1">
        <v>59.25</v>
      </c>
      <c r="F3034" s="1">
        <v>4</v>
      </c>
      <c r="G3034" s="1">
        <v>793.44</v>
      </c>
      <c r="H3034" s="1" t="s">
        <v>9</v>
      </c>
      <c r="I3034" t="str">
        <f t="shared" si="47"/>
        <v>FAIRY CAKE CERAMIC BUTTER DISH [37494A]</v>
      </c>
    </row>
    <row r="3035" spans="1:9" x14ac:dyDescent="0.3">
      <c r="A3035" s="1" t="s">
        <v>2995</v>
      </c>
      <c r="B3035" t="s">
        <v>2994</v>
      </c>
      <c r="C3035" s="1">
        <v>6.04</v>
      </c>
      <c r="D3035" s="1">
        <v>4</v>
      </c>
      <c r="E3035" s="1">
        <v>4</v>
      </c>
      <c r="F3035" s="1">
        <v>1</v>
      </c>
      <c r="G3035" s="1">
        <v>24.16</v>
      </c>
      <c r="H3035" s="1" t="s">
        <v>8</v>
      </c>
      <c r="I3035" t="str">
        <f t="shared" si="47"/>
        <v>FAIRY CAKE CERAMIC BUTTER DISH [37494a]</v>
      </c>
    </row>
    <row r="3036" spans="1:9" x14ac:dyDescent="0.3">
      <c r="A3036" s="1">
        <v>37495</v>
      </c>
      <c r="B3036" t="s">
        <v>2993</v>
      </c>
      <c r="C3036" s="1">
        <v>3.75</v>
      </c>
      <c r="D3036" s="1">
        <v>53</v>
      </c>
      <c r="E3036" s="1">
        <v>62.4</v>
      </c>
      <c r="F3036" s="1">
        <v>25</v>
      </c>
      <c r="G3036" s="1">
        <v>5732.6</v>
      </c>
      <c r="H3036" s="1" t="s">
        <v>9</v>
      </c>
      <c r="I3036" t="str">
        <f t="shared" si="47"/>
        <v>FAIRY CAKE BIRTHDAY CANDLE SET [37495]</v>
      </c>
    </row>
    <row r="3037" spans="1:9" x14ac:dyDescent="0.3">
      <c r="A3037" s="1">
        <v>37500</v>
      </c>
      <c r="B3037" t="s">
        <v>2992</v>
      </c>
      <c r="C3037" s="1">
        <v>9.51</v>
      </c>
      <c r="D3037" s="1">
        <v>25</v>
      </c>
      <c r="E3037" s="1">
        <v>35.24</v>
      </c>
      <c r="F3037" s="1">
        <v>25</v>
      </c>
      <c r="G3037" s="1">
        <v>6787.46</v>
      </c>
      <c r="H3037" s="1" t="s">
        <v>9</v>
      </c>
      <c r="I3037" t="str">
        <f t="shared" si="47"/>
        <v>TEA TIME TEAPOT IN GIFT BOX [37500]</v>
      </c>
    </row>
    <row r="3038" spans="1:9" x14ac:dyDescent="0.3">
      <c r="A3038" s="1">
        <v>37501</v>
      </c>
      <c r="B3038" t="s">
        <v>2991</v>
      </c>
      <c r="C3038" s="1">
        <v>6.95</v>
      </c>
      <c r="D3038" s="1">
        <v>22</v>
      </c>
      <c r="E3038" s="2">
        <v>22.904761904761902</v>
      </c>
      <c r="F3038" s="1">
        <v>21</v>
      </c>
      <c r="G3038" s="1">
        <v>3401.15</v>
      </c>
      <c r="H3038" s="1" t="s">
        <v>9</v>
      </c>
      <c r="I3038" t="str">
        <f t="shared" si="47"/>
        <v>TEA TIME TEA SET IN GIFT BOX [37501]</v>
      </c>
    </row>
    <row r="3039" spans="1:9" x14ac:dyDescent="0.3">
      <c r="A3039" s="1">
        <v>37502</v>
      </c>
      <c r="B3039" t="s">
        <v>2990</v>
      </c>
      <c r="C3039" s="1">
        <v>3.0049999999999999</v>
      </c>
      <c r="D3039" s="1">
        <v>84</v>
      </c>
      <c r="E3039" s="1">
        <v>108.5</v>
      </c>
      <c r="F3039" s="1">
        <v>8</v>
      </c>
      <c r="G3039" s="1">
        <v>2599.79</v>
      </c>
      <c r="H3039" s="1" t="s">
        <v>10</v>
      </c>
      <c r="I3039" t="str">
        <f t="shared" si="47"/>
        <v>TEA TIME MUG IN GIFT BOX [37502]</v>
      </c>
    </row>
    <row r="3040" spans="1:9" x14ac:dyDescent="0.3">
      <c r="A3040" s="1">
        <v>37503</v>
      </c>
      <c r="B3040" t="s">
        <v>2989</v>
      </c>
      <c r="C3040" s="1">
        <v>10.42</v>
      </c>
      <c r="D3040" s="1">
        <v>309</v>
      </c>
      <c r="E3040" s="2">
        <v>273.888888888888</v>
      </c>
      <c r="F3040" s="1">
        <v>9</v>
      </c>
      <c r="G3040" s="1">
        <v>25428.33</v>
      </c>
      <c r="H3040" s="1" t="s">
        <v>10</v>
      </c>
      <c r="I3040" t="str">
        <f t="shared" si="47"/>
        <v>TEA TIME CAKE STAND IN GIFT BOX [37503]</v>
      </c>
    </row>
    <row r="3041" spans="1:9" x14ac:dyDescent="0.3">
      <c r="A3041" s="1">
        <v>37506</v>
      </c>
      <c r="B3041" t="s">
        <v>2988</v>
      </c>
      <c r="C3041" s="1">
        <v>5.95</v>
      </c>
      <c r="D3041" s="1">
        <v>4</v>
      </c>
      <c r="E3041" s="2">
        <v>3.55555555555555</v>
      </c>
      <c r="F3041" s="1">
        <v>9</v>
      </c>
      <c r="G3041" s="1">
        <v>190.4</v>
      </c>
      <c r="H3041" s="1" t="s">
        <v>8</v>
      </c>
      <c r="I3041" t="str">
        <f t="shared" si="47"/>
        <v>NEW ENGLAND MILK JUG W GIFT BOX [37506]</v>
      </c>
    </row>
    <row r="3042" spans="1:9" x14ac:dyDescent="0.3">
      <c r="A3042" s="1">
        <v>37508</v>
      </c>
      <c r="B3042" t="s">
        <v>2987</v>
      </c>
      <c r="C3042" s="1">
        <v>2.5499999999999998</v>
      </c>
      <c r="D3042" s="1">
        <v>8</v>
      </c>
      <c r="E3042" s="1">
        <v>9.8888888888888893</v>
      </c>
      <c r="F3042" s="1">
        <v>9</v>
      </c>
      <c r="G3042" s="1">
        <v>229.57</v>
      </c>
      <c r="H3042" s="1" t="s">
        <v>8</v>
      </c>
      <c r="I3042" t="str">
        <f t="shared" si="47"/>
        <v>NEW ENGLAND CERAMIC CAKE SERVER [37508]</v>
      </c>
    </row>
    <row r="3043" spans="1:9" x14ac:dyDescent="0.3">
      <c r="A3043" s="1">
        <v>37509</v>
      </c>
      <c r="B3043" t="s">
        <v>2986</v>
      </c>
      <c r="C3043" s="1">
        <v>2.5499999999999998</v>
      </c>
      <c r="D3043" s="1">
        <v>2.5</v>
      </c>
      <c r="E3043" s="1">
        <v>3.5</v>
      </c>
      <c r="F3043" s="1">
        <v>8</v>
      </c>
      <c r="G3043" s="1">
        <v>71.400000000000006</v>
      </c>
      <c r="H3043" s="1" t="s">
        <v>8</v>
      </c>
      <c r="I3043" t="str">
        <f t="shared" si="47"/>
        <v>NEW ENGLAND MUG W GIFT BOX [37509]</v>
      </c>
    </row>
    <row r="3044" spans="1:9" x14ac:dyDescent="0.3">
      <c r="A3044" s="1">
        <v>40001</v>
      </c>
      <c r="B3044" t="s">
        <v>2985</v>
      </c>
      <c r="C3044" s="1">
        <v>0.85</v>
      </c>
      <c r="D3044" s="1">
        <v>77</v>
      </c>
      <c r="E3044" s="1">
        <v>99.36</v>
      </c>
      <c r="F3044" s="1">
        <v>24</v>
      </c>
      <c r="G3044" s="1">
        <v>1911.65</v>
      </c>
      <c r="H3044" s="1" t="s">
        <v>10</v>
      </c>
      <c r="I3044" t="str">
        <f t="shared" si="47"/>
        <v>WHITE BAMBOO RIBS LAMPSHADE [40001]</v>
      </c>
    </row>
    <row r="3045" spans="1:9" x14ac:dyDescent="0.3">
      <c r="A3045" s="1">
        <v>40002</v>
      </c>
      <c r="B3045" t="s">
        <v>2985</v>
      </c>
      <c r="C3045" s="1">
        <v>0.85</v>
      </c>
      <c r="D3045" s="1">
        <v>78</v>
      </c>
      <c r="E3045" s="1">
        <v>78</v>
      </c>
      <c r="F3045" s="1">
        <v>1</v>
      </c>
      <c r="G3045" s="1">
        <v>66.3</v>
      </c>
      <c r="H3045" s="1" t="s">
        <v>10</v>
      </c>
      <c r="I3045" t="str">
        <f t="shared" si="47"/>
        <v>WHITE BAMBOO RIBS LAMPSHADE [40002]</v>
      </c>
    </row>
    <row r="3046" spans="1:9" x14ac:dyDescent="0.3">
      <c r="A3046" s="1">
        <v>40003</v>
      </c>
      <c r="B3046" t="s">
        <v>2985</v>
      </c>
      <c r="C3046" s="1">
        <v>1.25</v>
      </c>
      <c r="D3046" s="1">
        <v>48</v>
      </c>
      <c r="E3046" s="2">
        <v>67.529411764705799</v>
      </c>
      <c r="F3046" s="1">
        <v>17</v>
      </c>
      <c r="G3046" s="1">
        <v>1250.1600000000001</v>
      </c>
      <c r="H3046" s="1" t="s">
        <v>9</v>
      </c>
      <c r="I3046" t="str">
        <f t="shared" si="47"/>
        <v>WHITE BAMBOO RIBS LAMPSHADE [40003]</v>
      </c>
    </row>
    <row r="3047" spans="1:9" x14ac:dyDescent="0.3">
      <c r="A3047" s="1" t="s">
        <v>2984</v>
      </c>
      <c r="B3047" t="s">
        <v>2983</v>
      </c>
      <c r="C3047" s="1">
        <v>0.85</v>
      </c>
      <c r="D3047" s="1">
        <v>2</v>
      </c>
      <c r="E3047" s="1">
        <v>3.3</v>
      </c>
      <c r="F3047" s="1">
        <v>10</v>
      </c>
      <c r="G3047" s="1">
        <v>28.05</v>
      </c>
      <c r="H3047" s="1" t="s">
        <v>8</v>
      </c>
      <c r="I3047" t="str">
        <f t="shared" si="47"/>
        <v>BLUE ORGANDY ROUND LAMPSHADE W BEA [40005B]</v>
      </c>
    </row>
    <row r="3048" spans="1:9" x14ac:dyDescent="0.3">
      <c r="A3048" s="1">
        <v>40016</v>
      </c>
      <c r="B3048" t="s">
        <v>2982</v>
      </c>
      <c r="C3048" s="1">
        <v>0.39500000000000002</v>
      </c>
      <c r="D3048" s="1">
        <v>649.5</v>
      </c>
      <c r="E3048" s="2">
        <v>701.59090909090901</v>
      </c>
      <c r="F3048" s="1">
        <v>22</v>
      </c>
      <c r="G3048" s="1">
        <v>5487.31</v>
      </c>
      <c r="H3048" s="1" t="s">
        <v>10</v>
      </c>
      <c r="I3048" t="str">
        <f t="shared" si="47"/>
        <v>CHINESE DRAGON PAPER LANTERNS [40016]</v>
      </c>
    </row>
    <row r="3049" spans="1:9" x14ac:dyDescent="0.3">
      <c r="A3049" s="1" t="s">
        <v>2981</v>
      </c>
      <c r="B3049" t="s">
        <v>2980</v>
      </c>
      <c r="C3049" s="1">
        <v>2.27</v>
      </c>
      <c r="D3049" s="1">
        <v>46</v>
      </c>
      <c r="E3049" s="2">
        <v>54.857142857142797</v>
      </c>
      <c r="F3049" s="1">
        <v>7</v>
      </c>
      <c r="G3049" s="1">
        <v>837.02</v>
      </c>
      <c r="H3049" s="1" t="s">
        <v>9</v>
      </c>
      <c r="I3049" t="str">
        <f t="shared" si="47"/>
        <v>TEA TIME PAPER LANTERNS [40018E]</v>
      </c>
    </row>
    <row r="3050" spans="1:9" x14ac:dyDescent="0.3">
      <c r="A3050" s="1" t="s">
        <v>2979</v>
      </c>
      <c r="B3050" t="s">
        <v>2978</v>
      </c>
      <c r="C3050" s="1">
        <v>1.9550000000000001</v>
      </c>
      <c r="D3050" s="1">
        <v>61.5</v>
      </c>
      <c r="E3050" s="1">
        <v>109.2</v>
      </c>
      <c r="F3050" s="1">
        <v>10</v>
      </c>
      <c r="G3050" s="1">
        <v>2100.33</v>
      </c>
      <c r="H3050" s="1" t="s">
        <v>10</v>
      </c>
      <c r="I3050" t="str">
        <f t="shared" si="47"/>
        <v>CHERRY DESIGN PAPERLANTERNS [40018F]</v>
      </c>
    </row>
    <row r="3051" spans="1:9" x14ac:dyDescent="0.3">
      <c r="A3051" s="1" t="s">
        <v>2977</v>
      </c>
      <c r="B3051" t="s">
        <v>2976</v>
      </c>
      <c r="C3051" s="1">
        <v>1.25</v>
      </c>
      <c r="D3051" s="1">
        <v>14.5</v>
      </c>
      <c r="E3051" s="1">
        <v>22.1875</v>
      </c>
      <c r="F3051" s="1">
        <v>16</v>
      </c>
      <c r="G3051" s="1">
        <v>472.07</v>
      </c>
      <c r="H3051" s="1" t="s">
        <v>9</v>
      </c>
      <c r="I3051" t="str">
        <f t="shared" si="47"/>
        <v>RED DAISY PAPER LAMPSHADE [40046A]</v>
      </c>
    </row>
    <row r="3052" spans="1:9" x14ac:dyDescent="0.3">
      <c r="A3052" s="1" t="s">
        <v>2975</v>
      </c>
      <c r="B3052" t="s">
        <v>2974</v>
      </c>
      <c r="C3052" s="1">
        <v>1.25</v>
      </c>
      <c r="D3052" s="1">
        <v>3</v>
      </c>
      <c r="E3052" s="1">
        <v>3</v>
      </c>
      <c r="F3052" s="1">
        <v>1</v>
      </c>
      <c r="G3052" s="1">
        <v>3.75</v>
      </c>
      <c r="H3052" s="1" t="s">
        <v>8</v>
      </c>
      <c r="I3052" t="str">
        <f t="shared" si="47"/>
        <v>PINK BUTTERFLY PAPER LAMPSHADE [40046C]</v>
      </c>
    </row>
    <row r="3053" spans="1:9" x14ac:dyDescent="0.3">
      <c r="A3053" s="1" t="s">
        <v>2973</v>
      </c>
      <c r="B3053" t="s">
        <v>2972</v>
      </c>
      <c r="C3053" s="1">
        <v>0.42</v>
      </c>
      <c r="D3053" s="1">
        <v>2</v>
      </c>
      <c r="E3053" s="2">
        <v>4.4444444444444402</v>
      </c>
      <c r="F3053" s="1">
        <v>9</v>
      </c>
      <c r="G3053" s="1">
        <v>16.8</v>
      </c>
      <c r="H3053" s="1" t="s">
        <v>8</v>
      </c>
      <c r="I3053" t="str">
        <f t="shared" si="47"/>
        <v>PINK GAUZE BUTTERFLY LAMPSHADE [44089A]</v>
      </c>
    </row>
    <row r="3054" spans="1:9" x14ac:dyDescent="0.3">
      <c r="A3054" s="1" t="s">
        <v>2971</v>
      </c>
      <c r="B3054" t="s">
        <v>2970</v>
      </c>
      <c r="C3054" s="1">
        <v>0.42</v>
      </c>
      <c r="D3054" s="1">
        <v>8</v>
      </c>
      <c r="E3054" s="2">
        <v>7.55555555555555</v>
      </c>
      <c r="F3054" s="1">
        <v>9</v>
      </c>
      <c r="G3054" s="1">
        <v>28.56</v>
      </c>
      <c r="H3054" s="1" t="s">
        <v>8</v>
      </c>
      <c r="I3054" t="str">
        <f t="shared" si="47"/>
        <v>LILAC GAUZE BUTTERFLY LAMPSHADE [44089C]</v>
      </c>
    </row>
    <row r="3055" spans="1:9" x14ac:dyDescent="0.3">
      <c r="A3055" s="1" t="s">
        <v>2969</v>
      </c>
      <c r="B3055" t="s">
        <v>2968</v>
      </c>
      <c r="C3055" s="1">
        <v>0.42</v>
      </c>
      <c r="D3055" s="1">
        <v>4.5</v>
      </c>
      <c r="E3055" s="1">
        <v>4.5</v>
      </c>
      <c r="F3055" s="1">
        <v>4</v>
      </c>
      <c r="G3055" s="1">
        <v>7.56</v>
      </c>
      <c r="H3055" s="1" t="s">
        <v>8</v>
      </c>
      <c r="I3055" t="str">
        <f t="shared" si="47"/>
        <v>BLUE CRUSOE CHECK LAMPSHADE [44091A]</v>
      </c>
    </row>
    <row r="3056" spans="1:9" x14ac:dyDescent="0.3">
      <c r="A3056" s="1" t="s">
        <v>2967</v>
      </c>
      <c r="B3056" t="s">
        <v>2966</v>
      </c>
      <c r="C3056" s="1">
        <v>0.42</v>
      </c>
      <c r="D3056" s="1">
        <v>4</v>
      </c>
      <c r="E3056" s="2">
        <v>6.7777777777777697</v>
      </c>
      <c r="F3056" s="1">
        <v>9</v>
      </c>
      <c r="G3056" s="1">
        <v>30.66</v>
      </c>
      <c r="H3056" s="1" t="s">
        <v>8</v>
      </c>
      <c r="I3056" t="str">
        <f t="shared" si="47"/>
        <v>MULTICOLOUR CRUSOE CHECK LAMPSHADE [44091C]</v>
      </c>
    </row>
    <row r="3057" spans="1:9" x14ac:dyDescent="0.3">
      <c r="A3057" s="1" t="s">
        <v>2965</v>
      </c>
      <c r="B3057" t="s">
        <v>2964</v>
      </c>
      <c r="C3057" s="1">
        <v>0.85</v>
      </c>
      <c r="D3057" s="1">
        <v>2</v>
      </c>
      <c r="E3057" s="1">
        <v>2.5</v>
      </c>
      <c r="F3057" s="1">
        <v>6</v>
      </c>
      <c r="G3057" s="1">
        <v>12.75</v>
      </c>
      <c r="H3057" s="1" t="s">
        <v>8</v>
      </c>
      <c r="I3057" t="str">
        <f t="shared" si="47"/>
        <v>BLUE WHITE PLASTIC RINGS LAMPSHADE [44092B]</v>
      </c>
    </row>
    <row r="3058" spans="1:9" x14ac:dyDescent="0.3">
      <c r="A3058" s="1" t="s">
        <v>2963</v>
      </c>
      <c r="B3058" t="s">
        <v>2962</v>
      </c>
      <c r="C3058" s="1">
        <v>0.85</v>
      </c>
      <c r="D3058" s="1">
        <v>3</v>
      </c>
      <c r="E3058" s="2">
        <v>3.2857142857142798</v>
      </c>
      <c r="F3058" s="1">
        <v>7</v>
      </c>
      <c r="G3058" s="2">
        <v>19.549999999999901</v>
      </c>
      <c r="H3058" s="1" t="s">
        <v>8</v>
      </c>
      <c r="I3058" t="str">
        <f t="shared" si="47"/>
        <v>PURPLE/COPPER HANGING LAMPSHADE [44092C]</v>
      </c>
    </row>
    <row r="3059" spans="1:9" x14ac:dyDescent="0.3">
      <c r="A3059" s="1" t="s">
        <v>2961</v>
      </c>
      <c r="B3059" t="s">
        <v>2960</v>
      </c>
      <c r="C3059" s="1">
        <v>3.28</v>
      </c>
      <c r="D3059" s="1">
        <v>72</v>
      </c>
      <c r="E3059" s="1">
        <v>72</v>
      </c>
      <c r="F3059" s="1">
        <v>1</v>
      </c>
      <c r="G3059" s="1">
        <v>236.4</v>
      </c>
      <c r="H3059" s="1" t="s">
        <v>10</v>
      </c>
      <c r="I3059" t="str">
        <f t="shared" si="47"/>
        <v>MULTICOLOUR FEATHERS CURTAIN [44217M]</v>
      </c>
    </row>
    <row r="3060" spans="1:9" x14ac:dyDescent="0.3">
      <c r="A3060" s="1">
        <v>44228</v>
      </c>
      <c r="B3060" t="s">
        <v>2959</v>
      </c>
      <c r="C3060" s="1">
        <v>0.85</v>
      </c>
      <c r="D3060" s="1">
        <v>12</v>
      </c>
      <c r="E3060" s="1">
        <v>16</v>
      </c>
      <c r="F3060" s="1">
        <v>3</v>
      </c>
      <c r="G3060" s="1">
        <v>40.799999999999997</v>
      </c>
      <c r="H3060" s="1" t="s">
        <v>9</v>
      </c>
      <c r="I3060" t="str">
        <f t="shared" si="47"/>
        <v>CANNABIS LEAF BEAD CURTAIN [44228]</v>
      </c>
    </row>
    <row r="3061" spans="1:9" x14ac:dyDescent="0.3">
      <c r="A3061" s="1">
        <v>44230</v>
      </c>
      <c r="B3061" t="s">
        <v>2958</v>
      </c>
      <c r="C3061" s="1">
        <v>7.17</v>
      </c>
      <c r="D3061" s="1">
        <v>27</v>
      </c>
      <c r="E3061" s="2">
        <v>28.8888888888888</v>
      </c>
      <c r="F3061" s="1">
        <v>9</v>
      </c>
      <c r="G3061" s="1">
        <v>1933.19</v>
      </c>
      <c r="H3061" s="1" t="s">
        <v>9</v>
      </c>
      <c r="I3061" t="str">
        <f t="shared" si="47"/>
        <v>SQUARE MIRROR CURTAIN [44230]</v>
      </c>
    </row>
    <row r="3062" spans="1:9" x14ac:dyDescent="0.3">
      <c r="A3062" s="1">
        <v>44234</v>
      </c>
      <c r="B3062" t="s">
        <v>2957</v>
      </c>
      <c r="C3062" s="1">
        <v>0.21</v>
      </c>
      <c r="D3062" s="1">
        <v>23.5</v>
      </c>
      <c r="E3062" s="1">
        <v>57.3</v>
      </c>
      <c r="F3062" s="1">
        <v>20</v>
      </c>
      <c r="G3062" s="1">
        <v>222.68</v>
      </c>
      <c r="H3062" s="1" t="s">
        <v>9</v>
      </c>
      <c r="I3062" t="str">
        <f t="shared" si="47"/>
        <v>ASSORTED CIRCULAR MOBILE [44234]</v>
      </c>
    </row>
    <row r="3063" spans="1:9" x14ac:dyDescent="0.3">
      <c r="A3063" s="1">
        <v>44235</v>
      </c>
      <c r="B3063" t="s">
        <v>2956</v>
      </c>
      <c r="C3063" s="1">
        <v>0.42</v>
      </c>
      <c r="D3063" s="1">
        <v>7</v>
      </c>
      <c r="E3063" s="1">
        <v>54.4</v>
      </c>
      <c r="F3063" s="1">
        <v>15</v>
      </c>
      <c r="G3063" s="2">
        <v>303.83999999999997</v>
      </c>
      <c r="H3063" s="1" t="s">
        <v>8</v>
      </c>
      <c r="I3063" t="str">
        <f t="shared" si="47"/>
        <v>ASS COL CIRCLE MOBILE [44235]</v>
      </c>
    </row>
    <row r="3064" spans="1:9" x14ac:dyDescent="0.3">
      <c r="A3064" s="1">
        <v>44236</v>
      </c>
      <c r="B3064" t="s">
        <v>2955</v>
      </c>
      <c r="C3064" s="1">
        <v>4.6500000000000004</v>
      </c>
      <c r="D3064" s="1">
        <v>3</v>
      </c>
      <c r="E3064" s="2">
        <v>2.6666666666666599</v>
      </c>
      <c r="F3064" s="1">
        <v>6</v>
      </c>
      <c r="G3064" s="1">
        <v>74.400000000000006</v>
      </c>
      <c r="H3064" s="1" t="s">
        <v>8</v>
      </c>
      <c r="I3064" t="str">
        <f t="shared" si="47"/>
        <v>PINK/PURPLE CIRCLE CURTAIN [44236]</v>
      </c>
    </row>
    <row r="3065" spans="1:9" x14ac:dyDescent="0.3">
      <c r="A3065" s="1" t="s">
        <v>2954</v>
      </c>
      <c r="B3065" t="s">
        <v>2953</v>
      </c>
      <c r="C3065" s="1">
        <v>0.85</v>
      </c>
      <c r="D3065" s="1">
        <v>6</v>
      </c>
      <c r="E3065" s="1">
        <v>14</v>
      </c>
      <c r="F3065" s="1">
        <v>5</v>
      </c>
      <c r="G3065" s="1">
        <v>59.5</v>
      </c>
      <c r="H3065" s="1" t="s">
        <v>8</v>
      </c>
      <c r="I3065" t="str">
        <f t="shared" si="47"/>
        <v>BLUE BUTTERFLY ON SPRING [44241C]</v>
      </c>
    </row>
    <row r="3066" spans="1:9" x14ac:dyDescent="0.3">
      <c r="A3066" s="1" t="s">
        <v>2952</v>
      </c>
      <c r="B3066" t="s">
        <v>2951</v>
      </c>
      <c r="C3066" s="1">
        <v>1.02</v>
      </c>
      <c r="D3066" s="1">
        <v>7</v>
      </c>
      <c r="E3066" s="1">
        <v>7</v>
      </c>
      <c r="F3066" s="1">
        <v>2</v>
      </c>
      <c r="G3066" s="1">
        <v>11.98</v>
      </c>
      <c r="H3066" s="1" t="s">
        <v>8</v>
      </c>
      <c r="I3066" t="str">
        <f t="shared" si="47"/>
        <v>LILAC FEATHERS CURTAIN [44242A]</v>
      </c>
    </row>
    <row r="3067" spans="1:9" x14ac:dyDescent="0.3">
      <c r="A3067" s="1" t="s">
        <v>2950</v>
      </c>
      <c r="B3067" t="s">
        <v>2949</v>
      </c>
      <c r="C3067" s="1">
        <v>1.25</v>
      </c>
      <c r="D3067" s="1">
        <v>8</v>
      </c>
      <c r="E3067" s="2">
        <v>15.5714285714285</v>
      </c>
      <c r="F3067" s="1">
        <v>7</v>
      </c>
      <c r="G3067" s="1">
        <v>121.53</v>
      </c>
      <c r="H3067" s="1" t="s">
        <v>8</v>
      </c>
      <c r="I3067" t="str">
        <f t="shared" si="47"/>
        <v>PINK FEATHERS CURTAIN [44242B]</v>
      </c>
    </row>
    <row r="3068" spans="1:9" x14ac:dyDescent="0.3">
      <c r="A3068" s="1">
        <v>44265</v>
      </c>
      <c r="B3068" t="s">
        <v>2948</v>
      </c>
      <c r="C3068" s="1">
        <v>4.25</v>
      </c>
      <c r="D3068" s="1">
        <v>2</v>
      </c>
      <c r="E3068" s="1">
        <v>2</v>
      </c>
      <c r="F3068" s="1">
        <v>4</v>
      </c>
      <c r="G3068" s="1">
        <v>34</v>
      </c>
      <c r="H3068" s="1" t="s">
        <v>8</v>
      </c>
      <c r="I3068" t="str">
        <f t="shared" si="47"/>
        <v>M/COLOUR POM-POM CURTAIN [44265]</v>
      </c>
    </row>
    <row r="3069" spans="1:9" x14ac:dyDescent="0.3">
      <c r="A3069" s="1" t="s">
        <v>2947</v>
      </c>
      <c r="B3069" t="s">
        <v>2946</v>
      </c>
      <c r="C3069" s="2">
        <v>9.9749999999999996</v>
      </c>
      <c r="D3069" s="1">
        <v>9</v>
      </c>
      <c r="E3069" s="1">
        <v>10.375</v>
      </c>
      <c r="F3069" s="1">
        <v>8</v>
      </c>
      <c r="G3069" s="1">
        <v>792.07</v>
      </c>
      <c r="H3069" s="1" t="s">
        <v>8</v>
      </c>
      <c r="I3069" t="str">
        <f t="shared" si="47"/>
        <v>DECORATIVE NET CANOPY CREAM [45008C]</v>
      </c>
    </row>
    <row r="3070" spans="1:9" x14ac:dyDescent="0.3">
      <c r="A3070" s="1">
        <v>45013</v>
      </c>
      <c r="B3070" t="s">
        <v>2945</v>
      </c>
      <c r="C3070" s="1">
        <v>2.95</v>
      </c>
      <c r="D3070" s="1">
        <v>4.5</v>
      </c>
      <c r="E3070" s="1">
        <v>8</v>
      </c>
      <c r="F3070" s="1">
        <v>6</v>
      </c>
      <c r="G3070" s="1">
        <v>132</v>
      </c>
      <c r="H3070" s="1" t="s">
        <v>8</v>
      </c>
      <c r="I3070" t="str">
        <f t="shared" si="47"/>
        <v>FOLDING SHOE TIDY [45013]</v>
      </c>
    </row>
    <row r="3071" spans="1:9" x14ac:dyDescent="0.3">
      <c r="A3071" s="1">
        <v>45014</v>
      </c>
      <c r="B3071" t="s">
        <v>2944</v>
      </c>
      <c r="C3071" s="1">
        <v>4.6500000000000004</v>
      </c>
      <c r="D3071" s="1">
        <v>1</v>
      </c>
      <c r="E3071" s="1">
        <v>1</v>
      </c>
      <c r="F3071" s="1">
        <v>1</v>
      </c>
      <c r="G3071" s="1">
        <v>4.6500000000000004</v>
      </c>
      <c r="H3071" s="1" t="s">
        <v>8</v>
      </c>
      <c r="I3071" t="str">
        <f t="shared" si="47"/>
        <v>FOLDING SHIRT TIDY [45014]</v>
      </c>
    </row>
    <row r="3072" spans="1:9" x14ac:dyDescent="0.3">
      <c r="A3072" s="1">
        <v>45016</v>
      </c>
      <c r="B3072" t="s">
        <v>2943</v>
      </c>
      <c r="C3072" s="1">
        <v>5.2050000000000001</v>
      </c>
      <c r="D3072" s="1">
        <v>4.5</v>
      </c>
      <c r="E3072" s="1">
        <v>10.1</v>
      </c>
      <c r="F3072" s="1">
        <v>10</v>
      </c>
      <c r="G3072" s="1">
        <v>423.73</v>
      </c>
      <c r="H3072" s="1" t="s">
        <v>8</v>
      </c>
      <c r="I3072" t="str">
        <f t="shared" si="47"/>
        <v>DECORATIVE NET CANOPY LEOPARD [45016]</v>
      </c>
    </row>
    <row r="3073" spans="1:9" x14ac:dyDescent="0.3">
      <c r="A3073" s="1" t="s">
        <v>2942</v>
      </c>
      <c r="B3073" t="s">
        <v>2941</v>
      </c>
      <c r="C3073" s="1">
        <v>1.55</v>
      </c>
      <c r="D3073" s="1">
        <v>102</v>
      </c>
      <c r="E3073" s="1">
        <v>100.68</v>
      </c>
      <c r="F3073" s="1">
        <v>25</v>
      </c>
      <c r="G3073" s="1">
        <v>3901.35</v>
      </c>
      <c r="H3073" s="1" t="s">
        <v>10</v>
      </c>
      <c r="I3073" t="str">
        <f t="shared" si="47"/>
        <v>POLYESTER FILLER PAD 45x45cm [46000M]</v>
      </c>
    </row>
    <row r="3074" spans="1:9" x14ac:dyDescent="0.3">
      <c r="A3074" s="1" t="s">
        <v>2940</v>
      </c>
      <c r="B3074" t="s">
        <v>2939</v>
      </c>
      <c r="C3074" s="1">
        <v>4.25</v>
      </c>
      <c r="D3074" s="1">
        <v>9</v>
      </c>
      <c r="E3074" s="1">
        <v>14.2</v>
      </c>
      <c r="F3074" s="1">
        <v>15</v>
      </c>
      <c r="G3074" s="1">
        <v>905.25</v>
      </c>
      <c r="H3074" s="1" t="s">
        <v>8</v>
      </c>
      <c r="I3074" t="str">
        <f t="shared" si="47"/>
        <v>POLYESTER FILLER PAD 65CMx65CM [46000P]</v>
      </c>
    </row>
    <row r="3075" spans="1:9" x14ac:dyDescent="0.3">
      <c r="A3075" s="1" t="s">
        <v>2938</v>
      </c>
      <c r="B3075" t="s">
        <v>2937</v>
      </c>
      <c r="C3075" s="1">
        <v>1.45</v>
      </c>
      <c r="D3075" s="1">
        <v>10</v>
      </c>
      <c r="E3075" s="2">
        <v>11.5714285714285</v>
      </c>
      <c r="F3075" s="1">
        <v>21</v>
      </c>
      <c r="G3075" s="2">
        <v>352.349999999999</v>
      </c>
      <c r="H3075" s="1" t="s">
        <v>9</v>
      </c>
      <c r="I3075" t="str">
        <f t="shared" ref="I3075:I3138" si="48">B3075&amp;" ["&amp;A3075&amp;"]"</f>
        <v>POLYESTER FILLER PAD 45x30cm [46000R]</v>
      </c>
    </row>
    <row r="3076" spans="1:9" x14ac:dyDescent="0.3">
      <c r="A3076" s="1" t="s">
        <v>2936</v>
      </c>
      <c r="B3076" t="s">
        <v>2935</v>
      </c>
      <c r="C3076" s="1">
        <v>1.45</v>
      </c>
      <c r="D3076" s="1">
        <v>120</v>
      </c>
      <c r="E3076" s="1">
        <v>138.84</v>
      </c>
      <c r="F3076" s="1">
        <v>25</v>
      </c>
      <c r="G3076" s="1">
        <v>5032.95</v>
      </c>
      <c r="H3076" s="1" t="s">
        <v>10</v>
      </c>
      <c r="I3076" t="str">
        <f t="shared" si="48"/>
        <v>POLYESTER FILLER PAD 40x40cm [46000S]</v>
      </c>
    </row>
    <row r="3077" spans="1:9" x14ac:dyDescent="0.3">
      <c r="A3077" s="1" t="s">
        <v>2934</v>
      </c>
      <c r="B3077" t="s">
        <v>2933</v>
      </c>
      <c r="C3077" s="1">
        <v>1.25</v>
      </c>
      <c r="D3077" s="1">
        <v>9</v>
      </c>
      <c r="E3077" s="2">
        <v>11.409090909090899</v>
      </c>
      <c r="F3077" s="1">
        <v>22</v>
      </c>
      <c r="G3077" s="1">
        <v>313.75</v>
      </c>
      <c r="H3077" s="1" t="s">
        <v>8</v>
      </c>
      <c r="I3077" t="str">
        <f t="shared" si="48"/>
        <v>POLYESTER FILLER PAD 30CMx30CM [46000U]</v>
      </c>
    </row>
    <row r="3078" spans="1:9" x14ac:dyDescent="0.3">
      <c r="A3078" s="1" t="s">
        <v>2932</v>
      </c>
      <c r="B3078" t="s">
        <v>2931</v>
      </c>
      <c r="C3078" s="1">
        <v>1.25</v>
      </c>
      <c r="D3078" s="1">
        <v>3</v>
      </c>
      <c r="E3078" s="1">
        <v>3</v>
      </c>
      <c r="F3078" s="1">
        <v>2</v>
      </c>
      <c r="G3078" s="1">
        <v>7.5</v>
      </c>
      <c r="H3078" s="1" t="s">
        <v>8</v>
      </c>
      <c r="I3078" t="str">
        <f t="shared" si="48"/>
        <v>PINK CANVAS DES CUSHION COVER [46037A]</v>
      </c>
    </row>
    <row r="3079" spans="1:9" x14ac:dyDescent="0.3">
      <c r="A3079" s="1" t="s">
        <v>2930</v>
      </c>
      <c r="B3079" t="s">
        <v>2929</v>
      </c>
      <c r="C3079" s="1">
        <v>0.19</v>
      </c>
      <c r="D3079" s="1">
        <v>25</v>
      </c>
      <c r="E3079" s="2">
        <v>31.7777777777777</v>
      </c>
      <c r="F3079" s="1">
        <v>9</v>
      </c>
      <c r="G3079" s="1">
        <v>54.34</v>
      </c>
      <c r="H3079" s="1" t="s">
        <v>9</v>
      </c>
      <c r="I3079" t="str">
        <f t="shared" si="48"/>
        <v>GREEN POP ART MAO CUSHION COVER [46115B]</v>
      </c>
    </row>
    <row r="3080" spans="1:9" x14ac:dyDescent="0.3">
      <c r="A3080" s="1">
        <v>46118</v>
      </c>
      <c r="B3080" t="s">
        <v>2928</v>
      </c>
      <c r="C3080" s="1">
        <v>1.21</v>
      </c>
      <c r="D3080" s="1">
        <v>20</v>
      </c>
      <c r="E3080" s="1">
        <v>21.375</v>
      </c>
      <c r="F3080" s="1">
        <v>16</v>
      </c>
      <c r="G3080" s="1">
        <v>396.34</v>
      </c>
      <c r="H3080" s="1" t="s">
        <v>9</v>
      </c>
      <c r="I3080" t="str">
        <f t="shared" si="48"/>
        <v>FUNKY MONKEY CUSHION COVER [46118]</v>
      </c>
    </row>
    <row r="3081" spans="1:9" x14ac:dyDescent="0.3">
      <c r="A3081" s="1" t="s">
        <v>2927</v>
      </c>
      <c r="B3081" t="s">
        <v>2926</v>
      </c>
      <c r="C3081" s="1">
        <v>1.25</v>
      </c>
      <c r="D3081" s="1">
        <v>12</v>
      </c>
      <c r="E3081" s="2">
        <v>21.133333333333301</v>
      </c>
      <c r="F3081" s="1">
        <v>15</v>
      </c>
      <c r="G3081" s="1">
        <v>419.99</v>
      </c>
      <c r="H3081" s="1" t="s">
        <v>9</v>
      </c>
      <c r="I3081" t="str">
        <f t="shared" si="48"/>
        <v>ELVIS WALLHANGING / CURTAIN [46126A]</v>
      </c>
    </row>
    <row r="3082" spans="1:9" x14ac:dyDescent="0.3">
      <c r="A3082" s="1" t="s">
        <v>2925</v>
      </c>
      <c r="B3082" t="s">
        <v>2924</v>
      </c>
      <c r="C3082" s="1">
        <v>2.95</v>
      </c>
      <c r="D3082" s="1">
        <v>3</v>
      </c>
      <c r="E3082" s="1">
        <v>15</v>
      </c>
      <c r="F3082" s="1">
        <v>3</v>
      </c>
      <c r="G3082" s="1">
        <v>132.75</v>
      </c>
      <c r="H3082" s="1" t="s">
        <v>8</v>
      </c>
      <c r="I3082" t="str">
        <f t="shared" si="48"/>
        <v>GREEN CHENILLE SHAGGY RUG [46137D]</v>
      </c>
    </row>
    <row r="3083" spans="1:9" x14ac:dyDescent="0.3">
      <c r="A3083" s="1" t="s">
        <v>2923</v>
      </c>
      <c r="B3083" t="s">
        <v>2922</v>
      </c>
      <c r="C3083" s="1">
        <v>1.95</v>
      </c>
      <c r="D3083" s="1">
        <v>4</v>
      </c>
      <c r="E3083" s="2">
        <v>4.5384615384615303</v>
      </c>
      <c r="F3083" s="1">
        <v>13</v>
      </c>
      <c r="G3083" s="1">
        <v>88.81</v>
      </c>
      <c r="H3083" s="1" t="s">
        <v>8</v>
      </c>
      <c r="I3083" t="str">
        <f t="shared" si="48"/>
        <v>BLUE CHENILLE SHAGGY CUSHION COVER [46138B]</v>
      </c>
    </row>
    <row r="3084" spans="1:9" x14ac:dyDescent="0.3">
      <c r="A3084" s="1" t="s">
        <v>2921</v>
      </c>
      <c r="B3084" t="s">
        <v>2920</v>
      </c>
      <c r="C3084" s="1">
        <v>1.95</v>
      </c>
      <c r="D3084" s="1">
        <v>1</v>
      </c>
      <c r="E3084" s="1">
        <v>1</v>
      </c>
      <c r="F3084" s="1">
        <v>1</v>
      </c>
      <c r="G3084" s="1">
        <v>1.95</v>
      </c>
      <c r="H3084" s="1" t="s">
        <v>8</v>
      </c>
      <c r="I3084" t="str">
        <f t="shared" si="48"/>
        <v>GREEN CHENILLE SHAGGY C/COVER [46138D]</v>
      </c>
    </row>
    <row r="3085" spans="1:9" x14ac:dyDescent="0.3">
      <c r="A3085" s="1">
        <v>46307</v>
      </c>
      <c r="B3085" t="s">
        <v>2919</v>
      </c>
      <c r="C3085" s="1">
        <v>5.2</v>
      </c>
      <c r="D3085" s="1">
        <v>8</v>
      </c>
      <c r="E3085" s="2">
        <v>7.2857142857142803</v>
      </c>
      <c r="F3085" s="1">
        <v>7</v>
      </c>
      <c r="G3085" s="1">
        <v>246.03</v>
      </c>
      <c r="H3085" s="1" t="s">
        <v>8</v>
      </c>
      <c r="I3085" t="str">
        <f t="shared" si="48"/>
        <v>ROSES BLUE BASE CUSHION COVER [46307]</v>
      </c>
    </row>
    <row r="3086" spans="1:9" x14ac:dyDescent="0.3">
      <c r="A3086" s="1" t="s">
        <v>2918</v>
      </c>
      <c r="B3086" t="s">
        <v>2917</v>
      </c>
      <c r="C3086" s="1">
        <v>16.95</v>
      </c>
      <c r="D3086" s="1">
        <v>6</v>
      </c>
      <c r="E3086" s="2">
        <v>27.6666666666666</v>
      </c>
      <c r="F3086" s="1">
        <v>3</v>
      </c>
      <c r="G3086" s="1">
        <v>1044.23</v>
      </c>
      <c r="H3086" s="1" t="s">
        <v>8</v>
      </c>
      <c r="I3086" t="str">
        <f t="shared" si="48"/>
        <v>BUBBLE GUM CHUNKY KNITTED THROW [46775A]</v>
      </c>
    </row>
    <row r="3087" spans="1:9" x14ac:dyDescent="0.3">
      <c r="A3087" s="1" t="s">
        <v>2916</v>
      </c>
      <c r="B3087" t="s">
        <v>2915</v>
      </c>
      <c r="C3087" s="1">
        <v>16.95</v>
      </c>
      <c r="D3087" s="1">
        <v>5</v>
      </c>
      <c r="E3087" s="1">
        <v>5</v>
      </c>
      <c r="F3087" s="1">
        <v>1</v>
      </c>
      <c r="G3087" s="1">
        <v>84.75</v>
      </c>
      <c r="H3087" s="1" t="s">
        <v>8</v>
      </c>
      <c r="I3087" t="str">
        <f t="shared" si="48"/>
        <v>BERRIES CHUNKY KNITTED THROW [46775B]</v>
      </c>
    </row>
    <row r="3088" spans="1:9" x14ac:dyDescent="0.3">
      <c r="A3088" s="1" t="s">
        <v>2914</v>
      </c>
      <c r="B3088" t="s">
        <v>2913</v>
      </c>
      <c r="C3088" s="1">
        <v>13.99</v>
      </c>
      <c r="D3088" s="1">
        <v>4</v>
      </c>
      <c r="E3088" s="1">
        <v>6.12</v>
      </c>
      <c r="F3088" s="1">
        <v>25</v>
      </c>
      <c r="G3088" s="1">
        <v>1938.19</v>
      </c>
      <c r="H3088" s="1" t="s">
        <v>8</v>
      </c>
      <c r="I3088" t="str">
        <f t="shared" si="48"/>
        <v>SUNSET COLOUR CHUNKY KNITTED THROW [46775D]</v>
      </c>
    </row>
    <row r="3089" spans="1:9" x14ac:dyDescent="0.3">
      <c r="A3089" s="1" t="s">
        <v>2912</v>
      </c>
      <c r="B3089" t="s">
        <v>2911</v>
      </c>
      <c r="C3089" s="1">
        <v>16.95</v>
      </c>
      <c r="D3089" s="1">
        <v>4</v>
      </c>
      <c r="E3089" s="2">
        <v>14.4285714285714</v>
      </c>
      <c r="F3089" s="1">
        <v>7</v>
      </c>
      <c r="G3089" s="1">
        <v>1282.9000000000001</v>
      </c>
      <c r="H3089" s="1" t="s">
        <v>8</v>
      </c>
      <c r="I3089" t="str">
        <f t="shared" si="48"/>
        <v>CANDY POP CHUNKY KNITTED THROW [46775E]</v>
      </c>
    </row>
    <row r="3090" spans="1:9" x14ac:dyDescent="0.3">
      <c r="A3090" s="1" t="s">
        <v>2910</v>
      </c>
      <c r="B3090" t="s">
        <v>2901</v>
      </c>
      <c r="C3090" s="1">
        <v>4.21</v>
      </c>
      <c r="D3090" s="1">
        <v>5.5</v>
      </c>
      <c r="E3090" s="2">
        <v>16.8333333333333</v>
      </c>
      <c r="F3090" s="1">
        <v>24</v>
      </c>
      <c r="G3090" s="1">
        <v>1257.23</v>
      </c>
      <c r="H3090" s="1" t="s">
        <v>8</v>
      </c>
      <c r="I3090" t="str">
        <f t="shared" si="48"/>
        <v>WOVEN BUBBLE GUM CUSHION COVER [46776A]</v>
      </c>
    </row>
    <row r="3091" spans="1:9" x14ac:dyDescent="0.3">
      <c r="A3091" s="1" t="s">
        <v>2909</v>
      </c>
      <c r="B3091" t="s">
        <v>2899</v>
      </c>
      <c r="C3091" s="1">
        <v>4.21</v>
      </c>
      <c r="D3091" s="1">
        <v>6</v>
      </c>
      <c r="E3091" s="1">
        <v>17.12</v>
      </c>
      <c r="F3091" s="1">
        <v>25</v>
      </c>
      <c r="G3091" s="1">
        <v>1369.23</v>
      </c>
      <c r="H3091" s="1" t="s">
        <v>8</v>
      </c>
      <c r="I3091" t="str">
        <f t="shared" si="48"/>
        <v>WOVEN BERRIES CUSHION COVER [46776B]</v>
      </c>
    </row>
    <row r="3092" spans="1:9" x14ac:dyDescent="0.3">
      <c r="A3092" s="1" t="s">
        <v>2908</v>
      </c>
      <c r="B3092" t="s">
        <v>2907</v>
      </c>
      <c r="C3092" s="1">
        <v>4.2249999999999996</v>
      </c>
      <c r="D3092" s="1">
        <v>6</v>
      </c>
      <c r="E3092" s="1">
        <v>12.8</v>
      </c>
      <c r="F3092" s="1">
        <v>20</v>
      </c>
      <c r="G3092" s="1">
        <v>879.1</v>
      </c>
      <c r="H3092" s="1" t="s">
        <v>8</v>
      </c>
      <c r="I3092" t="str">
        <f t="shared" si="48"/>
        <v>WOVEN FROST CUSHION COVER [46776C]</v>
      </c>
    </row>
    <row r="3093" spans="1:9" x14ac:dyDescent="0.3">
      <c r="A3093" s="1" t="s">
        <v>2906</v>
      </c>
      <c r="B3093" t="s">
        <v>2905</v>
      </c>
      <c r="C3093" s="1">
        <v>4.21</v>
      </c>
      <c r="D3093" s="1">
        <v>3</v>
      </c>
      <c r="E3093" s="2">
        <v>6.6521739130434696</v>
      </c>
      <c r="F3093" s="1">
        <v>23</v>
      </c>
      <c r="G3093" s="2">
        <v>658.06999999999903</v>
      </c>
      <c r="H3093" s="1" t="s">
        <v>8</v>
      </c>
      <c r="I3093" t="str">
        <f t="shared" si="48"/>
        <v>WOVEN SUNSET CUSHION COVER [46776D]</v>
      </c>
    </row>
    <row r="3094" spans="1:9" x14ac:dyDescent="0.3">
      <c r="A3094" s="1" t="s">
        <v>2904</v>
      </c>
      <c r="B3094" t="s">
        <v>2897</v>
      </c>
      <c r="C3094" s="1">
        <v>4.21</v>
      </c>
      <c r="D3094" s="1">
        <v>3</v>
      </c>
      <c r="E3094" s="1">
        <v>8.9130434782608692</v>
      </c>
      <c r="F3094" s="1">
        <v>23</v>
      </c>
      <c r="G3094" s="1">
        <v>662.1</v>
      </c>
      <c r="H3094" s="1" t="s">
        <v>8</v>
      </c>
      <c r="I3094" t="str">
        <f t="shared" si="48"/>
        <v>WOVEN CANDY CUSHION COVER [46776E]</v>
      </c>
    </row>
    <row r="3095" spans="1:9" x14ac:dyDescent="0.3">
      <c r="A3095" s="1" t="s">
        <v>2903</v>
      </c>
      <c r="B3095" t="s">
        <v>2895</v>
      </c>
      <c r="C3095" s="1">
        <v>4.21</v>
      </c>
      <c r="D3095" s="1">
        <v>9</v>
      </c>
      <c r="E3095" s="1">
        <v>19.48</v>
      </c>
      <c r="F3095" s="1">
        <v>25</v>
      </c>
      <c r="G3095" s="1">
        <v>1675.73</v>
      </c>
      <c r="H3095" s="1" t="s">
        <v>8</v>
      </c>
      <c r="I3095" t="str">
        <f t="shared" si="48"/>
        <v>WOVEN ROSE GARDEN CUSHION COVER [46776F]</v>
      </c>
    </row>
    <row r="3096" spans="1:9" x14ac:dyDescent="0.3">
      <c r="A3096" s="1" t="s">
        <v>2902</v>
      </c>
      <c r="B3096" t="s">
        <v>2901</v>
      </c>
      <c r="C3096" s="1">
        <v>4.13</v>
      </c>
      <c r="D3096" s="1">
        <v>5</v>
      </c>
      <c r="E3096" s="1">
        <v>5</v>
      </c>
      <c r="F3096" s="1">
        <v>1</v>
      </c>
      <c r="G3096" s="1">
        <v>20.65</v>
      </c>
      <c r="H3096" s="1" t="s">
        <v>8</v>
      </c>
      <c r="I3096" t="str">
        <f t="shared" si="48"/>
        <v>WOVEN BUBBLE GUM CUSHION COVER [46776a]</v>
      </c>
    </row>
    <row r="3097" spans="1:9" x14ac:dyDescent="0.3">
      <c r="A3097" s="1" t="s">
        <v>2900</v>
      </c>
      <c r="B3097" t="s">
        <v>2899</v>
      </c>
      <c r="C3097" s="1">
        <v>4.13</v>
      </c>
      <c r="D3097" s="1">
        <v>1</v>
      </c>
      <c r="E3097" s="1">
        <v>1</v>
      </c>
      <c r="F3097" s="1">
        <v>1</v>
      </c>
      <c r="G3097" s="1">
        <v>4.13</v>
      </c>
      <c r="H3097" s="1" t="s">
        <v>8</v>
      </c>
      <c r="I3097" t="str">
        <f t="shared" si="48"/>
        <v>WOVEN BERRIES CUSHION COVER [46776b]</v>
      </c>
    </row>
    <row r="3098" spans="1:9" x14ac:dyDescent="0.3">
      <c r="A3098" s="1" t="s">
        <v>2898</v>
      </c>
      <c r="B3098" t="s">
        <v>2897</v>
      </c>
      <c r="C3098" s="1">
        <v>4.13</v>
      </c>
      <c r="D3098" s="1">
        <v>1</v>
      </c>
      <c r="E3098" s="1">
        <v>1</v>
      </c>
      <c r="F3098" s="1">
        <v>1</v>
      </c>
      <c r="G3098" s="1">
        <v>4.13</v>
      </c>
      <c r="H3098" s="1" t="s">
        <v>8</v>
      </c>
      <c r="I3098" t="str">
        <f t="shared" si="48"/>
        <v>WOVEN CANDY CUSHION COVER [46776e]</v>
      </c>
    </row>
    <row r="3099" spans="1:9" x14ac:dyDescent="0.3">
      <c r="A3099" s="1" t="s">
        <v>2896</v>
      </c>
      <c r="B3099" t="s">
        <v>2895</v>
      </c>
      <c r="C3099" s="1">
        <v>4.13</v>
      </c>
      <c r="D3099" s="1">
        <v>7</v>
      </c>
      <c r="E3099" s="1">
        <v>7</v>
      </c>
      <c r="F3099" s="1">
        <v>1</v>
      </c>
      <c r="G3099" s="1">
        <v>28.91</v>
      </c>
      <c r="H3099" s="1" t="s">
        <v>8</v>
      </c>
      <c r="I3099" t="str">
        <f t="shared" si="48"/>
        <v>WOVEN ROSE GARDEN CUSHION COVER [46776f]</v>
      </c>
    </row>
    <row r="3100" spans="1:9" x14ac:dyDescent="0.3">
      <c r="A3100" s="1" t="s">
        <v>2894</v>
      </c>
      <c r="B3100" t="s">
        <v>2893</v>
      </c>
      <c r="C3100" s="1">
        <v>0.28999999999999998</v>
      </c>
      <c r="D3100" s="1">
        <v>11.5</v>
      </c>
      <c r="E3100" s="1">
        <v>14.1</v>
      </c>
      <c r="F3100" s="1">
        <v>10</v>
      </c>
      <c r="G3100" s="1">
        <v>39.869999999999997</v>
      </c>
      <c r="H3100" s="1" t="s">
        <v>9</v>
      </c>
      <c r="I3100" t="str">
        <f t="shared" si="48"/>
        <v>WINE BOTTLE DRESSING LT.BLUE [47013A]</v>
      </c>
    </row>
    <row r="3101" spans="1:9" x14ac:dyDescent="0.3">
      <c r="A3101" s="1" t="s">
        <v>2892</v>
      </c>
      <c r="B3101" t="s">
        <v>2891</v>
      </c>
      <c r="C3101" s="1">
        <v>0.28999999999999998</v>
      </c>
      <c r="D3101" s="1">
        <v>12</v>
      </c>
      <c r="E3101" s="2">
        <v>12.636363636363599</v>
      </c>
      <c r="F3101" s="1">
        <v>11</v>
      </c>
      <c r="G3101" s="2">
        <v>33.879999999999903</v>
      </c>
      <c r="H3101" s="1" t="s">
        <v>9</v>
      </c>
      <c r="I3101" t="str">
        <f t="shared" si="48"/>
        <v>WINE BOTTLE DRESSING DARK BLUE [47013C]</v>
      </c>
    </row>
    <row r="3102" spans="1:9" x14ac:dyDescent="0.3">
      <c r="A3102" s="1">
        <v>47016</v>
      </c>
      <c r="B3102" t="s">
        <v>2890</v>
      </c>
      <c r="C3102" s="1">
        <v>2.1</v>
      </c>
      <c r="D3102" s="1">
        <v>3</v>
      </c>
      <c r="E3102" s="1">
        <v>7.75</v>
      </c>
      <c r="F3102" s="1">
        <v>4</v>
      </c>
      <c r="G3102" s="1">
        <v>65.099999999999994</v>
      </c>
      <c r="H3102" s="1" t="s">
        <v>8</v>
      </c>
      <c r="I3102" t="str">
        <f t="shared" si="48"/>
        <v>LIGHT DECORATION BATTERY OPERATED [47016]</v>
      </c>
    </row>
    <row r="3103" spans="1:9" x14ac:dyDescent="0.3">
      <c r="A3103" s="1" t="s">
        <v>2889</v>
      </c>
      <c r="B3103" t="s">
        <v>2888</v>
      </c>
      <c r="C3103" s="1">
        <v>1.25</v>
      </c>
      <c r="D3103" s="1">
        <v>17</v>
      </c>
      <c r="E3103" s="2">
        <v>49.571428571428498</v>
      </c>
      <c r="F3103" s="1">
        <v>14</v>
      </c>
      <c r="G3103" s="1">
        <v>468.55</v>
      </c>
      <c r="H3103" s="1" t="s">
        <v>9</v>
      </c>
      <c r="I3103" t="str">
        <f t="shared" si="48"/>
        <v>SET/6 BEAD COASTERS GAUZE BAG GOLD [47021G]</v>
      </c>
    </row>
    <row r="3104" spans="1:9" x14ac:dyDescent="0.3">
      <c r="A3104" s="1" t="s">
        <v>2887</v>
      </c>
      <c r="B3104" t="s">
        <v>2886</v>
      </c>
      <c r="C3104" s="1">
        <v>1.34</v>
      </c>
      <c r="D3104" s="1">
        <v>19</v>
      </c>
      <c r="E3104" s="1">
        <v>29.84</v>
      </c>
      <c r="F3104" s="1">
        <v>25</v>
      </c>
      <c r="G3104" s="1">
        <v>1004.94</v>
      </c>
      <c r="H3104" s="1" t="s">
        <v>9</v>
      </c>
      <c r="I3104" t="str">
        <f t="shared" si="48"/>
        <v>SMALL POP BOX,FUNKY MONKEY [47310M]</v>
      </c>
    </row>
    <row r="3105" spans="1:9" x14ac:dyDescent="0.3">
      <c r="A3105" s="1" t="s">
        <v>2885</v>
      </c>
      <c r="B3105" t="s">
        <v>2884</v>
      </c>
      <c r="C3105" s="1">
        <v>2.5</v>
      </c>
      <c r="D3105" s="1">
        <v>2</v>
      </c>
      <c r="E3105" s="2">
        <v>4.8333333333333304</v>
      </c>
      <c r="F3105" s="1">
        <v>6</v>
      </c>
      <c r="G3105" s="1">
        <v>46.25</v>
      </c>
      <c r="H3105" s="1" t="s">
        <v>8</v>
      </c>
      <c r="I3105" t="str">
        <f t="shared" si="48"/>
        <v>FUSCHIA TABLE RUN FLOWER [47341A]</v>
      </c>
    </row>
    <row r="3106" spans="1:9" x14ac:dyDescent="0.3">
      <c r="A3106" s="1" t="s">
        <v>2883</v>
      </c>
      <c r="B3106" t="s">
        <v>2882</v>
      </c>
      <c r="C3106" s="1">
        <v>1.25</v>
      </c>
      <c r="D3106" s="1">
        <v>3</v>
      </c>
      <c r="E3106" s="2">
        <v>6.4285714285714199</v>
      </c>
      <c r="F3106" s="1">
        <v>7</v>
      </c>
      <c r="G3106" s="1">
        <v>56.25</v>
      </c>
      <c r="H3106" s="1" t="s">
        <v>8</v>
      </c>
      <c r="I3106" t="str">
        <f t="shared" si="48"/>
        <v>BLUE TABLE RUN FLOWER [47341B]</v>
      </c>
    </row>
    <row r="3107" spans="1:9" x14ac:dyDescent="0.3">
      <c r="A3107" s="1" t="s">
        <v>2881</v>
      </c>
      <c r="B3107" t="s">
        <v>2880</v>
      </c>
      <c r="C3107" s="1">
        <v>1.49</v>
      </c>
      <c r="D3107" s="1">
        <v>12.5</v>
      </c>
      <c r="E3107" s="2">
        <v>16.6666666666666</v>
      </c>
      <c r="F3107" s="1">
        <v>12</v>
      </c>
      <c r="G3107" s="1">
        <v>206.26</v>
      </c>
      <c r="H3107" s="1" t="s">
        <v>9</v>
      </c>
      <c r="I3107" t="str">
        <f t="shared" si="48"/>
        <v>FUSCHIA FLOWER PURSE WITH BEADS [47343A]</v>
      </c>
    </row>
    <row r="3108" spans="1:9" x14ac:dyDescent="0.3">
      <c r="A3108" s="1" t="s">
        <v>2879</v>
      </c>
      <c r="B3108" t="s">
        <v>2878</v>
      </c>
      <c r="C3108" s="1">
        <v>1.25</v>
      </c>
      <c r="D3108" s="1">
        <v>3</v>
      </c>
      <c r="E3108" s="1">
        <v>6.75</v>
      </c>
      <c r="F3108" s="1">
        <v>8</v>
      </c>
      <c r="G3108" s="1">
        <v>56.16</v>
      </c>
      <c r="H3108" s="1" t="s">
        <v>8</v>
      </c>
      <c r="I3108" t="str">
        <f t="shared" si="48"/>
        <v>BLUE FLOWER DES PURSE [47344B]</v>
      </c>
    </row>
    <row r="3109" spans="1:9" x14ac:dyDescent="0.3">
      <c r="A3109" s="1" t="s">
        <v>2877</v>
      </c>
      <c r="B3109" t="s">
        <v>2876</v>
      </c>
      <c r="C3109" s="1">
        <v>1.25</v>
      </c>
      <c r="D3109" s="1">
        <v>31.5</v>
      </c>
      <c r="E3109" s="1">
        <v>60</v>
      </c>
      <c r="F3109" s="1">
        <v>4</v>
      </c>
      <c r="G3109" s="1">
        <v>179.88</v>
      </c>
      <c r="H3109" s="1" t="s">
        <v>9</v>
      </c>
      <c r="I3109" t="str">
        <f t="shared" si="48"/>
        <v>BLUE FLOWER T-LIGHT HOLDER [47347B]</v>
      </c>
    </row>
    <row r="3110" spans="1:9" x14ac:dyDescent="0.3">
      <c r="A3110" s="1" t="s">
        <v>2875</v>
      </c>
      <c r="B3110" t="s">
        <v>2874</v>
      </c>
      <c r="C3110" s="1">
        <v>0.39</v>
      </c>
      <c r="D3110" s="1">
        <v>9</v>
      </c>
      <c r="E3110" s="2">
        <v>14.8333333333333</v>
      </c>
      <c r="F3110" s="1">
        <v>6</v>
      </c>
      <c r="G3110" s="1">
        <v>34.71</v>
      </c>
      <c r="H3110" s="1" t="s">
        <v>8</v>
      </c>
      <c r="I3110" t="str">
        <f t="shared" si="48"/>
        <v>FUSCHIA VOILE POINTY SHOE DEC [47348A]</v>
      </c>
    </row>
    <row r="3111" spans="1:9" x14ac:dyDescent="0.3">
      <c r="A3111" s="1" t="s">
        <v>2873</v>
      </c>
      <c r="B3111" t="s">
        <v>2872</v>
      </c>
      <c r="C3111" s="1">
        <v>2.95</v>
      </c>
      <c r="D3111" s="1">
        <v>4</v>
      </c>
      <c r="E3111" s="2">
        <v>7.5384615384615303</v>
      </c>
      <c r="F3111" s="1">
        <v>13</v>
      </c>
      <c r="G3111" s="1">
        <v>269.89999999999998</v>
      </c>
      <c r="H3111" s="1" t="s">
        <v>8</v>
      </c>
      <c r="I3111" t="str">
        <f t="shared" si="48"/>
        <v>BLUE  VOILE LAMPSHADE [47351B]</v>
      </c>
    </row>
    <row r="3112" spans="1:9" x14ac:dyDescent="0.3">
      <c r="A3112" s="1" t="s">
        <v>2871</v>
      </c>
      <c r="B3112" t="s">
        <v>2870</v>
      </c>
      <c r="C3112" s="1">
        <v>3.5049999999999999</v>
      </c>
      <c r="D3112" s="1">
        <v>7.5</v>
      </c>
      <c r="E3112" s="1">
        <v>11</v>
      </c>
      <c r="F3112" s="1">
        <v>22</v>
      </c>
      <c r="G3112" s="1">
        <v>834.95</v>
      </c>
      <c r="H3112" s="1" t="s">
        <v>8</v>
      </c>
      <c r="I3112" t="str">
        <f t="shared" si="48"/>
        <v>PAIR PADDED HANGERS PINK CHECK [47367B]</v>
      </c>
    </row>
    <row r="3113" spans="1:9" x14ac:dyDescent="0.3">
      <c r="A3113" s="1" t="s">
        <v>2869</v>
      </c>
      <c r="B3113" t="s">
        <v>2868</v>
      </c>
      <c r="C3113" s="1">
        <v>2.95</v>
      </c>
      <c r="D3113" s="1">
        <v>3</v>
      </c>
      <c r="E3113" s="2">
        <v>4.3636363636363598</v>
      </c>
      <c r="F3113" s="1">
        <v>11</v>
      </c>
      <c r="G3113" s="1">
        <v>140.4</v>
      </c>
      <c r="H3113" s="1" t="s">
        <v>8</v>
      </c>
      <c r="I3113" t="str">
        <f t="shared" si="48"/>
        <v>PINK GREEN EMBROIDERY COSMETIC BAG [47369A]</v>
      </c>
    </row>
    <row r="3114" spans="1:9" x14ac:dyDescent="0.3">
      <c r="A3114" s="1" t="s">
        <v>2867</v>
      </c>
      <c r="B3114" t="s">
        <v>2866</v>
      </c>
      <c r="C3114" s="1">
        <v>2.95</v>
      </c>
      <c r="D3114" s="1">
        <v>3</v>
      </c>
      <c r="E3114" s="1">
        <v>4.5</v>
      </c>
      <c r="F3114" s="1">
        <v>12</v>
      </c>
      <c r="G3114" s="1">
        <v>153.18</v>
      </c>
      <c r="H3114" s="1" t="s">
        <v>8</v>
      </c>
      <c r="I3114" t="str">
        <f t="shared" si="48"/>
        <v>BLUE GREEN EMBROIDERY COSMETIC BAG [47369B]</v>
      </c>
    </row>
    <row r="3115" spans="1:9" x14ac:dyDescent="0.3">
      <c r="A3115" s="1">
        <v>47420</v>
      </c>
      <c r="B3115" t="s">
        <v>2865</v>
      </c>
      <c r="C3115" s="1">
        <v>0.19</v>
      </c>
      <c r="D3115" s="1">
        <v>11.5</v>
      </c>
      <c r="E3115" s="2">
        <v>19.8888888888888</v>
      </c>
      <c r="F3115" s="1">
        <v>18</v>
      </c>
      <c r="G3115" s="1">
        <v>68.02</v>
      </c>
      <c r="H3115" s="1" t="s">
        <v>9</v>
      </c>
      <c r="I3115" t="str">
        <f t="shared" si="48"/>
        <v>ASSORTED COLOUR SUCTION CUP HOOK [47420]</v>
      </c>
    </row>
    <row r="3116" spans="1:9" x14ac:dyDescent="0.3">
      <c r="A3116" s="1">
        <v>47421</v>
      </c>
      <c r="B3116" t="s">
        <v>2864</v>
      </c>
      <c r="C3116" s="1">
        <v>0.42</v>
      </c>
      <c r="D3116" s="1">
        <v>56</v>
      </c>
      <c r="E3116" s="2">
        <v>69.6666666666666</v>
      </c>
      <c r="F3116" s="1">
        <v>21</v>
      </c>
      <c r="G3116" s="1">
        <v>572.70000000000005</v>
      </c>
      <c r="H3116" s="1" t="s">
        <v>9</v>
      </c>
      <c r="I3116" t="str">
        <f t="shared" si="48"/>
        <v>ASSORTED COLOUR LIZARD SUCTION HOOK [47421]</v>
      </c>
    </row>
    <row r="3117" spans="1:9" x14ac:dyDescent="0.3">
      <c r="A3117" s="1">
        <v>47422</v>
      </c>
      <c r="B3117" t="s">
        <v>2863</v>
      </c>
      <c r="C3117" s="1">
        <v>0.42</v>
      </c>
      <c r="D3117" s="1">
        <v>51</v>
      </c>
      <c r="E3117" s="1">
        <v>53.5</v>
      </c>
      <c r="F3117" s="1">
        <v>22</v>
      </c>
      <c r="G3117" s="2">
        <v>458.34</v>
      </c>
      <c r="H3117" s="1" t="s">
        <v>9</v>
      </c>
      <c r="I3117" t="str">
        <f t="shared" si="48"/>
        <v>ASSORTED MONKEY SUCTION CUP HOOK [47422]</v>
      </c>
    </row>
    <row r="3118" spans="1:9" x14ac:dyDescent="0.3">
      <c r="A3118" s="1">
        <v>47469</v>
      </c>
      <c r="B3118" t="s">
        <v>2862</v>
      </c>
      <c r="C3118" s="1">
        <v>0.65</v>
      </c>
      <c r="D3118" s="1">
        <v>12</v>
      </c>
      <c r="E3118" s="2">
        <v>71.764705882352899</v>
      </c>
      <c r="F3118" s="1">
        <v>17</v>
      </c>
      <c r="G3118" s="1">
        <v>594.28</v>
      </c>
      <c r="H3118" s="1" t="s">
        <v>9</v>
      </c>
      <c r="I3118" t="str">
        <f t="shared" si="48"/>
        <v>ASSORTED SHAPES PHOTO CLIP SILVER [47469]</v>
      </c>
    </row>
    <row r="3119" spans="1:9" x14ac:dyDescent="0.3">
      <c r="A3119" s="1">
        <v>47471</v>
      </c>
      <c r="B3119" t="s">
        <v>2861</v>
      </c>
      <c r="C3119" s="1">
        <v>0.86</v>
      </c>
      <c r="D3119" s="1">
        <v>7</v>
      </c>
      <c r="E3119" s="2">
        <v>18.6086956521739</v>
      </c>
      <c r="F3119" s="1">
        <v>23</v>
      </c>
      <c r="G3119" s="1">
        <v>295.72000000000003</v>
      </c>
      <c r="H3119" s="1" t="s">
        <v>8</v>
      </c>
      <c r="I3119" t="str">
        <f t="shared" si="48"/>
        <v>RAINBOW PEGS PHOTO CLIP STRING [47471]</v>
      </c>
    </row>
    <row r="3120" spans="1:9" x14ac:dyDescent="0.3">
      <c r="A3120" s="1">
        <v>47480</v>
      </c>
      <c r="B3120" t="s">
        <v>2860</v>
      </c>
      <c r="C3120" s="1">
        <v>1.72</v>
      </c>
      <c r="D3120" s="1">
        <v>51</v>
      </c>
      <c r="E3120" s="1">
        <v>65.52</v>
      </c>
      <c r="F3120" s="1">
        <v>25</v>
      </c>
      <c r="G3120" s="1">
        <v>2713.98</v>
      </c>
      <c r="H3120" s="1" t="s">
        <v>9</v>
      </c>
      <c r="I3120" t="str">
        <f t="shared" si="48"/>
        <v>HANGING PHOTO CLIP ROPE LADDER [47480]</v>
      </c>
    </row>
    <row r="3121" spans="1:9" x14ac:dyDescent="0.3">
      <c r="A3121" s="1">
        <v>47481</v>
      </c>
      <c r="B3121" t="s">
        <v>2859</v>
      </c>
      <c r="C3121" s="1">
        <v>0.85</v>
      </c>
      <c r="D3121" s="1">
        <v>8</v>
      </c>
      <c r="E3121" s="2">
        <v>18.705882352941099</v>
      </c>
      <c r="F3121" s="1">
        <v>17</v>
      </c>
      <c r="G3121" s="1">
        <v>248.28</v>
      </c>
      <c r="H3121" s="1" t="s">
        <v>8</v>
      </c>
      <c r="I3121" t="str">
        <f t="shared" si="48"/>
        <v>50CM METAL STRING WITH  7 CLIPS [47481]</v>
      </c>
    </row>
    <row r="3122" spans="1:9" x14ac:dyDescent="0.3">
      <c r="A3122" s="1">
        <v>47502</v>
      </c>
      <c r="B3122" t="s">
        <v>2858</v>
      </c>
      <c r="C3122" s="1">
        <v>11.335000000000001</v>
      </c>
      <c r="D3122" s="1">
        <v>44</v>
      </c>
      <c r="E3122" s="1">
        <v>64</v>
      </c>
      <c r="F3122" s="1">
        <v>10</v>
      </c>
      <c r="G3122" s="1">
        <v>6855.75</v>
      </c>
      <c r="H3122" s="1" t="s">
        <v>9</v>
      </c>
      <c r="I3122" t="str">
        <f t="shared" si="48"/>
        <v>POLKADOT CUTLERY 24 PCS IN TRAY [47502]</v>
      </c>
    </row>
    <row r="3123" spans="1:9" x14ac:dyDescent="0.3">
      <c r="A3123" s="1" t="s">
        <v>2857</v>
      </c>
      <c r="B3123" t="s">
        <v>2856</v>
      </c>
      <c r="C3123" s="1">
        <v>1.25</v>
      </c>
      <c r="D3123" s="1">
        <v>42</v>
      </c>
      <c r="E3123" s="2">
        <v>135.85714285714201</v>
      </c>
      <c r="F3123" s="1">
        <v>21</v>
      </c>
      <c r="G3123" s="1">
        <v>1405.51</v>
      </c>
      <c r="H3123" s="1" t="s">
        <v>9</v>
      </c>
      <c r="I3123" t="str">
        <f t="shared" si="48"/>
        <v>ASS FLORAL PRINT MULTI SCREWDRIVER [47503A]</v>
      </c>
    </row>
    <row r="3124" spans="1:9" x14ac:dyDescent="0.3">
      <c r="A3124" s="1" t="s">
        <v>2855</v>
      </c>
      <c r="B3124" t="s">
        <v>2854</v>
      </c>
      <c r="C3124" s="1">
        <v>1.25</v>
      </c>
      <c r="D3124" s="1">
        <v>22.5</v>
      </c>
      <c r="E3124" s="2">
        <v>22.3333333333333</v>
      </c>
      <c r="F3124" s="1">
        <v>6</v>
      </c>
      <c r="G3124" s="1">
        <v>167.5</v>
      </c>
      <c r="H3124" s="1" t="s">
        <v>9</v>
      </c>
      <c r="I3124" t="str">
        <f t="shared" si="48"/>
        <v>ASS FLORAL PRINT SCISSORS [47503E]</v>
      </c>
    </row>
    <row r="3125" spans="1:9" x14ac:dyDescent="0.3">
      <c r="A3125" s="1" t="s">
        <v>2853</v>
      </c>
      <c r="B3125" t="s">
        <v>2852</v>
      </c>
      <c r="C3125" s="1">
        <v>1.65</v>
      </c>
      <c r="D3125" s="1">
        <v>31.5</v>
      </c>
      <c r="E3125" s="1">
        <v>31.5</v>
      </c>
      <c r="F3125" s="1">
        <v>2</v>
      </c>
      <c r="G3125" s="1">
        <v>103.95</v>
      </c>
      <c r="H3125" s="1" t="s">
        <v>9</v>
      </c>
      <c r="I3125" t="str">
        <f t="shared" si="48"/>
        <v>ASS FLORAL PRINT TORCH [47503F]</v>
      </c>
    </row>
    <row r="3126" spans="1:9" x14ac:dyDescent="0.3">
      <c r="A3126" s="1" t="s">
        <v>2851</v>
      </c>
      <c r="B3126" t="s">
        <v>2850</v>
      </c>
      <c r="C3126" s="1">
        <v>1.33</v>
      </c>
      <c r="D3126" s="1">
        <v>62.5</v>
      </c>
      <c r="E3126" s="1">
        <v>71</v>
      </c>
      <c r="F3126" s="1">
        <v>4</v>
      </c>
      <c r="G3126" s="1">
        <v>367.36</v>
      </c>
      <c r="H3126" s="1" t="s">
        <v>10</v>
      </c>
      <c r="I3126" t="str">
        <f t="shared" si="48"/>
        <v>ASS FLORAL PRINT TAPE MEASURE [47503G]</v>
      </c>
    </row>
    <row r="3127" spans="1:9" x14ac:dyDescent="0.3">
      <c r="A3127" s="1" t="s">
        <v>2849</v>
      </c>
      <c r="B3127" t="s">
        <v>2848</v>
      </c>
      <c r="C3127" s="1">
        <v>1.95</v>
      </c>
      <c r="D3127" s="1">
        <v>3</v>
      </c>
      <c r="E3127" s="2">
        <v>6.9565217391304301</v>
      </c>
      <c r="F3127" s="1">
        <v>23</v>
      </c>
      <c r="G3127" s="1">
        <v>246.12</v>
      </c>
      <c r="H3127" s="1" t="s">
        <v>8</v>
      </c>
      <c r="I3127" t="str">
        <f t="shared" si="48"/>
        <v>ASS FLORAL PRINT SPIRIT LEVEL [47503H]</v>
      </c>
    </row>
    <row r="3128" spans="1:9" x14ac:dyDescent="0.3">
      <c r="A3128" s="1" t="s">
        <v>2847</v>
      </c>
      <c r="B3128" t="s">
        <v>2846</v>
      </c>
      <c r="C3128" s="1">
        <v>7.95</v>
      </c>
      <c r="D3128" s="1">
        <v>19</v>
      </c>
      <c r="E3128" s="2">
        <v>26.4615384615384</v>
      </c>
      <c r="F3128" s="1">
        <v>12</v>
      </c>
      <c r="G3128" s="1">
        <v>2719.38</v>
      </c>
      <c r="H3128" s="1" t="s">
        <v>9</v>
      </c>
      <c r="I3128" t="str">
        <f t="shared" si="48"/>
        <v>SET/3 FLORAL GARDEN TOOLS IN BAG [47503J]</v>
      </c>
    </row>
    <row r="3129" spans="1:9" x14ac:dyDescent="0.3">
      <c r="A3129" s="1" t="s">
        <v>2845</v>
      </c>
      <c r="B3129" t="s">
        <v>2844</v>
      </c>
      <c r="C3129" s="1">
        <v>1.95</v>
      </c>
      <c r="D3129" s="1">
        <v>27</v>
      </c>
      <c r="E3129" s="1">
        <v>39.5</v>
      </c>
      <c r="F3129" s="1">
        <v>6</v>
      </c>
      <c r="G3129" s="1">
        <v>408.44</v>
      </c>
      <c r="H3129" s="1" t="s">
        <v>9</v>
      </c>
      <c r="I3129" t="str">
        <f t="shared" si="48"/>
        <v>ASSORTED FLORAL SECATEURS [47503K]</v>
      </c>
    </row>
    <row r="3130" spans="1:9" x14ac:dyDescent="0.3">
      <c r="A3130" s="1" t="s">
        <v>2843</v>
      </c>
      <c r="B3130" t="s">
        <v>2842</v>
      </c>
      <c r="C3130" s="1">
        <v>1.25</v>
      </c>
      <c r="D3130" s="1">
        <v>8</v>
      </c>
      <c r="E3130" s="2">
        <v>22.3333333333333</v>
      </c>
      <c r="F3130" s="1">
        <v>9</v>
      </c>
      <c r="G3130" s="1">
        <v>275.2</v>
      </c>
      <c r="H3130" s="1" t="s">
        <v>8</v>
      </c>
      <c r="I3130" t="str">
        <f t="shared" si="48"/>
        <v>ENGLISH ROSE SCISSORS [47504E]</v>
      </c>
    </row>
    <row r="3131" spans="1:9" x14ac:dyDescent="0.3">
      <c r="A3131" s="1" t="s">
        <v>2841</v>
      </c>
      <c r="B3131" t="s">
        <v>2840</v>
      </c>
      <c r="C3131" s="1">
        <v>2.5049999999999999</v>
      </c>
      <c r="D3131" s="1">
        <v>22.5</v>
      </c>
      <c r="E3131" s="1">
        <v>22.5</v>
      </c>
      <c r="F3131" s="1">
        <v>2</v>
      </c>
      <c r="G3131" s="1">
        <v>75.959999999999994</v>
      </c>
      <c r="H3131" s="1" t="s">
        <v>9</v>
      </c>
      <c r="I3131" t="str">
        <f t="shared" si="48"/>
        <v>ENGLISH ROSE TORCH [47504F]</v>
      </c>
    </row>
    <row r="3132" spans="1:9" x14ac:dyDescent="0.3">
      <c r="A3132" s="1" t="s">
        <v>2839</v>
      </c>
      <c r="B3132" t="s">
        <v>2838</v>
      </c>
      <c r="C3132" s="2">
        <v>1.2649999999999999</v>
      </c>
      <c r="D3132" s="1">
        <v>36</v>
      </c>
      <c r="E3132" s="2">
        <v>44.3333333333333</v>
      </c>
      <c r="F3132" s="1">
        <v>6</v>
      </c>
      <c r="G3132" s="1">
        <v>366.81</v>
      </c>
      <c r="H3132" s="1" t="s">
        <v>9</v>
      </c>
      <c r="I3132" t="str">
        <f t="shared" si="48"/>
        <v>ENGLISH ROSE TAPE MEASURE [47504G]</v>
      </c>
    </row>
    <row r="3133" spans="1:9" x14ac:dyDescent="0.3">
      <c r="A3133" s="1" t="s">
        <v>2837</v>
      </c>
      <c r="B3133" t="s">
        <v>2836</v>
      </c>
      <c r="C3133" s="1">
        <v>1.28</v>
      </c>
      <c r="D3133" s="1">
        <v>25</v>
      </c>
      <c r="E3133" s="2">
        <v>53.473684210526301</v>
      </c>
      <c r="F3133" s="1">
        <v>19</v>
      </c>
      <c r="G3133" s="1">
        <v>1044.31</v>
      </c>
      <c r="H3133" s="1" t="s">
        <v>9</v>
      </c>
      <c r="I3133" t="str">
        <f t="shared" si="48"/>
        <v>ENGLISH ROSE SPIRIT LEVEL [47504H]</v>
      </c>
    </row>
    <row r="3134" spans="1:9" x14ac:dyDescent="0.3">
      <c r="A3134" s="1" t="s">
        <v>2835</v>
      </c>
      <c r="B3134" t="s">
        <v>2834</v>
      </c>
      <c r="C3134" s="1">
        <v>13.45</v>
      </c>
      <c r="D3134" s="1">
        <v>5</v>
      </c>
      <c r="E3134" s="1">
        <v>5</v>
      </c>
      <c r="F3134" s="1">
        <v>1</v>
      </c>
      <c r="G3134" s="1">
        <v>67.25</v>
      </c>
      <c r="H3134" s="1" t="s">
        <v>8</v>
      </c>
      <c r="I3134" t="str">
        <f t="shared" si="48"/>
        <v>ENGLISH ROSE SET/3 GARDEN TOOLS [47504J]</v>
      </c>
    </row>
    <row r="3135" spans="1:9" x14ac:dyDescent="0.3">
      <c r="A3135" s="1" t="s">
        <v>2833</v>
      </c>
      <c r="B3135" t="s">
        <v>2832</v>
      </c>
      <c r="C3135" s="1">
        <v>1.95</v>
      </c>
      <c r="D3135" s="1">
        <v>56</v>
      </c>
      <c r="E3135" s="2">
        <v>115.304347826086</v>
      </c>
      <c r="F3135" s="1">
        <v>23</v>
      </c>
      <c r="G3135" s="1">
        <v>3085.66</v>
      </c>
      <c r="H3135" s="1" t="s">
        <v>9</v>
      </c>
      <c r="I3135" t="str">
        <f t="shared" si="48"/>
        <v>ENGLISH ROSE GARDEN SECATEURS [47504K]</v>
      </c>
    </row>
    <row r="3136" spans="1:9" x14ac:dyDescent="0.3">
      <c r="A3136" s="1">
        <v>47505</v>
      </c>
      <c r="B3136" t="s">
        <v>2831</v>
      </c>
      <c r="C3136" s="1">
        <v>4.7699999999999996</v>
      </c>
      <c r="D3136" s="1">
        <v>108.5</v>
      </c>
      <c r="E3136" s="2">
        <v>122.833333333333</v>
      </c>
      <c r="F3136" s="1">
        <v>6</v>
      </c>
      <c r="G3136" s="1">
        <v>3527.42</v>
      </c>
      <c r="H3136" s="1" t="s">
        <v>10</v>
      </c>
      <c r="I3136" t="str">
        <f t="shared" si="48"/>
        <v>MINATURE COLOURED GARDENING SET [47505]</v>
      </c>
    </row>
    <row r="3137" spans="1:9" x14ac:dyDescent="0.3">
      <c r="A3137" s="1" t="s">
        <v>2830</v>
      </c>
      <c r="B3137" t="s">
        <v>2828</v>
      </c>
      <c r="C3137" s="1">
        <v>0.12</v>
      </c>
      <c r="D3137" s="1">
        <v>72</v>
      </c>
      <c r="E3137" s="2">
        <v>86.5555555555555</v>
      </c>
      <c r="F3137" s="1">
        <v>9</v>
      </c>
      <c r="G3137" s="1">
        <v>93.48</v>
      </c>
      <c r="H3137" s="1" t="s">
        <v>10</v>
      </c>
      <c r="I3137" t="str">
        <f t="shared" si="48"/>
        <v>ICON PLACEMAT POP ART ELVIS [47518F]</v>
      </c>
    </row>
    <row r="3138" spans="1:9" x14ac:dyDescent="0.3">
      <c r="A3138" s="1" t="s">
        <v>2829</v>
      </c>
      <c r="B3138" t="s">
        <v>2828</v>
      </c>
      <c r="C3138" s="1">
        <v>4.21</v>
      </c>
      <c r="D3138" s="1">
        <v>1</v>
      </c>
      <c r="E3138" s="2">
        <v>1.28571428571428</v>
      </c>
      <c r="F3138" s="1">
        <v>7</v>
      </c>
      <c r="G3138" s="1">
        <v>37.75</v>
      </c>
      <c r="H3138" s="1" t="s">
        <v>8</v>
      </c>
      <c r="I3138" t="str">
        <f t="shared" si="48"/>
        <v>ICON PLACEMAT POP ART ELVIS [47518f]</v>
      </c>
    </row>
    <row r="3139" spans="1:9" x14ac:dyDescent="0.3">
      <c r="A3139" s="1" t="s">
        <v>2827</v>
      </c>
      <c r="B3139" t="s">
        <v>2826</v>
      </c>
      <c r="C3139" s="1">
        <v>1.95</v>
      </c>
      <c r="D3139" s="1">
        <v>1.5</v>
      </c>
      <c r="E3139" s="1">
        <v>2</v>
      </c>
      <c r="F3139" s="1">
        <v>6</v>
      </c>
      <c r="G3139" s="1">
        <v>23.4</v>
      </c>
      <c r="H3139" s="1" t="s">
        <v>8</v>
      </c>
      <c r="I3139" t="str">
        <f t="shared" ref="I3139:I3202" si="49">B3139&amp;" ["&amp;A3139&amp;"]"</f>
        <v>DOTS IRONING BOARD COVER [47552A]</v>
      </c>
    </row>
    <row r="3140" spans="1:9" x14ac:dyDescent="0.3">
      <c r="A3140" s="1">
        <v>47554</v>
      </c>
      <c r="B3140" t="s">
        <v>2825</v>
      </c>
      <c r="C3140" s="1">
        <v>2.5499999999999998</v>
      </c>
      <c r="D3140" s="1">
        <v>1</v>
      </c>
      <c r="E3140" s="1">
        <v>1</v>
      </c>
      <c r="F3140" s="1">
        <v>1</v>
      </c>
      <c r="G3140" s="1">
        <v>2.5499999999999998</v>
      </c>
      <c r="H3140" s="1" t="s">
        <v>8</v>
      </c>
      <c r="I3140" t="str">
        <f t="shared" si="49"/>
        <v>S/3 COLOURS FLOCK TEA TOWELS [47554]</v>
      </c>
    </row>
    <row r="3141" spans="1:9" x14ac:dyDescent="0.3">
      <c r="A3141" s="1">
        <v>47556</v>
      </c>
      <c r="B3141" t="s">
        <v>2824</v>
      </c>
      <c r="C3141" s="1">
        <v>2.5499999999999998</v>
      </c>
      <c r="D3141" s="1">
        <v>1</v>
      </c>
      <c r="E3141" s="1">
        <v>1</v>
      </c>
      <c r="F3141" s="1">
        <v>1</v>
      </c>
      <c r="G3141" s="1">
        <v>2.5499999999999998</v>
      </c>
      <c r="H3141" s="1" t="s">
        <v>8</v>
      </c>
      <c r="I3141" t="str">
        <f t="shared" si="49"/>
        <v>SET/2 SPOTTY + ROSE TEA TOWELS [47556]</v>
      </c>
    </row>
    <row r="3142" spans="1:9" x14ac:dyDescent="0.3">
      <c r="A3142" s="1" t="s">
        <v>2823</v>
      </c>
      <c r="B3142" t="s">
        <v>2821</v>
      </c>
      <c r="C3142" s="1">
        <v>2.99</v>
      </c>
      <c r="D3142" s="1">
        <v>211.5</v>
      </c>
      <c r="E3142" s="1">
        <v>371.5</v>
      </c>
      <c r="F3142" s="1">
        <v>14</v>
      </c>
      <c r="G3142" s="1">
        <v>13691.02</v>
      </c>
      <c r="H3142" s="1" t="s">
        <v>10</v>
      </c>
      <c r="I3142" t="str">
        <f t="shared" si="49"/>
        <v>TEA TIME TEA TOWELS [47556B]</v>
      </c>
    </row>
    <row r="3143" spans="1:9" x14ac:dyDescent="0.3">
      <c r="A3143" s="1" t="s">
        <v>2822</v>
      </c>
      <c r="B3143" t="s">
        <v>2821</v>
      </c>
      <c r="C3143" s="1">
        <v>5.91</v>
      </c>
      <c r="D3143" s="1">
        <v>1</v>
      </c>
      <c r="E3143" s="1">
        <v>1</v>
      </c>
      <c r="F3143" s="1">
        <v>4</v>
      </c>
      <c r="G3143" s="1">
        <v>23.64</v>
      </c>
      <c r="H3143" s="1" t="s">
        <v>8</v>
      </c>
      <c r="I3143" t="str">
        <f t="shared" si="49"/>
        <v>TEA TIME TEA TOWELS [47556b]</v>
      </c>
    </row>
    <row r="3144" spans="1:9" x14ac:dyDescent="0.3">
      <c r="A3144" s="1" t="s">
        <v>2820</v>
      </c>
      <c r="B3144" t="s">
        <v>2818</v>
      </c>
      <c r="C3144" s="1">
        <v>1.24</v>
      </c>
      <c r="D3144" s="1">
        <v>203</v>
      </c>
      <c r="E3144" s="1">
        <v>204.64</v>
      </c>
      <c r="F3144" s="1">
        <v>25</v>
      </c>
      <c r="G3144" s="1">
        <v>6311.69</v>
      </c>
      <c r="H3144" s="1" t="s">
        <v>10</v>
      </c>
      <c r="I3144" t="str">
        <f t="shared" si="49"/>
        <v>TEA TIME OVEN GLOVE [47559B]</v>
      </c>
    </row>
    <row r="3145" spans="1:9" x14ac:dyDescent="0.3">
      <c r="A3145" s="1" t="s">
        <v>2819</v>
      </c>
      <c r="B3145" t="s">
        <v>2818</v>
      </c>
      <c r="C3145" s="1">
        <v>3.29</v>
      </c>
      <c r="D3145" s="1">
        <v>8</v>
      </c>
      <c r="E3145" s="2">
        <v>11.846153846153801</v>
      </c>
      <c r="F3145" s="1">
        <v>13</v>
      </c>
      <c r="G3145" s="1">
        <v>511.46</v>
      </c>
      <c r="H3145" s="1" t="s">
        <v>8</v>
      </c>
      <c r="I3145" t="str">
        <f t="shared" si="49"/>
        <v>TEA TIME OVEN GLOVE [47559b]</v>
      </c>
    </row>
    <row r="3146" spans="1:9" x14ac:dyDescent="0.3">
      <c r="A3146" s="1">
        <v>47562</v>
      </c>
      <c r="B3146" t="s">
        <v>2817</v>
      </c>
      <c r="C3146" s="1">
        <v>3.75</v>
      </c>
      <c r="D3146" s="1">
        <v>26</v>
      </c>
      <c r="E3146" s="1">
        <v>26</v>
      </c>
      <c r="F3146" s="1">
        <v>4</v>
      </c>
      <c r="G3146" s="1">
        <v>390</v>
      </c>
      <c r="H3146" s="1" t="s">
        <v>9</v>
      </c>
      <c r="I3146" t="str">
        <f t="shared" si="49"/>
        <v>ENGLISH ROSE IRONING BOARD COVER [47562]</v>
      </c>
    </row>
    <row r="3147" spans="1:9" x14ac:dyDescent="0.3">
      <c r="A3147" s="1" t="s">
        <v>2816</v>
      </c>
      <c r="B3147" t="s">
        <v>2815</v>
      </c>
      <c r="C3147" s="1">
        <v>4.5999999999999996</v>
      </c>
      <c r="D3147" s="1">
        <v>6.5</v>
      </c>
      <c r="E3147" s="2">
        <v>14.272727272727201</v>
      </c>
      <c r="F3147" s="1">
        <v>22</v>
      </c>
      <c r="G3147" s="1">
        <v>800.37</v>
      </c>
      <c r="H3147" s="1" t="s">
        <v>8</v>
      </c>
      <c r="I3147" t="str">
        <f t="shared" si="49"/>
        <v>RETRO LONGBOARD IRONING BOARD COVER [47563A]</v>
      </c>
    </row>
    <row r="3148" spans="1:9" x14ac:dyDescent="0.3">
      <c r="A3148" s="1" t="s">
        <v>2814</v>
      </c>
      <c r="B3148" t="s">
        <v>2813</v>
      </c>
      <c r="C3148" s="1">
        <v>3.75</v>
      </c>
      <c r="D3148" s="1">
        <v>1</v>
      </c>
      <c r="E3148" s="1">
        <v>2</v>
      </c>
      <c r="F3148" s="1">
        <v>4</v>
      </c>
      <c r="G3148" s="1">
        <v>30</v>
      </c>
      <c r="H3148" s="1" t="s">
        <v>8</v>
      </c>
      <c r="I3148" t="str">
        <f t="shared" si="49"/>
        <v>WAVELINE SURF IRONING BOARD COVER [47563B]</v>
      </c>
    </row>
    <row r="3149" spans="1:9" x14ac:dyDescent="0.3">
      <c r="A3149" s="1">
        <v>47566</v>
      </c>
      <c r="B3149" t="s">
        <v>2812</v>
      </c>
      <c r="C3149" s="1">
        <v>5.18</v>
      </c>
      <c r="D3149" s="1">
        <v>925</v>
      </c>
      <c r="E3149" s="1">
        <v>1128</v>
      </c>
      <c r="F3149" s="1">
        <v>25</v>
      </c>
      <c r="G3149" s="1">
        <v>148318.28</v>
      </c>
      <c r="H3149" s="1" t="s">
        <v>10</v>
      </c>
      <c r="I3149" t="str">
        <f t="shared" si="49"/>
        <v>PARTY BUNTING [47566]</v>
      </c>
    </row>
    <row r="3150" spans="1:9" x14ac:dyDescent="0.3">
      <c r="A3150" s="1" t="s">
        <v>2811</v>
      </c>
      <c r="B3150" t="s">
        <v>2809</v>
      </c>
      <c r="C3150" s="1">
        <v>4.7850000000000001</v>
      </c>
      <c r="D3150" s="1">
        <v>205</v>
      </c>
      <c r="E3150" s="2">
        <v>241.708333333333</v>
      </c>
      <c r="F3150" s="1">
        <v>24</v>
      </c>
      <c r="G3150" s="2">
        <v>25803.4899999999</v>
      </c>
      <c r="H3150" s="1" t="s">
        <v>10</v>
      </c>
      <c r="I3150" t="str">
        <f t="shared" si="49"/>
        <v>TEA TIME PARTY BUNTING [47566B]</v>
      </c>
    </row>
    <row r="3151" spans="1:9" x14ac:dyDescent="0.3">
      <c r="A3151" s="1" t="s">
        <v>2810</v>
      </c>
      <c r="B3151" t="s">
        <v>2809</v>
      </c>
      <c r="C3151" s="1">
        <v>8.2899999999999991</v>
      </c>
      <c r="D3151" s="1">
        <v>10.5</v>
      </c>
      <c r="E3151" s="2">
        <v>15.1428571428571</v>
      </c>
      <c r="F3151" s="1">
        <v>14</v>
      </c>
      <c r="G3151" s="1">
        <v>1761.26</v>
      </c>
      <c r="H3151" s="1" t="s">
        <v>9</v>
      </c>
      <c r="I3151" t="str">
        <f t="shared" si="49"/>
        <v>TEA TIME PARTY BUNTING [47566b]</v>
      </c>
    </row>
    <row r="3152" spans="1:9" x14ac:dyDescent="0.3">
      <c r="A3152" s="1" t="s">
        <v>2808</v>
      </c>
      <c r="B3152" t="s">
        <v>2806</v>
      </c>
      <c r="C3152" s="1">
        <v>5.9</v>
      </c>
      <c r="D3152" s="1">
        <v>69</v>
      </c>
      <c r="E3152" s="1">
        <v>86.64</v>
      </c>
      <c r="F3152" s="1">
        <v>25</v>
      </c>
      <c r="G3152" s="1">
        <v>11683.27</v>
      </c>
      <c r="H3152" s="1" t="s">
        <v>10</v>
      </c>
      <c r="I3152" t="str">
        <f t="shared" si="49"/>
        <v>TEA TIME KITCHEN APRON [47567B]</v>
      </c>
    </row>
    <row r="3153" spans="1:9" x14ac:dyDescent="0.3">
      <c r="A3153" s="1" t="s">
        <v>2807</v>
      </c>
      <c r="B3153" t="s">
        <v>2806</v>
      </c>
      <c r="C3153" s="1">
        <v>12.86</v>
      </c>
      <c r="D3153" s="1">
        <v>1.5</v>
      </c>
      <c r="E3153" s="1">
        <v>1.5</v>
      </c>
      <c r="F3153" s="1">
        <v>2</v>
      </c>
      <c r="G3153" s="1">
        <v>38.72</v>
      </c>
      <c r="H3153" s="1" t="s">
        <v>8</v>
      </c>
      <c r="I3153" t="str">
        <f t="shared" si="49"/>
        <v>TEA TIME KITCHEN APRON [47567b]</v>
      </c>
    </row>
    <row r="3154" spans="1:9" x14ac:dyDescent="0.3">
      <c r="A3154" s="1">
        <v>47568</v>
      </c>
      <c r="B3154" t="s">
        <v>2805</v>
      </c>
      <c r="C3154" s="1">
        <v>2.0699999999999998</v>
      </c>
      <c r="D3154" s="1">
        <v>333</v>
      </c>
      <c r="E3154" s="2">
        <v>264.888888888888</v>
      </c>
      <c r="F3154" s="1">
        <v>9</v>
      </c>
      <c r="G3154" s="2">
        <v>4983.0199999999904</v>
      </c>
      <c r="H3154" s="1" t="s">
        <v>10</v>
      </c>
      <c r="I3154" t="str">
        <f t="shared" si="49"/>
        <v>ENGLISH ROSE DESIGN PEG BAG [47568]</v>
      </c>
    </row>
    <row r="3155" spans="1:9" x14ac:dyDescent="0.3">
      <c r="A3155" s="1">
        <v>47569</v>
      </c>
      <c r="B3155" t="s">
        <v>2804</v>
      </c>
      <c r="C3155" s="1">
        <v>2.5499999999999998</v>
      </c>
      <c r="D3155" s="1">
        <v>1</v>
      </c>
      <c r="E3155" s="1">
        <v>1</v>
      </c>
      <c r="F3155" s="1">
        <v>1</v>
      </c>
      <c r="G3155" s="1">
        <v>2.5499999999999998</v>
      </c>
      <c r="H3155" s="1" t="s">
        <v>8</v>
      </c>
      <c r="I3155" t="str">
        <f t="shared" si="49"/>
        <v>ENGLISH ROSE DESIGN SHOPPING BAG [47569]</v>
      </c>
    </row>
    <row r="3156" spans="1:9" x14ac:dyDescent="0.3">
      <c r="A3156" s="1">
        <v>47570</v>
      </c>
      <c r="B3156" t="s">
        <v>2803</v>
      </c>
      <c r="C3156" s="1">
        <v>11.24</v>
      </c>
      <c r="D3156" s="1">
        <v>36</v>
      </c>
      <c r="E3156" s="1">
        <v>44</v>
      </c>
      <c r="F3156" s="1">
        <v>5</v>
      </c>
      <c r="G3156" s="2">
        <v>2373.0099999999902</v>
      </c>
      <c r="H3156" s="1" t="s">
        <v>9</v>
      </c>
      <c r="I3156" t="str">
        <f t="shared" si="49"/>
        <v>ENGLISH ROSE TABLE CLOTH [47570]</v>
      </c>
    </row>
    <row r="3157" spans="1:9" x14ac:dyDescent="0.3">
      <c r="A3157" s="1" t="s">
        <v>2802</v>
      </c>
      <c r="B3157" t="s">
        <v>2800</v>
      </c>
      <c r="C3157" s="2">
        <v>10.344999999999899</v>
      </c>
      <c r="D3157" s="1">
        <v>53</v>
      </c>
      <c r="E3157" s="1">
        <v>60.8125</v>
      </c>
      <c r="F3157" s="1">
        <v>16</v>
      </c>
      <c r="G3157" s="1">
        <v>9622.27</v>
      </c>
      <c r="H3157" s="1" t="s">
        <v>9</v>
      </c>
      <c r="I3157" t="str">
        <f t="shared" si="49"/>
        <v>TEA TIME TABLE CLOTH [47570B]</v>
      </c>
    </row>
    <row r="3158" spans="1:9" x14ac:dyDescent="0.3">
      <c r="A3158" s="1" t="s">
        <v>2801</v>
      </c>
      <c r="B3158" t="s">
        <v>2800</v>
      </c>
      <c r="C3158" s="1">
        <v>21.23</v>
      </c>
      <c r="D3158" s="1">
        <v>1</v>
      </c>
      <c r="E3158" s="2">
        <v>1.3333333333333299</v>
      </c>
      <c r="F3158" s="1">
        <v>6</v>
      </c>
      <c r="G3158" s="1">
        <v>169.4</v>
      </c>
      <c r="H3158" s="1" t="s">
        <v>8</v>
      </c>
      <c r="I3158" t="str">
        <f t="shared" si="49"/>
        <v>TEA TIME TABLE CLOTH [47570b]</v>
      </c>
    </row>
    <row r="3159" spans="1:9" x14ac:dyDescent="0.3">
      <c r="A3159" s="1" t="s">
        <v>2799</v>
      </c>
      <c r="B3159" t="s">
        <v>2798</v>
      </c>
      <c r="C3159" s="1">
        <v>4.25</v>
      </c>
      <c r="D3159" s="1">
        <v>6</v>
      </c>
      <c r="E3159" s="2">
        <v>15.615384615384601</v>
      </c>
      <c r="F3159" s="1">
        <v>13</v>
      </c>
      <c r="G3159" s="1">
        <v>464.34</v>
      </c>
      <c r="H3159" s="1" t="s">
        <v>8</v>
      </c>
      <c r="I3159" t="str">
        <f t="shared" si="49"/>
        <v>ENGLISH ROSE SCENTED HANGING FLOWER [47574A]</v>
      </c>
    </row>
    <row r="3160" spans="1:9" x14ac:dyDescent="0.3">
      <c r="A3160" s="1" t="s">
        <v>2797</v>
      </c>
      <c r="B3160" t="s">
        <v>2796</v>
      </c>
      <c r="C3160" s="1">
        <v>4.25</v>
      </c>
      <c r="D3160" s="1">
        <v>3</v>
      </c>
      <c r="E3160" s="2">
        <v>4.4545454545454497</v>
      </c>
      <c r="F3160" s="1">
        <v>11</v>
      </c>
      <c r="G3160" s="1">
        <v>208.25</v>
      </c>
      <c r="H3160" s="1" t="s">
        <v>8</v>
      </c>
      <c r="I3160" t="str">
        <f t="shared" si="49"/>
        <v>ENGLISH ROSE SCENTED HANGING HEART [47574B]</v>
      </c>
    </row>
    <row r="3161" spans="1:9" x14ac:dyDescent="0.3">
      <c r="A3161" s="1" t="s">
        <v>2795</v>
      </c>
      <c r="B3161" t="s">
        <v>2794</v>
      </c>
      <c r="C3161" s="1">
        <v>0.85</v>
      </c>
      <c r="D3161" s="1">
        <v>9</v>
      </c>
      <c r="E3161" s="2">
        <v>13.3478260869565</v>
      </c>
      <c r="F3161" s="1">
        <v>23</v>
      </c>
      <c r="G3161" s="1">
        <v>279.88</v>
      </c>
      <c r="H3161" s="1" t="s">
        <v>8</v>
      </c>
      <c r="I3161" t="str">
        <f t="shared" si="49"/>
        <v>ENGLISH ROSE SMALL SCENTED FLOWER [47578A]</v>
      </c>
    </row>
    <row r="3162" spans="1:9" x14ac:dyDescent="0.3">
      <c r="A3162" s="1">
        <v>47579</v>
      </c>
      <c r="B3162" t="s">
        <v>2793</v>
      </c>
      <c r="C3162" s="1">
        <v>2.1</v>
      </c>
      <c r="D3162" s="1">
        <v>15</v>
      </c>
      <c r="E3162" s="2">
        <v>15.4166666666666</v>
      </c>
      <c r="F3162" s="1">
        <v>12</v>
      </c>
      <c r="G3162" s="1">
        <v>420.87</v>
      </c>
      <c r="H3162" s="1" t="s">
        <v>9</v>
      </c>
      <c r="I3162" t="str">
        <f t="shared" si="49"/>
        <v>TEA TIME BREAKFAST BASKET [47579]</v>
      </c>
    </row>
    <row r="3163" spans="1:9" x14ac:dyDescent="0.3">
      <c r="A3163" s="1">
        <v>47580</v>
      </c>
      <c r="B3163" t="s">
        <v>2792</v>
      </c>
      <c r="C3163" s="1">
        <v>2.67</v>
      </c>
      <c r="D3163" s="1">
        <v>57</v>
      </c>
      <c r="E3163" s="1">
        <v>66.48</v>
      </c>
      <c r="F3163" s="1">
        <v>25</v>
      </c>
      <c r="G3163" s="1">
        <v>4298.6000000000004</v>
      </c>
      <c r="H3163" s="1" t="s">
        <v>9</v>
      </c>
      <c r="I3163" t="str">
        <f t="shared" si="49"/>
        <v>TEA TIME DES TEA COSY [47580]</v>
      </c>
    </row>
    <row r="3164" spans="1:9" x14ac:dyDescent="0.3">
      <c r="A3164" s="1" t="s">
        <v>2791</v>
      </c>
      <c r="B3164" t="s">
        <v>2790</v>
      </c>
      <c r="C3164" s="1">
        <v>16.440000000000001</v>
      </c>
      <c r="D3164" s="1">
        <v>7</v>
      </c>
      <c r="E3164" s="2">
        <v>7.6666666666666599</v>
      </c>
      <c r="F3164" s="1">
        <v>6</v>
      </c>
      <c r="G3164" s="1">
        <v>753.77</v>
      </c>
      <c r="H3164" s="1" t="s">
        <v>8</v>
      </c>
      <c r="I3164" t="str">
        <f t="shared" si="49"/>
        <v>FAIRY CAKE WICKER PICNIC BASKET [47581B]</v>
      </c>
    </row>
    <row r="3165" spans="1:9" x14ac:dyDescent="0.3">
      <c r="A3165" s="1" t="s">
        <v>2789</v>
      </c>
      <c r="B3165" t="s">
        <v>2788</v>
      </c>
      <c r="C3165" s="1">
        <v>20.585000000000001</v>
      </c>
      <c r="D3165" s="1">
        <v>35.5</v>
      </c>
      <c r="E3165" s="1">
        <v>35.5</v>
      </c>
      <c r="F3165" s="1">
        <v>2</v>
      </c>
      <c r="G3165" s="2">
        <v>612.81999999999903</v>
      </c>
      <c r="H3165" s="1" t="s">
        <v>9</v>
      </c>
      <c r="I3165" t="str">
        <f t="shared" si="49"/>
        <v>SET OF 3 WICKER BASKET ROSE [47583A]</v>
      </c>
    </row>
    <row r="3166" spans="1:9" x14ac:dyDescent="0.3">
      <c r="A3166" s="1" t="s">
        <v>2787</v>
      </c>
      <c r="B3166" t="s">
        <v>2786</v>
      </c>
      <c r="C3166" s="1">
        <v>17.535</v>
      </c>
      <c r="D3166" s="1">
        <v>13.5</v>
      </c>
      <c r="E3166" s="1">
        <v>13.5</v>
      </c>
      <c r="F3166" s="1">
        <v>2</v>
      </c>
      <c r="G3166" s="1">
        <v>332.6</v>
      </c>
      <c r="H3166" s="1" t="s">
        <v>9</v>
      </c>
      <c r="I3166" t="str">
        <f t="shared" si="49"/>
        <v>SET OF 3 WICKER BASKET TEA AND CAKE [47583B]</v>
      </c>
    </row>
    <row r="3167" spans="1:9" x14ac:dyDescent="0.3">
      <c r="A3167" s="1" t="s">
        <v>2785</v>
      </c>
      <c r="B3167" t="s">
        <v>2783</v>
      </c>
      <c r="C3167" s="2">
        <v>4.0399999999999903</v>
      </c>
      <c r="D3167" s="1">
        <v>11.5</v>
      </c>
      <c r="E3167" s="2">
        <v>45.0833333333333</v>
      </c>
      <c r="F3167" s="1">
        <v>24</v>
      </c>
      <c r="G3167" s="1">
        <v>2592.1</v>
      </c>
      <c r="H3167" s="1" t="s">
        <v>9</v>
      </c>
      <c r="I3167" t="str">
        <f t="shared" si="49"/>
        <v>PINK FAIRY CAKE CUSHION COVER [47585A]</v>
      </c>
    </row>
    <row r="3168" spans="1:9" x14ac:dyDescent="0.3">
      <c r="A3168" s="1" t="s">
        <v>2784</v>
      </c>
      <c r="B3168" t="s">
        <v>2783</v>
      </c>
      <c r="C3168" s="1">
        <v>2.5499999999999998</v>
      </c>
      <c r="D3168" s="1">
        <v>3</v>
      </c>
      <c r="E3168" s="2">
        <v>13.2666666666666</v>
      </c>
      <c r="F3168" s="1">
        <v>15</v>
      </c>
      <c r="G3168" s="1">
        <v>262.64999999999998</v>
      </c>
      <c r="H3168" s="1" t="s">
        <v>8</v>
      </c>
      <c r="I3168" t="str">
        <f t="shared" si="49"/>
        <v>PINK FAIRY CAKE CUSHION COVER [47586A]</v>
      </c>
    </row>
    <row r="3169" spans="1:9" x14ac:dyDescent="0.3">
      <c r="A3169" s="1" t="s">
        <v>2782</v>
      </c>
      <c r="B3169" t="s">
        <v>2781</v>
      </c>
      <c r="C3169" s="1">
        <v>0.25</v>
      </c>
      <c r="D3169" s="1">
        <v>242</v>
      </c>
      <c r="E3169" s="2">
        <v>889.33333333333303</v>
      </c>
      <c r="F3169" s="1">
        <v>3</v>
      </c>
      <c r="G3169" s="1">
        <v>1052.56</v>
      </c>
      <c r="H3169" s="1" t="s">
        <v>10</v>
      </c>
      <c r="I3169" t="str">
        <f t="shared" si="49"/>
        <v>PINK FAIRY CAKE COASTER [47587A]</v>
      </c>
    </row>
    <row r="3170" spans="1:9" x14ac:dyDescent="0.3">
      <c r="A3170" s="1">
        <v>47589</v>
      </c>
      <c r="B3170" t="s">
        <v>2780</v>
      </c>
      <c r="C3170" s="1">
        <v>5.45</v>
      </c>
      <c r="D3170" s="1">
        <v>8.5</v>
      </c>
      <c r="E3170" s="2">
        <v>13.0714285714285</v>
      </c>
      <c r="F3170" s="1">
        <v>14</v>
      </c>
      <c r="G3170" s="1">
        <v>1008.73</v>
      </c>
      <c r="H3170" s="1" t="s">
        <v>8</v>
      </c>
      <c r="I3170" t="str">
        <f t="shared" si="49"/>
        <v>CONGRATULATIONS BUNTING [47589]</v>
      </c>
    </row>
    <row r="3171" spans="1:9" x14ac:dyDescent="0.3">
      <c r="A3171" s="1" t="s">
        <v>2779</v>
      </c>
      <c r="B3171" t="s">
        <v>2776</v>
      </c>
      <c r="C3171" s="1">
        <v>5.25</v>
      </c>
      <c r="D3171" s="1">
        <v>170</v>
      </c>
      <c r="E3171" s="2">
        <v>206.608695652173</v>
      </c>
      <c r="F3171" s="1">
        <v>23</v>
      </c>
      <c r="G3171" s="1">
        <v>24174.01</v>
      </c>
      <c r="H3171" s="1" t="s">
        <v>10</v>
      </c>
      <c r="I3171" t="str">
        <f t="shared" si="49"/>
        <v>BLUE HAPPY BIRTHDAY BUNTING [47590A]</v>
      </c>
    </row>
    <row r="3172" spans="1:9" x14ac:dyDescent="0.3">
      <c r="A3172" s="1" t="s">
        <v>2778</v>
      </c>
      <c r="B3172" t="s">
        <v>2774</v>
      </c>
      <c r="C3172" s="1">
        <v>5.25</v>
      </c>
      <c r="D3172" s="1">
        <v>177</v>
      </c>
      <c r="E3172" s="1">
        <v>229.52</v>
      </c>
      <c r="F3172" s="1">
        <v>25</v>
      </c>
      <c r="G3172" s="1">
        <v>29363.86</v>
      </c>
      <c r="H3172" s="1" t="s">
        <v>10</v>
      </c>
      <c r="I3172" t="str">
        <f t="shared" si="49"/>
        <v>PINK HAPPY BIRTHDAY BUNTING [47590B]</v>
      </c>
    </row>
    <row r="3173" spans="1:9" x14ac:dyDescent="0.3">
      <c r="A3173" s="1" t="s">
        <v>2777</v>
      </c>
      <c r="B3173" t="s">
        <v>2776</v>
      </c>
      <c r="C3173" s="1">
        <v>11.02</v>
      </c>
      <c r="D3173" s="1">
        <v>1</v>
      </c>
      <c r="E3173" s="1">
        <v>1</v>
      </c>
      <c r="F3173" s="1">
        <v>1</v>
      </c>
      <c r="G3173" s="1">
        <v>11.02</v>
      </c>
      <c r="H3173" s="1" t="s">
        <v>8</v>
      </c>
      <c r="I3173" t="str">
        <f t="shared" si="49"/>
        <v>BLUE HAPPY BIRTHDAY BUNTING [47590a]</v>
      </c>
    </row>
    <row r="3174" spans="1:9" x14ac:dyDescent="0.3">
      <c r="A3174" s="1" t="s">
        <v>2775</v>
      </c>
      <c r="B3174" t="s">
        <v>2774</v>
      </c>
      <c r="C3174" s="1">
        <v>10.79</v>
      </c>
      <c r="D3174" s="1">
        <v>2</v>
      </c>
      <c r="E3174" s="2">
        <v>1.8571428571428501</v>
      </c>
      <c r="F3174" s="1">
        <v>7</v>
      </c>
      <c r="G3174" s="1">
        <v>140.5</v>
      </c>
      <c r="H3174" s="1" t="s">
        <v>8</v>
      </c>
      <c r="I3174" t="str">
        <f t="shared" si="49"/>
        <v>PINK HAPPY BIRTHDAY BUNTING [47590b]</v>
      </c>
    </row>
    <row r="3175" spans="1:9" x14ac:dyDescent="0.3">
      <c r="A3175" s="1" t="s">
        <v>2773</v>
      </c>
      <c r="B3175" t="s">
        <v>2772</v>
      </c>
      <c r="C3175" s="1">
        <v>1.65</v>
      </c>
      <c r="D3175" s="1">
        <v>9</v>
      </c>
      <c r="E3175" s="1">
        <v>16.3</v>
      </c>
      <c r="F3175" s="1">
        <v>9</v>
      </c>
      <c r="G3175" s="1">
        <v>269.54000000000002</v>
      </c>
      <c r="H3175" s="1" t="s">
        <v>8</v>
      </c>
      <c r="I3175" t="str">
        <f t="shared" si="49"/>
        <v>CAROUSEL DES CHILD'S APRON [47591A]</v>
      </c>
    </row>
    <row r="3176" spans="1:9" x14ac:dyDescent="0.3">
      <c r="A3176" s="1" t="s">
        <v>2771</v>
      </c>
      <c r="B3176" t="s">
        <v>2770</v>
      </c>
      <c r="C3176" s="1">
        <v>1.65</v>
      </c>
      <c r="D3176" s="1">
        <v>53.5</v>
      </c>
      <c r="E3176" s="1">
        <v>65.875</v>
      </c>
      <c r="F3176" s="1">
        <v>15</v>
      </c>
      <c r="G3176" s="1">
        <v>1696.05</v>
      </c>
      <c r="H3176" s="1" t="s">
        <v>9</v>
      </c>
      <c r="I3176" t="str">
        <f t="shared" si="49"/>
        <v>SCOTTIES DES CHILD'S APRON [47591B]</v>
      </c>
    </row>
    <row r="3177" spans="1:9" x14ac:dyDescent="0.3">
      <c r="A3177" s="1" t="s">
        <v>2769</v>
      </c>
      <c r="B3177" t="s">
        <v>2763</v>
      </c>
      <c r="C3177" s="1">
        <v>1.95</v>
      </c>
      <c r="D3177" s="1">
        <v>69</v>
      </c>
      <c r="E3177" s="2">
        <v>116.777777777777</v>
      </c>
      <c r="F3177" s="1">
        <v>9</v>
      </c>
      <c r="G3177" s="2">
        <v>2012.4299999999901</v>
      </c>
      <c r="H3177" s="1" t="s">
        <v>10</v>
      </c>
      <c r="I3177" t="str">
        <f t="shared" si="49"/>
        <v>BLUE FAIRY CAKE CHILD'S APRON [47591C]</v>
      </c>
    </row>
    <row r="3178" spans="1:9" x14ac:dyDescent="0.3">
      <c r="A3178" s="1" t="s">
        <v>2768</v>
      </c>
      <c r="B3178" t="s">
        <v>2767</v>
      </c>
      <c r="C3178" s="1">
        <v>1.87</v>
      </c>
      <c r="D3178" s="1">
        <v>305</v>
      </c>
      <c r="E3178" s="2">
        <v>361.15384615384602</v>
      </c>
      <c r="F3178" s="1">
        <v>25</v>
      </c>
      <c r="G3178" s="1">
        <v>17442.29</v>
      </c>
      <c r="H3178" s="1" t="s">
        <v>10</v>
      </c>
      <c r="I3178" t="str">
        <f t="shared" si="49"/>
        <v>PINK FAIRY CAKE CHILD'S APRON [47591D]</v>
      </c>
    </row>
    <row r="3179" spans="1:9" x14ac:dyDescent="0.3">
      <c r="A3179" s="1" t="s">
        <v>2766</v>
      </c>
      <c r="B3179" t="s">
        <v>2765</v>
      </c>
      <c r="C3179" s="1">
        <v>4.17</v>
      </c>
      <c r="D3179" s="1">
        <v>4</v>
      </c>
      <c r="E3179" s="1">
        <v>4</v>
      </c>
      <c r="F3179" s="1">
        <v>2</v>
      </c>
      <c r="G3179" s="1">
        <v>33.6</v>
      </c>
      <c r="H3179" s="1" t="s">
        <v>8</v>
      </c>
      <c r="I3179" t="str">
        <f t="shared" si="49"/>
        <v>SCOTTIES CHILDRENS APRON [47591b]</v>
      </c>
    </row>
    <row r="3180" spans="1:9" x14ac:dyDescent="0.3">
      <c r="A3180" s="1" t="s">
        <v>2764</v>
      </c>
      <c r="B3180" t="s">
        <v>2763</v>
      </c>
      <c r="C3180" s="1">
        <v>4.21</v>
      </c>
      <c r="D3180" s="1">
        <v>2</v>
      </c>
      <c r="E3180" s="1">
        <v>2</v>
      </c>
      <c r="F3180" s="1">
        <v>2</v>
      </c>
      <c r="G3180" s="1">
        <v>16.84</v>
      </c>
      <c r="H3180" s="1" t="s">
        <v>8</v>
      </c>
      <c r="I3180" t="str">
        <f t="shared" si="49"/>
        <v>BLUE FAIRY CAKE CHILD'S APRON [47591c]</v>
      </c>
    </row>
    <row r="3181" spans="1:9" x14ac:dyDescent="0.3">
      <c r="A3181" s="1" t="s">
        <v>2762</v>
      </c>
      <c r="B3181" t="s">
        <v>2761</v>
      </c>
      <c r="C3181" s="1">
        <v>4.96</v>
      </c>
      <c r="D3181" s="1">
        <v>10</v>
      </c>
      <c r="E3181" s="2">
        <v>19.4615384615384</v>
      </c>
      <c r="F3181" s="1">
        <v>13</v>
      </c>
      <c r="G3181" s="1">
        <v>1274.3800000000001</v>
      </c>
      <c r="H3181" s="1" t="s">
        <v>9</v>
      </c>
      <c r="I3181" t="str">
        <f t="shared" si="49"/>
        <v>PINK FAIRY CAKE CHILDRENS APRON [47591d]</v>
      </c>
    </row>
    <row r="3182" spans="1:9" x14ac:dyDescent="0.3">
      <c r="A3182" s="1" t="s">
        <v>2760</v>
      </c>
      <c r="B3182" t="s">
        <v>2759</v>
      </c>
      <c r="C3182" s="1">
        <v>1.93</v>
      </c>
      <c r="D3182" s="1">
        <v>31</v>
      </c>
      <c r="E3182" s="2">
        <v>30.090909090909001</v>
      </c>
      <c r="F3182" s="1">
        <v>10</v>
      </c>
      <c r="G3182" s="1">
        <v>637.37</v>
      </c>
      <c r="H3182" s="1" t="s">
        <v>9</v>
      </c>
      <c r="I3182" t="str">
        <f t="shared" si="49"/>
        <v>CAROUSEL DES CHILD'S OVERALL [47592A]</v>
      </c>
    </row>
    <row r="3183" spans="1:9" x14ac:dyDescent="0.3">
      <c r="A3183" s="1" t="s">
        <v>2758</v>
      </c>
      <c r="B3183" t="s">
        <v>2757</v>
      </c>
      <c r="C3183" s="1">
        <v>2.1</v>
      </c>
      <c r="D3183" s="1">
        <v>5</v>
      </c>
      <c r="E3183" s="1">
        <v>8.375</v>
      </c>
      <c r="F3183" s="1">
        <v>8</v>
      </c>
      <c r="G3183" s="1">
        <v>131.9</v>
      </c>
      <c r="H3183" s="1" t="s">
        <v>8</v>
      </c>
      <c r="I3183" t="str">
        <f t="shared" si="49"/>
        <v>SCOTTIES DESIGN CHILD'S OVERALL [47592B]</v>
      </c>
    </row>
    <row r="3184" spans="1:9" x14ac:dyDescent="0.3">
      <c r="A3184" s="1" t="s">
        <v>2756</v>
      </c>
      <c r="B3184" t="s">
        <v>2752</v>
      </c>
      <c r="C3184" s="1">
        <v>1.25</v>
      </c>
      <c r="D3184" s="1">
        <v>7.5</v>
      </c>
      <c r="E3184" s="1">
        <v>17.1875</v>
      </c>
      <c r="F3184" s="1">
        <v>15</v>
      </c>
      <c r="G3184" s="1">
        <v>298.55</v>
      </c>
      <c r="H3184" s="1" t="s">
        <v>8</v>
      </c>
      <c r="I3184" t="str">
        <f t="shared" si="49"/>
        <v>CAROUSEL DESIGN BABY BIB [47593A]</v>
      </c>
    </row>
    <row r="3185" spans="1:9" x14ac:dyDescent="0.3">
      <c r="A3185" s="1" t="s">
        <v>2755</v>
      </c>
      <c r="B3185" t="s">
        <v>2754</v>
      </c>
      <c r="C3185" s="1">
        <v>0.88</v>
      </c>
      <c r="D3185" s="1">
        <v>44</v>
      </c>
      <c r="E3185" s="2">
        <v>90.038461538461505</v>
      </c>
      <c r="F3185" s="1">
        <v>25</v>
      </c>
      <c r="G3185" s="1">
        <v>1320.99</v>
      </c>
      <c r="H3185" s="1" t="s">
        <v>9</v>
      </c>
      <c r="I3185" t="str">
        <f t="shared" si="49"/>
        <v>SCOTTIES DESIGN BABY BIB [47593B]</v>
      </c>
    </row>
    <row r="3186" spans="1:9" x14ac:dyDescent="0.3">
      <c r="A3186" s="1" t="s">
        <v>2753</v>
      </c>
      <c r="B3186" t="s">
        <v>2752</v>
      </c>
      <c r="C3186" s="1">
        <v>2.5099999999999998</v>
      </c>
      <c r="D3186" s="1">
        <v>1</v>
      </c>
      <c r="E3186" s="1">
        <v>1</v>
      </c>
      <c r="F3186" s="1">
        <v>1</v>
      </c>
      <c r="G3186" s="1">
        <v>2.5099999999999998</v>
      </c>
      <c r="H3186" s="1" t="s">
        <v>8</v>
      </c>
      <c r="I3186" t="str">
        <f t="shared" si="49"/>
        <v>CAROUSEL DESIGN BABY BIB [47593a]</v>
      </c>
    </row>
    <row r="3187" spans="1:9" x14ac:dyDescent="0.3">
      <c r="A3187" s="1" t="s">
        <v>2751</v>
      </c>
      <c r="B3187" t="s">
        <v>2750</v>
      </c>
      <c r="C3187" s="1">
        <v>0.83</v>
      </c>
      <c r="D3187" s="1">
        <v>6</v>
      </c>
      <c r="E3187" s="1">
        <v>6</v>
      </c>
      <c r="F3187" s="1">
        <v>1</v>
      </c>
      <c r="G3187" s="1">
        <v>4.9800000000000004</v>
      </c>
      <c r="H3187" s="1" t="s">
        <v>8</v>
      </c>
      <c r="I3187" t="str">
        <f t="shared" si="49"/>
        <v>SCOTTIE DOGS BABY BIB [47593b]</v>
      </c>
    </row>
    <row r="3188" spans="1:9" x14ac:dyDescent="0.3">
      <c r="A3188" s="1" t="s">
        <v>2749</v>
      </c>
      <c r="B3188" t="s">
        <v>2745</v>
      </c>
      <c r="C3188" s="1">
        <v>1.95</v>
      </c>
      <c r="D3188" s="1">
        <v>11</v>
      </c>
      <c r="E3188" s="1">
        <v>17.2</v>
      </c>
      <c r="F3188" s="1">
        <v>20</v>
      </c>
      <c r="G3188" s="1">
        <v>678.3</v>
      </c>
      <c r="H3188" s="1" t="s">
        <v>9</v>
      </c>
      <c r="I3188" t="str">
        <f t="shared" si="49"/>
        <v>CAROUSEL DESIGN WASHBAG [47594A]</v>
      </c>
    </row>
    <row r="3189" spans="1:9" x14ac:dyDescent="0.3">
      <c r="A3189" s="1" t="s">
        <v>2748</v>
      </c>
      <c r="B3189" t="s">
        <v>2747</v>
      </c>
      <c r="C3189" s="1">
        <v>1.95</v>
      </c>
      <c r="D3189" s="1">
        <v>7</v>
      </c>
      <c r="E3189" s="1">
        <v>17</v>
      </c>
      <c r="F3189" s="1">
        <v>24</v>
      </c>
      <c r="G3189" s="1">
        <v>808.39</v>
      </c>
      <c r="H3189" s="1" t="s">
        <v>8</v>
      </c>
      <c r="I3189" t="str">
        <f t="shared" si="49"/>
        <v>SCOTTIES DESIGN WASHBAG [47594B]</v>
      </c>
    </row>
    <row r="3190" spans="1:9" x14ac:dyDescent="0.3">
      <c r="A3190" s="1" t="s">
        <v>2746</v>
      </c>
      <c r="B3190" t="s">
        <v>2745</v>
      </c>
      <c r="C3190" s="1">
        <v>4.21</v>
      </c>
      <c r="D3190" s="1">
        <v>1</v>
      </c>
      <c r="E3190" s="1">
        <v>1</v>
      </c>
      <c r="F3190" s="1">
        <v>1</v>
      </c>
      <c r="G3190" s="1">
        <v>4.21</v>
      </c>
      <c r="H3190" s="1" t="s">
        <v>8</v>
      </c>
      <c r="I3190" t="str">
        <f t="shared" si="49"/>
        <v>CAROUSEL DESIGN WASHBAG [47594a]</v>
      </c>
    </row>
    <row r="3191" spans="1:9" x14ac:dyDescent="0.3">
      <c r="A3191" s="1">
        <v>47597</v>
      </c>
      <c r="B3191" t="s">
        <v>2744</v>
      </c>
      <c r="C3191" s="1">
        <v>2.0350000000000001</v>
      </c>
      <c r="D3191" s="1">
        <v>46.5</v>
      </c>
      <c r="E3191" s="1">
        <v>40.25</v>
      </c>
      <c r="F3191" s="1">
        <v>8</v>
      </c>
      <c r="G3191" s="1">
        <v>644.88</v>
      </c>
      <c r="H3191" s="1" t="s">
        <v>9</v>
      </c>
      <c r="I3191" t="str">
        <f t="shared" si="49"/>
        <v>NEW ENGLAND TEATOWELS [47597]</v>
      </c>
    </row>
    <row r="3192" spans="1:9" x14ac:dyDescent="0.3">
      <c r="A3192" s="1">
        <v>47598</v>
      </c>
      <c r="B3192" t="s">
        <v>2743</v>
      </c>
      <c r="C3192" s="1">
        <v>0.64</v>
      </c>
      <c r="D3192" s="1">
        <v>17</v>
      </c>
      <c r="E3192" s="2">
        <v>19.714285714285701</v>
      </c>
      <c r="F3192" s="1">
        <v>7</v>
      </c>
      <c r="G3192" s="1">
        <v>89.12</v>
      </c>
      <c r="H3192" s="1" t="s">
        <v>9</v>
      </c>
      <c r="I3192" t="str">
        <f t="shared" si="49"/>
        <v>NEW ENGLAND EGG WARMER [47598]</v>
      </c>
    </row>
    <row r="3193" spans="1:9" x14ac:dyDescent="0.3">
      <c r="A3193" s="1" t="s">
        <v>2742</v>
      </c>
      <c r="B3193" t="s">
        <v>2741</v>
      </c>
      <c r="C3193" s="1">
        <v>1.89</v>
      </c>
      <c r="D3193" s="1">
        <v>239</v>
      </c>
      <c r="E3193" s="1">
        <v>248.625</v>
      </c>
      <c r="F3193" s="1">
        <v>24</v>
      </c>
      <c r="G3193" s="1">
        <v>11180.57</v>
      </c>
      <c r="H3193" s="1" t="s">
        <v>10</v>
      </c>
      <c r="I3193" t="str">
        <f t="shared" si="49"/>
        <v>PINK PARTY BAGS [47599A]</v>
      </c>
    </row>
    <row r="3194" spans="1:9" x14ac:dyDescent="0.3">
      <c r="A3194" s="1" t="s">
        <v>2740</v>
      </c>
      <c r="B3194" t="s">
        <v>2739</v>
      </c>
      <c r="C3194" s="1">
        <v>1.915</v>
      </c>
      <c r="D3194" s="1">
        <v>153</v>
      </c>
      <c r="E3194" s="1">
        <v>145.5</v>
      </c>
      <c r="F3194" s="1">
        <v>24</v>
      </c>
      <c r="G3194" s="1">
        <v>6662.54</v>
      </c>
      <c r="H3194" s="1" t="s">
        <v>10</v>
      </c>
      <c r="I3194" t="str">
        <f t="shared" si="49"/>
        <v>BLUE PARTY BAGS [47599B]</v>
      </c>
    </row>
    <row r="3195" spans="1:9" x14ac:dyDescent="0.3">
      <c r="A3195" s="1">
        <v>48103</v>
      </c>
      <c r="B3195" t="s">
        <v>2738</v>
      </c>
      <c r="C3195" s="1">
        <v>7.49</v>
      </c>
      <c r="D3195" s="1">
        <v>2</v>
      </c>
      <c r="E3195" s="1">
        <v>5</v>
      </c>
      <c r="F3195" s="1">
        <v>7</v>
      </c>
      <c r="G3195" s="1">
        <v>201.73</v>
      </c>
      <c r="H3195" s="1" t="s">
        <v>8</v>
      </c>
      <c r="I3195" t="str">
        <f t="shared" si="49"/>
        <v>DOOR MAT KISS MY....... [48103]</v>
      </c>
    </row>
    <row r="3196" spans="1:9" x14ac:dyDescent="0.3">
      <c r="A3196" s="1">
        <v>48111</v>
      </c>
      <c r="B3196" t="s">
        <v>2737</v>
      </c>
      <c r="C3196" s="1">
        <v>7.49</v>
      </c>
      <c r="D3196" s="1">
        <v>81</v>
      </c>
      <c r="E3196" s="2">
        <v>157.333333333333</v>
      </c>
      <c r="F3196" s="1">
        <v>25</v>
      </c>
      <c r="G3196" s="1">
        <v>25970</v>
      </c>
      <c r="H3196" s="1" t="s">
        <v>10</v>
      </c>
      <c r="I3196" t="str">
        <f t="shared" si="49"/>
        <v>DOOR MAT 3 SMILEY CATS [48111]</v>
      </c>
    </row>
    <row r="3197" spans="1:9" x14ac:dyDescent="0.3">
      <c r="A3197" s="1">
        <v>48116</v>
      </c>
      <c r="B3197" t="s">
        <v>2736</v>
      </c>
      <c r="C3197" s="1">
        <v>7.2750000000000004</v>
      </c>
      <c r="D3197" s="1">
        <v>95.5</v>
      </c>
      <c r="E3197" s="2">
        <v>132.76923076923001</v>
      </c>
      <c r="F3197" s="1">
        <v>25</v>
      </c>
      <c r="G3197" s="1">
        <v>20712.63</v>
      </c>
      <c r="H3197" s="1" t="s">
        <v>10</v>
      </c>
      <c r="I3197" t="str">
        <f t="shared" si="49"/>
        <v>DOOR MAT MULTICOLOUR STRIPE [48116]</v>
      </c>
    </row>
    <row r="3198" spans="1:9" x14ac:dyDescent="0.3">
      <c r="A3198" s="1">
        <v>48129</v>
      </c>
      <c r="B3198" t="s">
        <v>2735</v>
      </c>
      <c r="C3198" s="1">
        <v>7.46</v>
      </c>
      <c r="D3198" s="1">
        <v>69</v>
      </c>
      <c r="E3198" s="2">
        <v>115.814814814814</v>
      </c>
      <c r="F3198" s="1">
        <v>25</v>
      </c>
      <c r="G3198" s="1">
        <v>19608.91</v>
      </c>
      <c r="H3198" s="1" t="s">
        <v>10</v>
      </c>
      <c r="I3198" t="str">
        <f t="shared" si="49"/>
        <v>DOOR MAT TOPIARY [48129]</v>
      </c>
    </row>
    <row r="3199" spans="1:9" x14ac:dyDescent="0.3">
      <c r="A3199" s="1">
        <v>48138</v>
      </c>
      <c r="B3199" t="s">
        <v>2734</v>
      </c>
      <c r="C3199" s="1">
        <v>7.17</v>
      </c>
      <c r="D3199" s="1">
        <v>339</v>
      </c>
      <c r="E3199" s="2">
        <v>373.222222222222</v>
      </c>
      <c r="F3199" s="1">
        <v>25</v>
      </c>
      <c r="G3199" s="1">
        <v>67010.31</v>
      </c>
      <c r="H3199" s="1" t="s">
        <v>10</v>
      </c>
      <c r="I3199" t="str">
        <f t="shared" si="49"/>
        <v>DOOR MAT UNION FLAG [48138]</v>
      </c>
    </row>
    <row r="3200" spans="1:9" x14ac:dyDescent="0.3">
      <c r="A3200" s="1" t="s">
        <v>2733</v>
      </c>
      <c r="B3200" t="s">
        <v>2732</v>
      </c>
      <c r="C3200" s="1">
        <v>6.75</v>
      </c>
      <c r="D3200" s="1">
        <v>1</v>
      </c>
      <c r="E3200" s="1">
        <v>1</v>
      </c>
      <c r="F3200" s="1">
        <v>1</v>
      </c>
      <c r="G3200" s="1">
        <v>6.75</v>
      </c>
      <c r="H3200" s="1" t="s">
        <v>8</v>
      </c>
      <c r="I3200" t="str">
        <f t="shared" si="49"/>
        <v>DOOR MAT BLUE FLOCK [48173A]</v>
      </c>
    </row>
    <row r="3201" spans="1:9" x14ac:dyDescent="0.3">
      <c r="A3201" s="1" t="s">
        <v>2731</v>
      </c>
      <c r="B3201" t="s">
        <v>2729</v>
      </c>
      <c r="C3201" s="1">
        <v>7.28</v>
      </c>
      <c r="D3201" s="1">
        <v>85</v>
      </c>
      <c r="E3201" s="1">
        <v>151</v>
      </c>
      <c r="F3201" s="1">
        <v>25</v>
      </c>
      <c r="G3201" s="1">
        <v>23132.92</v>
      </c>
      <c r="H3201" s="1" t="s">
        <v>10</v>
      </c>
      <c r="I3201" t="str">
        <f t="shared" si="49"/>
        <v>DOOR MAT BLACK FLOCK [48173C]</v>
      </c>
    </row>
    <row r="3202" spans="1:9" x14ac:dyDescent="0.3">
      <c r="A3202" s="1" t="s">
        <v>2730</v>
      </c>
      <c r="B3202" t="s">
        <v>2729</v>
      </c>
      <c r="C3202" s="1">
        <v>16.63</v>
      </c>
      <c r="D3202" s="1">
        <v>3</v>
      </c>
      <c r="E3202" s="1">
        <v>5</v>
      </c>
      <c r="F3202" s="1">
        <v>13</v>
      </c>
      <c r="G3202" s="1">
        <v>1123.55</v>
      </c>
      <c r="H3202" s="1" t="s">
        <v>8</v>
      </c>
      <c r="I3202" t="str">
        <f t="shared" si="49"/>
        <v>DOOR MAT BLACK FLOCK [48173c]</v>
      </c>
    </row>
    <row r="3203" spans="1:9" x14ac:dyDescent="0.3">
      <c r="A3203" s="1">
        <v>48175</v>
      </c>
      <c r="B3203" t="s">
        <v>2728</v>
      </c>
      <c r="C3203" s="1">
        <v>4.05</v>
      </c>
      <c r="D3203" s="1">
        <v>39</v>
      </c>
      <c r="E3203" s="1">
        <v>39</v>
      </c>
      <c r="F3203" s="1">
        <v>1</v>
      </c>
      <c r="G3203" s="1">
        <v>158.04</v>
      </c>
      <c r="H3203" s="1" t="s">
        <v>9</v>
      </c>
      <c r="I3203" t="str">
        <f t="shared" ref="I3203:I3266" si="50">B3203&amp;" ["&amp;A3203&amp;"]"</f>
        <v>DOOR MAT CAMOUFLAGE [48175]</v>
      </c>
    </row>
    <row r="3204" spans="1:9" x14ac:dyDescent="0.3">
      <c r="A3204" s="1">
        <v>48179</v>
      </c>
      <c r="B3204" t="s">
        <v>2727</v>
      </c>
      <c r="C3204" s="1">
        <v>6.31</v>
      </c>
      <c r="D3204" s="1">
        <v>34</v>
      </c>
      <c r="E3204" s="1">
        <v>34</v>
      </c>
      <c r="F3204" s="1">
        <v>1</v>
      </c>
      <c r="G3204" s="1">
        <v>214.47</v>
      </c>
      <c r="H3204" s="1" t="s">
        <v>9</v>
      </c>
      <c r="I3204" t="str">
        <f t="shared" si="50"/>
        <v>DOOR MAT SWEET HOME [48179]</v>
      </c>
    </row>
    <row r="3205" spans="1:9" x14ac:dyDescent="0.3">
      <c r="A3205" s="1">
        <v>48184</v>
      </c>
      <c r="B3205" t="s">
        <v>2726</v>
      </c>
      <c r="C3205" s="1">
        <v>7.18</v>
      </c>
      <c r="D3205" s="1">
        <v>149</v>
      </c>
      <c r="E3205" s="2">
        <v>174.62962962962899</v>
      </c>
      <c r="F3205" s="1">
        <v>25</v>
      </c>
      <c r="G3205" s="1">
        <v>31142.63</v>
      </c>
      <c r="H3205" s="1" t="s">
        <v>10</v>
      </c>
      <c r="I3205" t="str">
        <f t="shared" si="50"/>
        <v>DOOR MAT ENGLISH ROSE [48184]</v>
      </c>
    </row>
    <row r="3206" spans="1:9" x14ac:dyDescent="0.3">
      <c r="A3206" s="1">
        <v>48185</v>
      </c>
      <c r="B3206" t="s">
        <v>2725</v>
      </c>
      <c r="C3206" s="1">
        <v>7.38</v>
      </c>
      <c r="D3206" s="1">
        <v>191</v>
      </c>
      <c r="E3206" s="2">
        <v>252.666666666666</v>
      </c>
      <c r="F3206" s="1">
        <v>25</v>
      </c>
      <c r="G3206" s="1">
        <v>45723.839999999997</v>
      </c>
      <c r="H3206" s="1" t="s">
        <v>10</v>
      </c>
      <c r="I3206" t="str">
        <f t="shared" si="50"/>
        <v>DOOR MAT FAIRY CAKE [48185]</v>
      </c>
    </row>
    <row r="3207" spans="1:9" x14ac:dyDescent="0.3">
      <c r="A3207" s="1">
        <v>48187</v>
      </c>
      <c r="B3207" t="s">
        <v>2724</v>
      </c>
      <c r="C3207" s="1">
        <v>7</v>
      </c>
      <c r="D3207" s="1">
        <v>250</v>
      </c>
      <c r="E3207" s="2">
        <v>270.888888888888</v>
      </c>
      <c r="F3207" s="1">
        <v>25</v>
      </c>
      <c r="G3207" s="1">
        <v>46405.4</v>
      </c>
      <c r="H3207" s="1" t="s">
        <v>10</v>
      </c>
      <c r="I3207" t="str">
        <f t="shared" si="50"/>
        <v>DOOR MAT NEW ENGLAND [48187]</v>
      </c>
    </row>
    <row r="3208" spans="1:9" x14ac:dyDescent="0.3">
      <c r="A3208" s="1">
        <v>48188</v>
      </c>
      <c r="B3208" t="s">
        <v>2723</v>
      </c>
      <c r="C3208" s="1">
        <v>7.49</v>
      </c>
      <c r="D3208" s="1">
        <v>102</v>
      </c>
      <c r="E3208" s="2">
        <v>180.444444444444</v>
      </c>
      <c r="F3208" s="1">
        <v>25</v>
      </c>
      <c r="G3208" s="1">
        <v>28639.1</v>
      </c>
      <c r="H3208" s="1" t="s">
        <v>10</v>
      </c>
      <c r="I3208" t="str">
        <f t="shared" si="50"/>
        <v>DOOR MAT WELCOME PUPPIES [48188]</v>
      </c>
    </row>
    <row r="3209" spans="1:9" x14ac:dyDescent="0.3">
      <c r="A3209" s="1">
        <v>48189</v>
      </c>
      <c r="B3209" t="s">
        <v>2722</v>
      </c>
      <c r="C3209" s="1">
        <v>7.59</v>
      </c>
      <c r="D3209" s="1">
        <v>39</v>
      </c>
      <c r="E3209" s="2">
        <v>69.5263157894736</v>
      </c>
      <c r="F3209" s="1">
        <v>17</v>
      </c>
      <c r="G3209" s="1">
        <v>8470.2800000000007</v>
      </c>
      <c r="H3209" s="1" t="s">
        <v>9</v>
      </c>
      <c r="I3209" t="str">
        <f t="shared" si="50"/>
        <v>DOOR MAT FRIENDSHIP [48189]</v>
      </c>
    </row>
    <row r="3210" spans="1:9" x14ac:dyDescent="0.3">
      <c r="A3210" s="1">
        <v>48194</v>
      </c>
      <c r="B3210" t="s">
        <v>2721</v>
      </c>
      <c r="C3210" s="1">
        <v>7.16</v>
      </c>
      <c r="D3210" s="1">
        <v>212.5</v>
      </c>
      <c r="E3210" s="2">
        <v>275.92857142857099</v>
      </c>
      <c r="F3210" s="1">
        <v>25</v>
      </c>
      <c r="G3210" s="1">
        <v>48726.559999999998</v>
      </c>
      <c r="H3210" s="1" t="s">
        <v>10</v>
      </c>
      <c r="I3210" t="str">
        <f t="shared" si="50"/>
        <v>DOORMAT HEARTS [48194]</v>
      </c>
    </row>
    <row r="3211" spans="1:9" x14ac:dyDescent="0.3">
      <c r="A3211" s="1">
        <v>48195</v>
      </c>
      <c r="B3211" t="s">
        <v>2720</v>
      </c>
      <c r="C3211" s="1">
        <v>7.625</v>
      </c>
      <c r="D3211" s="1">
        <v>23.5</v>
      </c>
      <c r="E3211" s="1">
        <v>33.625</v>
      </c>
      <c r="F3211" s="1">
        <v>8</v>
      </c>
      <c r="G3211" s="1">
        <v>1627.99</v>
      </c>
      <c r="H3211" s="1" t="s">
        <v>9</v>
      </c>
      <c r="I3211" t="str">
        <f t="shared" si="50"/>
        <v>DOOR MAT GREEN PAISLEY [48195]</v>
      </c>
    </row>
    <row r="3212" spans="1:9" x14ac:dyDescent="0.3">
      <c r="A3212" s="1">
        <v>48197</v>
      </c>
      <c r="B3212" t="s">
        <v>2719</v>
      </c>
      <c r="C3212" s="1">
        <v>7.71</v>
      </c>
      <c r="D3212" s="1">
        <v>80</v>
      </c>
      <c r="E3212" s="2">
        <v>99.7777777777777</v>
      </c>
      <c r="F3212" s="1">
        <v>8</v>
      </c>
      <c r="G3212" s="1">
        <v>5905.64</v>
      </c>
      <c r="H3212" s="1" t="s">
        <v>10</v>
      </c>
      <c r="I3212" t="str">
        <f t="shared" si="50"/>
        <v>DOOR MAT BIRD ON THE WIRE [48197]</v>
      </c>
    </row>
    <row r="3213" spans="1:9" x14ac:dyDescent="0.3">
      <c r="A3213" s="1">
        <v>51008</v>
      </c>
      <c r="B3213" t="s">
        <v>2718</v>
      </c>
      <c r="C3213" s="1">
        <v>3.45</v>
      </c>
      <c r="D3213" s="1">
        <v>45</v>
      </c>
      <c r="E3213" s="2">
        <v>144.666666666666</v>
      </c>
      <c r="F3213" s="1">
        <v>18</v>
      </c>
      <c r="G3213" s="1">
        <v>8378.7999999999993</v>
      </c>
      <c r="H3213" s="1" t="s">
        <v>9</v>
      </c>
      <c r="I3213" t="str">
        <f t="shared" si="50"/>
        <v>AFGHAN SLIPPER SOCK PAIR [51008]</v>
      </c>
    </row>
    <row r="3214" spans="1:9" x14ac:dyDescent="0.3">
      <c r="A3214" s="1" t="s">
        <v>2717</v>
      </c>
      <c r="B3214" t="s">
        <v>2716</v>
      </c>
      <c r="C3214" s="1">
        <v>1.25</v>
      </c>
      <c r="D3214" s="1">
        <v>10</v>
      </c>
      <c r="E3214" s="1">
        <v>57</v>
      </c>
      <c r="F3214" s="1">
        <v>3</v>
      </c>
      <c r="G3214" s="1">
        <v>213.75</v>
      </c>
      <c r="H3214" s="1" t="s">
        <v>9</v>
      </c>
      <c r="I3214" t="str">
        <f t="shared" si="50"/>
        <v>FEATHER DUSTER, COAL BLACK [51012C]</v>
      </c>
    </row>
    <row r="3215" spans="1:9" x14ac:dyDescent="0.3">
      <c r="A3215" s="1" t="s">
        <v>2715</v>
      </c>
      <c r="B3215" t="s">
        <v>2714</v>
      </c>
      <c r="C3215" s="1">
        <v>1.25</v>
      </c>
      <c r="D3215" s="1">
        <v>10</v>
      </c>
      <c r="E3215" s="1">
        <v>10</v>
      </c>
      <c r="F3215" s="1">
        <v>1</v>
      </c>
      <c r="G3215" s="1">
        <v>12.5</v>
      </c>
      <c r="H3215" s="1" t="s">
        <v>9</v>
      </c>
      <c r="I3215" t="str">
        <f t="shared" si="50"/>
        <v>FEATHER DUSTER, LIGHT PINK [51012L]</v>
      </c>
    </row>
    <row r="3216" spans="1:9" x14ac:dyDescent="0.3">
      <c r="A3216" s="1" t="s">
        <v>2713</v>
      </c>
      <c r="B3216" t="s">
        <v>2712</v>
      </c>
      <c r="C3216" s="1">
        <v>0.86</v>
      </c>
      <c r="D3216" s="1">
        <v>170</v>
      </c>
      <c r="E3216" s="1">
        <v>266.83999999999997</v>
      </c>
      <c r="F3216" s="1">
        <v>25</v>
      </c>
      <c r="G3216" s="1">
        <v>4556.5</v>
      </c>
      <c r="H3216" s="1" t="s">
        <v>10</v>
      </c>
      <c r="I3216" t="str">
        <f t="shared" si="50"/>
        <v>FEATHER PEN,HOT PINK [51014A]</v>
      </c>
    </row>
    <row r="3217" spans="1:9" x14ac:dyDescent="0.3">
      <c r="A3217" s="1" t="s">
        <v>2711</v>
      </c>
      <c r="B3217" t="s">
        <v>2707</v>
      </c>
      <c r="C3217" s="1">
        <v>0.86</v>
      </c>
      <c r="D3217" s="1">
        <v>132</v>
      </c>
      <c r="E3217" s="1">
        <v>170.72</v>
      </c>
      <c r="F3217" s="1">
        <v>25</v>
      </c>
      <c r="G3217" s="1">
        <v>2751.5</v>
      </c>
      <c r="H3217" s="1" t="s">
        <v>10</v>
      </c>
      <c r="I3217" t="str">
        <f t="shared" si="50"/>
        <v>FEATHER PEN,COAL BLACK [51014C]</v>
      </c>
    </row>
    <row r="3218" spans="1:9" x14ac:dyDescent="0.3">
      <c r="A3218" s="1" t="s">
        <v>2710</v>
      </c>
      <c r="B3218" t="s">
        <v>2709</v>
      </c>
      <c r="C3218" s="1">
        <v>0.85</v>
      </c>
      <c r="D3218" s="1">
        <v>107</v>
      </c>
      <c r="E3218" s="2">
        <v>143.541666666666</v>
      </c>
      <c r="F3218" s="1">
        <v>24</v>
      </c>
      <c r="G3218" s="1">
        <v>2222.35</v>
      </c>
      <c r="H3218" s="1" t="s">
        <v>10</v>
      </c>
      <c r="I3218" t="str">
        <f t="shared" si="50"/>
        <v>FEATHER PEN,LIGHT PINK [51014L]</v>
      </c>
    </row>
    <row r="3219" spans="1:9" x14ac:dyDescent="0.3">
      <c r="A3219" s="1" t="s">
        <v>2708</v>
      </c>
      <c r="B3219" t="s">
        <v>2707</v>
      </c>
      <c r="C3219" s="1">
        <v>0.83</v>
      </c>
      <c r="D3219" s="1">
        <v>1</v>
      </c>
      <c r="E3219" s="1">
        <v>1</v>
      </c>
      <c r="F3219" s="1">
        <v>1</v>
      </c>
      <c r="G3219" s="1">
        <v>0.83</v>
      </c>
      <c r="H3219" s="1" t="s">
        <v>8</v>
      </c>
      <c r="I3219" t="str">
        <f t="shared" si="50"/>
        <v>FEATHER PEN,COAL BLACK [51014c]</v>
      </c>
    </row>
    <row r="3220" spans="1:9" x14ac:dyDescent="0.3">
      <c r="A3220" s="1" t="s">
        <v>2706</v>
      </c>
      <c r="B3220" t="s">
        <v>2705</v>
      </c>
      <c r="C3220" s="1">
        <v>1.25</v>
      </c>
      <c r="D3220" s="1">
        <v>5</v>
      </c>
      <c r="E3220" s="2">
        <v>19.909090909090899</v>
      </c>
      <c r="F3220" s="1">
        <v>11</v>
      </c>
      <c r="G3220" s="1">
        <v>135.51</v>
      </c>
      <c r="H3220" s="1" t="s">
        <v>8</v>
      </c>
      <c r="I3220" t="str">
        <f t="shared" si="50"/>
        <v>SUMMER FUN DESIGN SHOWER CAP [51020A]</v>
      </c>
    </row>
    <row r="3221" spans="1:9" x14ac:dyDescent="0.3">
      <c r="A3221" s="1" t="s">
        <v>2704</v>
      </c>
      <c r="B3221" t="s">
        <v>2703</v>
      </c>
      <c r="C3221" s="1">
        <v>0.88500000000000001</v>
      </c>
      <c r="D3221" s="1">
        <v>33</v>
      </c>
      <c r="E3221" s="1">
        <v>67.75</v>
      </c>
      <c r="F3221" s="1">
        <v>16</v>
      </c>
      <c r="G3221" s="1">
        <v>488.12</v>
      </c>
      <c r="H3221" s="1" t="s">
        <v>9</v>
      </c>
      <c r="I3221" t="str">
        <f t="shared" si="50"/>
        <v>STRIPY DESIGN SHOWER CAP [51020B]</v>
      </c>
    </row>
    <row r="3222" spans="1:9" x14ac:dyDescent="0.3">
      <c r="A3222" s="1">
        <v>62018</v>
      </c>
      <c r="B3222" t="s">
        <v>2702</v>
      </c>
      <c r="C3222" s="1">
        <v>1.29</v>
      </c>
      <c r="D3222" s="1">
        <v>400</v>
      </c>
      <c r="E3222" s="1">
        <v>382.68</v>
      </c>
      <c r="F3222" s="1">
        <v>25</v>
      </c>
      <c r="G3222" s="1">
        <v>12450.85</v>
      </c>
      <c r="H3222" s="1" t="s">
        <v>10</v>
      </c>
      <c r="I3222" t="str">
        <f t="shared" si="50"/>
        <v>SOMBRERO [62018]</v>
      </c>
    </row>
    <row r="3223" spans="1:9" x14ac:dyDescent="0.3">
      <c r="A3223" s="1" t="s">
        <v>2701</v>
      </c>
      <c r="B3223" t="s">
        <v>2700</v>
      </c>
      <c r="C3223" s="1">
        <v>1.65</v>
      </c>
      <c r="D3223" s="1">
        <v>3</v>
      </c>
      <c r="E3223" s="1">
        <v>10.8</v>
      </c>
      <c r="F3223" s="1">
        <v>5</v>
      </c>
      <c r="G3223" s="1">
        <v>75.16</v>
      </c>
      <c r="H3223" s="1" t="s">
        <v>8</v>
      </c>
      <c r="I3223" t="str">
        <f t="shared" si="50"/>
        <v>BLUE CHECK BAG W HANDLE 34X20CM [62043B]</v>
      </c>
    </row>
    <row r="3224" spans="1:9" x14ac:dyDescent="0.3">
      <c r="A3224" s="1" t="s">
        <v>2699</v>
      </c>
      <c r="B3224" t="s">
        <v>2698</v>
      </c>
      <c r="C3224" s="1">
        <v>0.42</v>
      </c>
      <c r="D3224" s="1">
        <v>3</v>
      </c>
      <c r="E3224" s="2">
        <v>3.4545454545454501</v>
      </c>
      <c r="F3224" s="1">
        <v>11</v>
      </c>
      <c r="G3224" s="1">
        <v>15.96</v>
      </c>
      <c r="H3224" s="1" t="s">
        <v>8</v>
      </c>
      <c r="I3224" t="str">
        <f t="shared" si="50"/>
        <v>ELEPHANT CLIP W SUCTION CUP [62074B]</v>
      </c>
    </row>
    <row r="3225" spans="1:9" x14ac:dyDescent="0.3">
      <c r="A3225" s="1" t="s">
        <v>2697</v>
      </c>
      <c r="B3225" t="s">
        <v>2696</v>
      </c>
      <c r="C3225" s="1">
        <v>1.95</v>
      </c>
      <c r="D3225" s="1">
        <v>6</v>
      </c>
      <c r="E3225" s="2">
        <v>9.4166666666666607</v>
      </c>
      <c r="F3225" s="1">
        <v>12</v>
      </c>
      <c r="G3225" s="1">
        <v>220.35</v>
      </c>
      <c r="H3225" s="1" t="s">
        <v>8</v>
      </c>
      <c r="I3225" t="str">
        <f t="shared" si="50"/>
        <v>PINK RETRO BIG FLOWER BAG [62086A]</v>
      </c>
    </row>
    <row r="3226" spans="1:9" x14ac:dyDescent="0.3">
      <c r="A3226" s="1" t="s">
        <v>2695</v>
      </c>
      <c r="B3226" t="s">
        <v>2694</v>
      </c>
      <c r="C3226" s="1">
        <v>3.86</v>
      </c>
      <c r="D3226" s="1">
        <v>10</v>
      </c>
      <c r="E3226" s="2">
        <v>13.615384615384601</v>
      </c>
      <c r="F3226" s="1">
        <v>13</v>
      </c>
      <c r="G3226" s="1">
        <v>564.09</v>
      </c>
      <c r="H3226" s="1" t="s">
        <v>9</v>
      </c>
      <c r="I3226" t="str">
        <f t="shared" si="50"/>
        <v>TURQ ICE CREAM BUM BAG [62094B]</v>
      </c>
    </row>
    <row r="3227" spans="1:9" x14ac:dyDescent="0.3">
      <c r="A3227" s="1" t="s">
        <v>2693</v>
      </c>
      <c r="B3227" t="s">
        <v>2692</v>
      </c>
      <c r="C3227" s="1">
        <v>1.69</v>
      </c>
      <c r="D3227" s="1">
        <v>12</v>
      </c>
      <c r="E3227" s="2">
        <v>41.714285714285701</v>
      </c>
      <c r="F3227" s="1">
        <v>7</v>
      </c>
      <c r="G3227" s="1">
        <v>310.83</v>
      </c>
      <c r="H3227" s="1" t="s">
        <v>9</v>
      </c>
      <c r="I3227" t="str">
        <f t="shared" si="50"/>
        <v>TURQOISE ICE CREAM SUNHAT [62095B]</v>
      </c>
    </row>
    <row r="3228" spans="1:9" x14ac:dyDescent="0.3">
      <c r="A3228" s="1" t="s">
        <v>2691</v>
      </c>
      <c r="B3228" t="s">
        <v>2690</v>
      </c>
      <c r="C3228" s="2">
        <v>1.7349999999999901</v>
      </c>
      <c r="D3228" s="1">
        <v>18.5</v>
      </c>
      <c r="E3228" s="2">
        <v>27.357142857142801</v>
      </c>
      <c r="F3228" s="1">
        <v>14</v>
      </c>
      <c r="G3228" s="1">
        <v>592.79</v>
      </c>
      <c r="H3228" s="1" t="s">
        <v>9</v>
      </c>
      <c r="I3228" t="str">
        <f t="shared" si="50"/>
        <v>PINK/YELLOW FLOWERS HANDBAG [62096A]</v>
      </c>
    </row>
    <row r="3229" spans="1:9" x14ac:dyDescent="0.3">
      <c r="A3229" s="1" t="s">
        <v>2689</v>
      </c>
      <c r="B3229" t="s">
        <v>2688</v>
      </c>
      <c r="C3229" s="1">
        <v>1.7050000000000001</v>
      </c>
      <c r="D3229" s="1">
        <v>11</v>
      </c>
      <c r="E3229" s="2">
        <v>21.3333333333333</v>
      </c>
      <c r="F3229" s="1">
        <v>12</v>
      </c>
      <c r="G3229" s="1">
        <v>433.34</v>
      </c>
      <c r="H3229" s="1" t="s">
        <v>9</v>
      </c>
      <c r="I3229" t="str">
        <f t="shared" si="50"/>
        <v>PURPLE/TURQ FLOWERS HANDBAG [62096B]</v>
      </c>
    </row>
    <row r="3230" spans="1:9" x14ac:dyDescent="0.3">
      <c r="A3230" s="1" t="s">
        <v>2687</v>
      </c>
      <c r="B3230" t="s">
        <v>2686</v>
      </c>
      <c r="C3230" s="1">
        <v>2.95</v>
      </c>
      <c r="D3230" s="1">
        <v>1</v>
      </c>
      <c r="E3230" s="1">
        <v>1</v>
      </c>
      <c r="F3230" s="1">
        <v>3</v>
      </c>
      <c r="G3230" s="2">
        <v>8.85</v>
      </c>
      <c r="H3230" s="1" t="s">
        <v>8</v>
      </c>
      <c r="I3230" t="str">
        <f t="shared" si="50"/>
        <v>PINK STRIPES SHOULDER BAG [62097A]</v>
      </c>
    </row>
    <row r="3231" spans="1:9" x14ac:dyDescent="0.3">
      <c r="A3231" s="1" t="s">
        <v>2685</v>
      </c>
      <c r="B3231" t="s">
        <v>2684</v>
      </c>
      <c r="C3231" s="1">
        <v>0.83</v>
      </c>
      <c r="D3231" s="1">
        <v>4.5</v>
      </c>
      <c r="E3231" s="1">
        <v>4.5</v>
      </c>
      <c r="F3231" s="1">
        <v>2</v>
      </c>
      <c r="G3231" s="2">
        <v>7.47</v>
      </c>
      <c r="H3231" s="1" t="s">
        <v>8</v>
      </c>
      <c r="I3231" t="str">
        <f t="shared" si="50"/>
        <v>BLUE STRIPES SHOULDER BAG [62097B]</v>
      </c>
    </row>
    <row r="3232" spans="1:9" x14ac:dyDescent="0.3">
      <c r="A3232" s="1">
        <v>70006</v>
      </c>
      <c r="B3232" t="s">
        <v>2683</v>
      </c>
      <c r="C3232" s="1">
        <v>1.67</v>
      </c>
      <c r="D3232" s="1">
        <v>24</v>
      </c>
      <c r="E3232" s="2">
        <v>192.95652173913001</v>
      </c>
      <c r="F3232" s="1">
        <v>23</v>
      </c>
      <c r="G3232" s="1">
        <v>4139.5600000000004</v>
      </c>
      <c r="H3232" s="1" t="s">
        <v>9</v>
      </c>
      <c r="I3232" t="str">
        <f t="shared" si="50"/>
        <v>LOVE HEART POCKET WARMER [70006]</v>
      </c>
    </row>
    <row r="3233" spans="1:9" x14ac:dyDescent="0.3">
      <c r="A3233" s="1">
        <v>70007</v>
      </c>
      <c r="B3233" t="s">
        <v>2682</v>
      </c>
      <c r="C3233" s="1">
        <v>1.65</v>
      </c>
      <c r="D3233" s="1">
        <v>37</v>
      </c>
      <c r="E3233" s="2">
        <v>68.736842105263094</v>
      </c>
      <c r="F3233" s="1">
        <v>19</v>
      </c>
      <c r="G3233" s="1">
        <v>1684.58</v>
      </c>
      <c r="H3233" s="1" t="s">
        <v>9</v>
      </c>
      <c r="I3233" t="str">
        <f t="shared" si="50"/>
        <v>HI TEC ALPINE HAND WARMER [70007]</v>
      </c>
    </row>
    <row r="3234" spans="1:9" x14ac:dyDescent="0.3">
      <c r="A3234" s="1" t="s">
        <v>2681</v>
      </c>
      <c r="B3234" t="s">
        <v>2680</v>
      </c>
      <c r="C3234" s="2">
        <v>0.45499999999999902</v>
      </c>
      <c r="D3234" s="1">
        <v>247</v>
      </c>
      <c r="E3234" s="1">
        <v>247</v>
      </c>
      <c r="F3234" s="1">
        <v>2</v>
      </c>
      <c r="G3234" s="2">
        <v>227.48</v>
      </c>
      <c r="H3234" s="1" t="s">
        <v>10</v>
      </c>
      <c r="I3234" t="str">
        <f t="shared" si="50"/>
        <v>SILVER BLUE EGG T-LIGHT HOLDER [71028B]</v>
      </c>
    </row>
    <row r="3235" spans="1:9" x14ac:dyDescent="0.3">
      <c r="A3235" s="1">
        <v>71038</v>
      </c>
      <c r="B3235" t="s">
        <v>2679</v>
      </c>
      <c r="C3235" s="1">
        <v>5.45</v>
      </c>
      <c r="D3235" s="1">
        <v>30</v>
      </c>
      <c r="E3235" s="2">
        <v>31.173913043478201</v>
      </c>
      <c r="F3235" s="1">
        <v>23</v>
      </c>
      <c r="G3235" s="1">
        <v>3789.25</v>
      </c>
      <c r="H3235" s="1" t="s">
        <v>9</v>
      </c>
      <c r="I3235" t="str">
        <f t="shared" si="50"/>
        <v>WHITE HANGING BEADS CANDLE HOLDER [71038]</v>
      </c>
    </row>
    <row r="3236" spans="1:9" x14ac:dyDescent="0.3">
      <c r="A3236" s="1">
        <v>71050</v>
      </c>
      <c r="B3236" t="s">
        <v>2678</v>
      </c>
      <c r="C3236" s="1">
        <v>0.35</v>
      </c>
      <c r="D3236" s="1">
        <v>6</v>
      </c>
      <c r="E3236" s="1">
        <v>8.5</v>
      </c>
      <c r="F3236" s="1">
        <v>6</v>
      </c>
      <c r="G3236" s="1">
        <v>17.850000000000001</v>
      </c>
      <c r="H3236" s="1" t="s">
        <v>8</v>
      </c>
      <c r="I3236" t="str">
        <f t="shared" si="50"/>
        <v>SMALL SINGLE FLAME CANDLE HOLDER [71050]</v>
      </c>
    </row>
    <row r="3237" spans="1:9" x14ac:dyDescent="0.3">
      <c r="A3237" s="1">
        <v>71053</v>
      </c>
      <c r="B3237" t="s">
        <v>2677</v>
      </c>
      <c r="C3237" s="1">
        <v>3.88</v>
      </c>
      <c r="D3237" s="1">
        <v>145</v>
      </c>
      <c r="E3237" s="2">
        <v>183.423076923076</v>
      </c>
      <c r="F3237" s="1">
        <v>25</v>
      </c>
      <c r="G3237" s="1">
        <v>18906.77</v>
      </c>
      <c r="H3237" s="1" t="s">
        <v>10</v>
      </c>
      <c r="I3237" t="str">
        <f t="shared" si="50"/>
        <v>WHITE METAL LANTERN [71053]</v>
      </c>
    </row>
    <row r="3238" spans="1:9" x14ac:dyDescent="0.3">
      <c r="A3238" s="1" t="s">
        <v>2676</v>
      </c>
      <c r="B3238" t="s">
        <v>2675</v>
      </c>
      <c r="C3238" s="1">
        <v>0.85</v>
      </c>
      <c r="D3238" s="1">
        <v>6</v>
      </c>
      <c r="E3238" s="1">
        <v>6</v>
      </c>
      <c r="F3238" s="1">
        <v>1</v>
      </c>
      <c r="G3238" s="1">
        <v>5.0999999999999996</v>
      </c>
      <c r="H3238" s="1" t="s">
        <v>8</v>
      </c>
      <c r="I3238" t="str">
        <f t="shared" si="50"/>
        <v>ANGEL ON KNEES METAL POLE 100CM H [71101A]</v>
      </c>
    </row>
    <row r="3239" spans="1:9" x14ac:dyDescent="0.3">
      <c r="A3239" s="1" t="s">
        <v>2674</v>
      </c>
      <c r="B3239" t="s">
        <v>2673</v>
      </c>
      <c r="C3239" s="1">
        <v>0.85</v>
      </c>
      <c r="D3239" s="1">
        <v>33</v>
      </c>
      <c r="E3239" s="1">
        <v>38.85</v>
      </c>
      <c r="F3239" s="1">
        <v>20</v>
      </c>
      <c r="G3239" s="1">
        <v>626.13</v>
      </c>
      <c r="H3239" s="1" t="s">
        <v>9</v>
      </c>
      <c r="I3239" t="str">
        <f t="shared" si="50"/>
        <v>STANDING FAIRY POLE SUPPORT [71101E]</v>
      </c>
    </row>
    <row r="3240" spans="1:9" x14ac:dyDescent="0.3">
      <c r="A3240" s="1">
        <v>71143</v>
      </c>
      <c r="B3240" t="s">
        <v>2672</v>
      </c>
      <c r="C3240" s="1">
        <v>2.2149999999999999</v>
      </c>
      <c r="D3240" s="1">
        <v>8.5</v>
      </c>
      <c r="E3240" s="1">
        <v>17.45</v>
      </c>
      <c r="F3240" s="1">
        <v>19</v>
      </c>
      <c r="G3240" s="1">
        <v>514.45000000000005</v>
      </c>
      <c r="H3240" s="1" t="s">
        <v>8</v>
      </c>
      <c r="I3240" t="str">
        <f t="shared" si="50"/>
        <v>SILVER BOOK MARK WITH BEADS [71143]</v>
      </c>
    </row>
    <row r="3241" spans="1:9" x14ac:dyDescent="0.3">
      <c r="A3241" s="1">
        <v>71215</v>
      </c>
      <c r="B3241" t="s">
        <v>2671</v>
      </c>
      <c r="C3241" s="1">
        <v>0.42</v>
      </c>
      <c r="D3241" s="1">
        <v>22</v>
      </c>
      <c r="E3241" s="1">
        <v>22.125</v>
      </c>
      <c r="F3241" s="1">
        <v>8</v>
      </c>
      <c r="G3241" s="1">
        <v>68.099999999999994</v>
      </c>
      <c r="H3241" s="1" t="s">
        <v>9</v>
      </c>
      <c r="I3241" t="str">
        <f t="shared" si="50"/>
        <v>METAL BASE FOR CANDLES [71215]</v>
      </c>
    </row>
    <row r="3242" spans="1:9" x14ac:dyDescent="0.3">
      <c r="A3242" s="1">
        <v>71270</v>
      </c>
      <c r="B3242" t="s">
        <v>2670</v>
      </c>
      <c r="C3242" s="1">
        <v>1.415</v>
      </c>
      <c r="D3242" s="1">
        <v>8</v>
      </c>
      <c r="E3242" s="2">
        <v>15.4166666666666</v>
      </c>
      <c r="F3242" s="1">
        <v>24</v>
      </c>
      <c r="G3242" s="1">
        <v>525.4</v>
      </c>
      <c r="H3242" s="1" t="s">
        <v>8</v>
      </c>
      <c r="I3242" t="str">
        <f t="shared" si="50"/>
        <v>PHOTO CLIP LINE [71270]</v>
      </c>
    </row>
    <row r="3243" spans="1:9" x14ac:dyDescent="0.3">
      <c r="A3243" s="1">
        <v>71279</v>
      </c>
      <c r="B3243" t="s">
        <v>2669</v>
      </c>
      <c r="C3243" s="1">
        <v>3.27</v>
      </c>
      <c r="D3243" s="1">
        <v>12</v>
      </c>
      <c r="E3243" s="2">
        <v>12.7391304347826</v>
      </c>
      <c r="F3243" s="1">
        <v>23</v>
      </c>
      <c r="G3243" s="1">
        <v>972.11</v>
      </c>
      <c r="H3243" s="1" t="s">
        <v>9</v>
      </c>
      <c r="I3243" t="str">
        <f t="shared" si="50"/>
        <v>PINK GLASS CANDLEHOLDER [71279]</v>
      </c>
    </row>
    <row r="3244" spans="1:9" x14ac:dyDescent="0.3">
      <c r="A3244" s="1">
        <v>71403</v>
      </c>
      <c r="B3244" t="s">
        <v>2668</v>
      </c>
      <c r="C3244" s="1">
        <v>3.69</v>
      </c>
      <c r="D3244" s="1">
        <v>4</v>
      </c>
      <c r="E3244" s="2">
        <v>7.6521739130434696</v>
      </c>
      <c r="F3244" s="1">
        <v>23</v>
      </c>
      <c r="G3244" s="1">
        <v>656.05</v>
      </c>
      <c r="H3244" s="1" t="s">
        <v>8</v>
      </c>
      <c r="I3244" t="str">
        <f t="shared" si="50"/>
        <v>PINK/WHITE "KEEP CLEAN" BULLET BIN [71403]</v>
      </c>
    </row>
    <row r="3245" spans="1:9" x14ac:dyDescent="0.3">
      <c r="A3245" s="1" t="s">
        <v>2667</v>
      </c>
      <c r="B3245" t="s">
        <v>2666</v>
      </c>
      <c r="C3245" s="1">
        <v>0.42</v>
      </c>
      <c r="D3245" s="1">
        <v>10</v>
      </c>
      <c r="E3245" s="2">
        <v>11.6666666666666</v>
      </c>
      <c r="F3245" s="1">
        <v>18</v>
      </c>
      <c r="G3245" s="1">
        <v>89.92</v>
      </c>
      <c r="H3245" s="1" t="s">
        <v>9</v>
      </c>
      <c r="I3245" t="str">
        <f t="shared" si="50"/>
        <v>BLACK ORANGE SQUEEZER [71406C]</v>
      </c>
    </row>
    <row r="3246" spans="1:9" x14ac:dyDescent="0.3">
      <c r="A3246" s="1" t="s">
        <v>2665</v>
      </c>
      <c r="B3246" t="s">
        <v>2664</v>
      </c>
      <c r="C3246" s="1">
        <v>2.5499999999999998</v>
      </c>
      <c r="D3246" s="1">
        <v>1</v>
      </c>
      <c r="E3246" s="1">
        <v>1</v>
      </c>
      <c r="F3246" s="1">
        <v>2</v>
      </c>
      <c r="G3246" s="1">
        <v>5.0999999999999996</v>
      </c>
      <c r="H3246" s="1" t="s">
        <v>8</v>
      </c>
      <c r="I3246" t="str">
        <f t="shared" si="50"/>
        <v>BLACK RND BULLET"KEEP CLEAN" BIN [71434B]</v>
      </c>
    </row>
    <row r="3247" spans="1:9" x14ac:dyDescent="0.3">
      <c r="A3247" s="1">
        <v>71459</v>
      </c>
      <c r="B3247" t="s">
        <v>2663</v>
      </c>
      <c r="C3247" s="1">
        <v>0.8</v>
      </c>
      <c r="D3247" s="1">
        <v>1072</v>
      </c>
      <c r="E3247" s="2">
        <v>1221.81481481481</v>
      </c>
      <c r="F3247" s="1">
        <v>25</v>
      </c>
      <c r="G3247" s="1">
        <v>26738.79</v>
      </c>
      <c r="H3247" s="1" t="s">
        <v>10</v>
      </c>
      <c r="I3247" t="str">
        <f t="shared" si="50"/>
        <v>HANGING JAM JAR T-LIGHT HOLDER [71459]</v>
      </c>
    </row>
    <row r="3248" spans="1:9" x14ac:dyDescent="0.3">
      <c r="A3248" s="1">
        <v>71477</v>
      </c>
      <c r="B3248" t="s">
        <v>2662</v>
      </c>
      <c r="C3248" s="1">
        <v>2.94</v>
      </c>
      <c r="D3248" s="1">
        <v>532</v>
      </c>
      <c r="E3248" s="1">
        <v>603.55999999999995</v>
      </c>
      <c r="F3248" s="1">
        <v>24</v>
      </c>
      <c r="G3248" s="1">
        <v>44680.75</v>
      </c>
      <c r="H3248" s="1" t="s">
        <v>10</v>
      </c>
      <c r="I3248" t="str">
        <f t="shared" si="50"/>
        <v>COLOUR GLASS. STAR T-LIGHT HOLDER [71477]</v>
      </c>
    </row>
    <row r="3249" spans="1:9" x14ac:dyDescent="0.3">
      <c r="A3249" s="1" t="s">
        <v>2661</v>
      </c>
      <c r="B3249" t="s">
        <v>2660</v>
      </c>
      <c r="C3249" s="2">
        <v>0.44999999999999901</v>
      </c>
      <c r="D3249" s="1">
        <v>3</v>
      </c>
      <c r="E3249" s="1">
        <v>18.75</v>
      </c>
      <c r="F3249" s="1">
        <v>12</v>
      </c>
      <c r="G3249" s="2">
        <v>87.96</v>
      </c>
      <c r="H3249" s="1" t="s">
        <v>8</v>
      </c>
      <c r="I3249" t="str">
        <f t="shared" si="50"/>
        <v>CD WALL TIDY BLUE OFFICE [71495A]</v>
      </c>
    </row>
    <row r="3250" spans="1:9" x14ac:dyDescent="0.3">
      <c r="A3250" s="1" t="s">
        <v>2659</v>
      </c>
      <c r="B3250" t="s">
        <v>2658</v>
      </c>
      <c r="C3250" s="1">
        <v>0.42</v>
      </c>
      <c r="D3250" s="1">
        <v>8</v>
      </c>
      <c r="E3250" s="1">
        <v>21</v>
      </c>
      <c r="F3250" s="1">
        <v>14</v>
      </c>
      <c r="G3250" s="2">
        <v>111.57</v>
      </c>
      <c r="H3250" s="1" t="s">
        <v>8</v>
      </c>
      <c r="I3250" t="str">
        <f t="shared" si="50"/>
        <v>CD WALL TIDY RED FLOWERS [71495B]</v>
      </c>
    </row>
    <row r="3251" spans="1:9" x14ac:dyDescent="0.3">
      <c r="A3251" s="1" t="s">
        <v>2657</v>
      </c>
      <c r="B3251" t="s">
        <v>2656</v>
      </c>
      <c r="C3251" s="1">
        <v>0.86</v>
      </c>
      <c r="D3251" s="1">
        <v>5</v>
      </c>
      <c r="E3251" s="2">
        <v>18.769230769230699</v>
      </c>
      <c r="F3251" s="1">
        <v>13</v>
      </c>
      <c r="G3251" s="1">
        <v>148.01</v>
      </c>
      <c r="H3251" s="1" t="s">
        <v>8</v>
      </c>
      <c r="I3251" t="str">
        <f t="shared" si="50"/>
        <v>A4 WALL TIDY BLUE OFFICE [71496A]</v>
      </c>
    </row>
    <row r="3252" spans="1:9" x14ac:dyDescent="0.3">
      <c r="A3252" s="1" t="s">
        <v>2655</v>
      </c>
      <c r="B3252" t="s">
        <v>2654</v>
      </c>
      <c r="C3252" s="1">
        <v>0.65</v>
      </c>
      <c r="D3252" s="1">
        <v>1</v>
      </c>
      <c r="E3252" s="1">
        <v>3</v>
      </c>
      <c r="F3252" s="1">
        <v>5</v>
      </c>
      <c r="G3252" s="1">
        <v>8.67</v>
      </c>
      <c r="H3252" s="1" t="s">
        <v>8</v>
      </c>
      <c r="I3252" t="str">
        <f t="shared" si="50"/>
        <v>A4 WALL TIDY RED FLOWERS [71496B]</v>
      </c>
    </row>
    <row r="3253" spans="1:9" x14ac:dyDescent="0.3">
      <c r="A3253" s="1">
        <v>71510</v>
      </c>
      <c r="B3253" t="s">
        <v>2653</v>
      </c>
      <c r="C3253" s="1">
        <v>0.85</v>
      </c>
      <c r="D3253" s="1">
        <v>6.5</v>
      </c>
      <c r="E3253" s="1">
        <v>14.75</v>
      </c>
      <c r="F3253" s="1">
        <v>12</v>
      </c>
      <c r="G3253" s="1">
        <v>112.05</v>
      </c>
      <c r="H3253" s="1" t="s">
        <v>8</v>
      </c>
      <c r="I3253" t="str">
        <f t="shared" si="50"/>
        <v>SQUARE METAL CANDLEHOLDER BASE [71510]</v>
      </c>
    </row>
    <row r="3254" spans="1:9" x14ac:dyDescent="0.3">
      <c r="A3254" s="1">
        <v>72008</v>
      </c>
      <c r="B3254" t="s">
        <v>2652</v>
      </c>
      <c r="C3254" s="1">
        <v>0.40500000000000003</v>
      </c>
      <c r="D3254" s="1">
        <v>314.5</v>
      </c>
      <c r="E3254" s="1">
        <v>318.25</v>
      </c>
      <c r="F3254" s="1">
        <v>12</v>
      </c>
      <c r="G3254" s="1">
        <v>1531.4</v>
      </c>
      <c r="H3254" s="1" t="s">
        <v>10</v>
      </c>
      <c r="I3254" t="str">
        <f t="shared" si="50"/>
        <v>FROSTED BOX 9 WHITE T-LIGHT CANDLES [72008]</v>
      </c>
    </row>
    <row r="3255" spans="1:9" x14ac:dyDescent="0.3">
      <c r="A3255" s="1" t="s">
        <v>2651</v>
      </c>
      <c r="B3255" t="s">
        <v>2650</v>
      </c>
      <c r="C3255" s="1">
        <v>1.26</v>
      </c>
      <c r="D3255" s="1">
        <v>41</v>
      </c>
      <c r="E3255" s="2">
        <v>91.428571428571402</v>
      </c>
      <c r="F3255" s="1">
        <v>7</v>
      </c>
      <c r="G3255" s="1">
        <v>669.62</v>
      </c>
      <c r="H3255" s="1" t="s">
        <v>9</v>
      </c>
      <c r="I3255" t="str">
        <f t="shared" si="50"/>
        <v>RED ORGANIC CANDLE IN GLASS [72023F]</v>
      </c>
    </row>
    <row r="3256" spans="1:9" x14ac:dyDescent="0.3">
      <c r="A3256" s="1" t="s">
        <v>2649</v>
      </c>
      <c r="B3256" t="s">
        <v>2648</v>
      </c>
      <c r="C3256" s="1">
        <v>0.21</v>
      </c>
      <c r="D3256" s="1">
        <v>24</v>
      </c>
      <c r="E3256" s="2">
        <v>24.4444444444444</v>
      </c>
      <c r="F3256" s="1">
        <v>9</v>
      </c>
      <c r="G3256" s="1">
        <v>46.2</v>
      </c>
      <c r="H3256" s="1" t="s">
        <v>9</v>
      </c>
      <c r="I3256" t="str">
        <f t="shared" si="50"/>
        <v>LILAC VOTIVE CANDLE [72024U]</v>
      </c>
    </row>
    <row r="3257" spans="1:9" x14ac:dyDescent="0.3">
      <c r="A3257" s="1" t="s">
        <v>2647</v>
      </c>
      <c r="B3257" t="s">
        <v>2646</v>
      </c>
      <c r="C3257" s="1">
        <v>0.11</v>
      </c>
      <c r="D3257" s="1">
        <v>200</v>
      </c>
      <c r="E3257" s="1">
        <v>150</v>
      </c>
      <c r="F3257" s="1">
        <v>7</v>
      </c>
      <c r="G3257" s="1">
        <v>116.5</v>
      </c>
      <c r="H3257" s="1" t="s">
        <v>10</v>
      </c>
      <c r="I3257" t="str">
        <f t="shared" si="50"/>
        <v>PRICE'S CANDLE PEACH [72038P]</v>
      </c>
    </row>
    <row r="3258" spans="1:9" x14ac:dyDescent="0.3">
      <c r="A3258" s="1" t="s">
        <v>2645</v>
      </c>
      <c r="B3258" t="s">
        <v>2644</v>
      </c>
      <c r="C3258" s="1">
        <v>1.69</v>
      </c>
      <c r="D3258" s="1">
        <v>20</v>
      </c>
      <c r="E3258" s="2">
        <v>179.666666666666</v>
      </c>
      <c r="F3258" s="1">
        <v>3</v>
      </c>
      <c r="G3258" s="1">
        <v>918.65</v>
      </c>
      <c r="H3258" s="1" t="s">
        <v>9</v>
      </c>
      <c r="I3258" t="str">
        <f t="shared" si="50"/>
        <v>ROSES ON BLUE TEACUP CANDLE [72045D]</v>
      </c>
    </row>
    <row r="3259" spans="1:9" x14ac:dyDescent="0.3">
      <c r="A3259" s="1" t="s">
        <v>2643</v>
      </c>
      <c r="B3259" t="s">
        <v>2642</v>
      </c>
      <c r="C3259" s="1">
        <v>0.68500000000000005</v>
      </c>
      <c r="D3259" s="1">
        <v>9.5</v>
      </c>
      <c r="E3259" s="1">
        <v>18.75</v>
      </c>
      <c r="F3259" s="1">
        <v>16</v>
      </c>
      <c r="G3259" s="2">
        <v>190.89</v>
      </c>
      <c r="H3259" s="1" t="s">
        <v>8</v>
      </c>
      <c r="I3259" t="str">
        <f t="shared" si="50"/>
        <v>BAG OF SILVER STONES [72051S]</v>
      </c>
    </row>
    <row r="3260" spans="1:9" x14ac:dyDescent="0.3">
      <c r="A3260" s="1" t="s">
        <v>2641</v>
      </c>
      <c r="B3260" t="s">
        <v>2640</v>
      </c>
      <c r="C3260" s="1">
        <v>2.1</v>
      </c>
      <c r="D3260" s="1">
        <v>12</v>
      </c>
      <c r="E3260" s="1">
        <v>12</v>
      </c>
      <c r="F3260" s="1">
        <v>2</v>
      </c>
      <c r="G3260" s="2">
        <v>50.4</v>
      </c>
      <c r="H3260" s="1" t="s">
        <v>9</v>
      </c>
      <c r="I3260" t="str">
        <f t="shared" si="50"/>
        <v>STRAWBERY SWIRL FLARE CANDLE [72083A]</v>
      </c>
    </row>
    <row r="3261" spans="1:9" x14ac:dyDescent="0.3">
      <c r="A3261" s="1" t="s">
        <v>2639</v>
      </c>
      <c r="B3261" t="s">
        <v>2638</v>
      </c>
      <c r="C3261" s="1">
        <v>1.95</v>
      </c>
      <c r="D3261" s="1">
        <v>2</v>
      </c>
      <c r="E3261" s="1">
        <v>2</v>
      </c>
      <c r="F3261" s="1">
        <v>1</v>
      </c>
      <c r="G3261" s="1">
        <v>3.9</v>
      </c>
      <c r="H3261" s="1" t="s">
        <v>8</v>
      </c>
      <c r="I3261" t="str">
        <f t="shared" si="50"/>
        <v>CHOCOLATE ICE CREAM CANDLE [72084B]</v>
      </c>
    </row>
    <row r="3262" spans="1:9" x14ac:dyDescent="0.3">
      <c r="A3262" s="1">
        <v>72122</v>
      </c>
      <c r="B3262" t="s">
        <v>2637</v>
      </c>
      <c r="C3262" s="1">
        <v>0.98</v>
      </c>
      <c r="D3262" s="1">
        <v>19</v>
      </c>
      <c r="E3262" s="1">
        <v>23.44</v>
      </c>
      <c r="F3262" s="1">
        <v>25</v>
      </c>
      <c r="G3262" s="1">
        <v>593.33000000000004</v>
      </c>
      <c r="H3262" s="1" t="s">
        <v>9</v>
      </c>
      <c r="I3262" t="str">
        <f t="shared" si="50"/>
        <v>COFFEE SCENT PILLAR CANDLE [72122]</v>
      </c>
    </row>
    <row r="3263" spans="1:9" x14ac:dyDescent="0.3">
      <c r="A3263" s="1">
        <v>72127</v>
      </c>
      <c r="B3263" t="s">
        <v>2636</v>
      </c>
      <c r="C3263" s="1">
        <v>1.25</v>
      </c>
      <c r="D3263" s="1">
        <v>6</v>
      </c>
      <c r="E3263" s="2">
        <v>17.428571428571399</v>
      </c>
      <c r="F3263" s="1">
        <v>21</v>
      </c>
      <c r="G3263" s="1">
        <v>445.94</v>
      </c>
      <c r="H3263" s="1" t="s">
        <v>8</v>
      </c>
      <c r="I3263" t="str">
        <f t="shared" si="50"/>
        <v>COLUMBIAN CANDLE ROUND [72127]</v>
      </c>
    </row>
    <row r="3264" spans="1:9" x14ac:dyDescent="0.3">
      <c r="A3264" s="1">
        <v>72128</v>
      </c>
      <c r="B3264" t="s">
        <v>2636</v>
      </c>
      <c r="C3264" s="1">
        <v>0.85</v>
      </c>
      <c r="D3264" s="1">
        <v>14</v>
      </c>
      <c r="E3264" s="2">
        <v>31.043478260869499</v>
      </c>
      <c r="F3264" s="1">
        <v>23</v>
      </c>
      <c r="G3264" s="1">
        <v>442.24</v>
      </c>
      <c r="H3264" s="1" t="s">
        <v>9</v>
      </c>
      <c r="I3264" t="str">
        <f t="shared" si="50"/>
        <v>COLUMBIAN CANDLE ROUND [72128]</v>
      </c>
    </row>
    <row r="3265" spans="1:9" x14ac:dyDescent="0.3">
      <c r="A3265" s="1">
        <v>72129</v>
      </c>
      <c r="B3265" t="s">
        <v>2636</v>
      </c>
      <c r="C3265" s="1">
        <v>0.65</v>
      </c>
      <c r="D3265" s="1">
        <v>6</v>
      </c>
      <c r="E3265" s="2">
        <v>8.2222222222222197</v>
      </c>
      <c r="F3265" s="1">
        <v>9</v>
      </c>
      <c r="G3265" s="1">
        <v>49.11</v>
      </c>
      <c r="H3265" s="1" t="s">
        <v>8</v>
      </c>
      <c r="I3265" t="str">
        <f t="shared" si="50"/>
        <v>COLUMBIAN CANDLE ROUND [72129]</v>
      </c>
    </row>
    <row r="3266" spans="1:9" x14ac:dyDescent="0.3">
      <c r="A3266" s="1">
        <v>72130</v>
      </c>
      <c r="B3266" t="s">
        <v>2636</v>
      </c>
      <c r="C3266" s="1">
        <v>0.65</v>
      </c>
      <c r="D3266" s="1">
        <v>19</v>
      </c>
      <c r="E3266" s="1">
        <v>37.6</v>
      </c>
      <c r="F3266" s="1">
        <v>20</v>
      </c>
      <c r="G3266" s="1">
        <v>304.69</v>
      </c>
      <c r="H3266" s="1" t="s">
        <v>9</v>
      </c>
      <c r="I3266" t="str">
        <f t="shared" si="50"/>
        <v>COLUMBIAN CANDLE ROUND [72130]</v>
      </c>
    </row>
    <row r="3267" spans="1:9" x14ac:dyDescent="0.3">
      <c r="A3267" s="1">
        <v>72131</v>
      </c>
      <c r="B3267" t="s">
        <v>2634</v>
      </c>
      <c r="C3267" s="1">
        <v>1.95</v>
      </c>
      <c r="D3267" s="1">
        <v>6</v>
      </c>
      <c r="E3267" s="2">
        <v>24.705882352941099</v>
      </c>
      <c r="F3267" s="1">
        <v>17</v>
      </c>
      <c r="G3267" s="1">
        <v>542.52</v>
      </c>
      <c r="H3267" s="1" t="s">
        <v>8</v>
      </c>
      <c r="I3267" t="str">
        <f t="shared" ref="I3267:I3330" si="51">B3267&amp;" ["&amp;A3267&amp;"]"</f>
        <v>COLUMBIAN CANDLE RECTANGLE [72131]</v>
      </c>
    </row>
    <row r="3268" spans="1:9" x14ac:dyDescent="0.3">
      <c r="A3268" s="1">
        <v>72132</v>
      </c>
      <c r="B3268" t="s">
        <v>2635</v>
      </c>
      <c r="C3268" s="1">
        <v>1.95</v>
      </c>
      <c r="D3268" s="1">
        <v>2</v>
      </c>
      <c r="E3268" s="2">
        <v>28.384615384615302</v>
      </c>
      <c r="F3268" s="1">
        <v>13</v>
      </c>
      <c r="G3268" s="1">
        <v>393.75</v>
      </c>
      <c r="H3268" s="1" t="s">
        <v>8</v>
      </c>
      <c r="I3268" t="str">
        <f t="shared" si="51"/>
        <v>COLUMBIAN CUBE CANDLE [72132]</v>
      </c>
    </row>
    <row r="3269" spans="1:9" x14ac:dyDescent="0.3">
      <c r="A3269" s="1">
        <v>72133</v>
      </c>
      <c r="B3269" t="s">
        <v>2634</v>
      </c>
      <c r="C3269" s="1">
        <v>1.25</v>
      </c>
      <c r="D3269" s="1">
        <v>5</v>
      </c>
      <c r="E3269" s="2">
        <v>6.4117647058823497</v>
      </c>
      <c r="F3269" s="1">
        <v>17</v>
      </c>
      <c r="G3269" s="1">
        <v>122.63</v>
      </c>
      <c r="H3269" s="1" t="s">
        <v>8</v>
      </c>
      <c r="I3269" t="str">
        <f t="shared" si="51"/>
        <v>COLUMBIAN CANDLE RECTANGLE [72133]</v>
      </c>
    </row>
    <row r="3270" spans="1:9" x14ac:dyDescent="0.3">
      <c r="A3270" s="1">
        <v>72134</v>
      </c>
      <c r="B3270" t="s">
        <v>2633</v>
      </c>
      <c r="C3270" s="1">
        <v>0.85</v>
      </c>
      <c r="D3270" s="1">
        <v>3.5</v>
      </c>
      <c r="E3270" s="1">
        <v>16.6875</v>
      </c>
      <c r="F3270" s="1">
        <v>16</v>
      </c>
      <c r="G3270" s="1">
        <v>121.17</v>
      </c>
      <c r="H3270" s="1" t="s">
        <v>8</v>
      </c>
      <c r="I3270" t="str">
        <f t="shared" si="51"/>
        <v>COLUMBIAN  CUBE CANDLE [72134]</v>
      </c>
    </row>
    <row r="3271" spans="1:9" x14ac:dyDescent="0.3">
      <c r="A3271" s="1" t="s">
        <v>2632</v>
      </c>
      <c r="B3271" t="s">
        <v>2631</v>
      </c>
      <c r="C3271" s="1">
        <v>0.85</v>
      </c>
      <c r="D3271" s="1">
        <v>6.5</v>
      </c>
      <c r="E3271" s="2">
        <v>15.5714285714285</v>
      </c>
      <c r="F3271" s="1">
        <v>14</v>
      </c>
      <c r="G3271" s="1">
        <v>156.72</v>
      </c>
      <c r="H3271" s="1" t="s">
        <v>8</v>
      </c>
      <c r="I3271" t="str">
        <f t="shared" si="51"/>
        <v>BEST DAD CANDLE LETTERS [72140E]</v>
      </c>
    </row>
    <row r="3272" spans="1:9" x14ac:dyDescent="0.3">
      <c r="A3272" s="1" t="s">
        <v>2630</v>
      </c>
      <c r="B3272" t="s">
        <v>2629</v>
      </c>
      <c r="C3272" s="1">
        <v>0.42</v>
      </c>
      <c r="D3272" s="1">
        <v>12</v>
      </c>
      <c r="E3272" s="1">
        <v>25</v>
      </c>
      <c r="F3272" s="1">
        <v>7</v>
      </c>
      <c r="G3272" s="2">
        <v>69.179999999999893</v>
      </c>
      <c r="H3272" s="1" t="s">
        <v>9</v>
      </c>
      <c r="I3272" t="str">
        <f t="shared" si="51"/>
        <v>HAPPY ANNIVERSARY CANDLE LETTERS [72140F]</v>
      </c>
    </row>
    <row r="3273" spans="1:9" x14ac:dyDescent="0.3">
      <c r="A3273" s="1" t="s">
        <v>2628</v>
      </c>
      <c r="B3273" t="s">
        <v>2627</v>
      </c>
      <c r="C3273" s="1">
        <v>0.28999999999999998</v>
      </c>
      <c r="D3273" s="1">
        <v>48</v>
      </c>
      <c r="E3273" s="1">
        <v>96.3</v>
      </c>
      <c r="F3273" s="1">
        <v>20</v>
      </c>
      <c r="G3273" s="1">
        <v>466.38</v>
      </c>
      <c r="H3273" s="1" t="s">
        <v>9</v>
      </c>
      <c r="I3273" t="str">
        <f t="shared" si="51"/>
        <v>LAVENDER SCENT CAKE CANDLE [72225C]</v>
      </c>
    </row>
    <row r="3274" spans="1:9" x14ac:dyDescent="0.3">
      <c r="A3274" s="1" t="s">
        <v>2626</v>
      </c>
      <c r="B3274" t="s">
        <v>2625</v>
      </c>
      <c r="C3274" s="1">
        <v>0.28999999999999998</v>
      </c>
      <c r="D3274" s="1">
        <v>72</v>
      </c>
      <c r="E3274" s="1">
        <v>192.4</v>
      </c>
      <c r="F3274" s="1">
        <v>5</v>
      </c>
      <c r="G3274" s="1">
        <v>219.46</v>
      </c>
      <c r="H3274" s="1" t="s">
        <v>10</v>
      </c>
      <c r="I3274" t="str">
        <f t="shared" si="51"/>
        <v>VANILLA SCENT CAKE CANDLE [72225D]</v>
      </c>
    </row>
    <row r="3275" spans="1:9" x14ac:dyDescent="0.3">
      <c r="A3275" s="1">
        <v>72232</v>
      </c>
      <c r="B3275" t="s">
        <v>2624</v>
      </c>
      <c r="C3275" s="1">
        <v>0.19</v>
      </c>
      <c r="D3275" s="1">
        <v>136</v>
      </c>
      <c r="E3275" s="1">
        <v>250.72</v>
      </c>
      <c r="F3275" s="1">
        <v>25</v>
      </c>
      <c r="G3275" s="1">
        <v>1190.92</v>
      </c>
      <c r="H3275" s="1" t="s">
        <v>10</v>
      </c>
      <c r="I3275" t="str">
        <f t="shared" si="51"/>
        <v>FENG SHUI PILLAR CANDLE [72232]</v>
      </c>
    </row>
    <row r="3276" spans="1:9" x14ac:dyDescent="0.3">
      <c r="A3276" s="1">
        <v>72267</v>
      </c>
      <c r="B3276" t="s">
        <v>2623</v>
      </c>
      <c r="C3276" s="1">
        <v>2.1</v>
      </c>
      <c r="D3276" s="1">
        <v>8</v>
      </c>
      <c r="E3276" s="1">
        <v>66.25</v>
      </c>
      <c r="F3276" s="1">
        <v>4</v>
      </c>
      <c r="G3276" s="1">
        <v>530.16</v>
      </c>
      <c r="H3276" s="1" t="s">
        <v>8</v>
      </c>
      <c r="I3276" t="str">
        <f t="shared" si="51"/>
        <v>PREMIUM CHURCH CANDLE [72267]</v>
      </c>
    </row>
    <row r="3277" spans="1:9" x14ac:dyDescent="0.3">
      <c r="A3277" s="1" t="s">
        <v>2622</v>
      </c>
      <c r="B3277" t="s">
        <v>2620</v>
      </c>
      <c r="C3277" s="1">
        <v>2.1</v>
      </c>
      <c r="D3277" s="1">
        <v>68</v>
      </c>
      <c r="E3277" s="1">
        <v>79.599999999999994</v>
      </c>
      <c r="F3277" s="1">
        <v>25</v>
      </c>
      <c r="G3277" s="2">
        <v>4049.99</v>
      </c>
      <c r="H3277" s="1" t="s">
        <v>10</v>
      </c>
      <c r="I3277" t="str">
        <f t="shared" si="51"/>
        <v>SET/6 PURPLE BUTTERFLY T-LIGHTS [72349B]</v>
      </c>
    </row>
    <row r="3278" spans="1:9" x14ac:dyDescent="0.3">
      <c r="A3278" s="1" t="s">
        <v>2621</v>
      </c>
      <c r="B3278" t="s">
        <v>2620</v>
      </c>
      <c r="C3278" s="1">
        <v>4.13</v>
      </c>
      <c r="D3278" s="1">
        <v>10</v>
      </c>
      <c r="E3278" s="1">
        <v>12</v>
      </c>
      <c r="F3278" s="1">
        <v>17</v>
      </c>
      <c r="G3278" s="1">
        <v>848.41</v>
      </c>
      <c r="H3278" s="1" t="s">
        <v>9</v>
      </c>
      <c r="I3278" t="str">
        <f t="shared" si="51"/>
        <v>SET/6 PURPLE BUTTERFLY T-LIGHTS [72349b]</v>
      </c>
    </row>
    <row r="3279" spans="1:9" x14ac:dyDescent="0.3">
      <c r="A3279" s="1" t="s">
        <v>2619</v>
      </c>
      <c r="B3279" t="s">
        <v>2615</v>
      </c>
      <c r="C3279" s="1">
        <v>2.08</v>
      </c>
      <c r="D3279" s="1">
        <v>131</v>
      </c>
      <c r="E3279" s="1">
        <v>149.12</v>
      </c>
      <c r="F3279" s="1">
        <v>25</v>
      </c>
      <c r="G3279" s="1">
        <v>7368.68</v>
      </c>
      <c r="H3279" s="1" t="s">
        <v>10</v>
      </c>
      <c r="I3279" t="str">
        <f t="shared" si="51"/>
        <v>SET/6 TURQUOISE BUTTERFLY T-LIGHTS [72351A]</v>
      </c>
    </row>
    <row r="3280" spans="1:9" x14ac:dyDescent="0.3">
      <c r="A3280" s="1" t="s">
        <v>2618</v>
      </c>
      <c r="B3280" t="s">
        <v>2617</v>
      </c>
      <c r="C3280" s="1">
        <v>1.94</v>
      </c>
      <c r="D3280" s="1">
        <v>223</v>
      </c>
      <c r="E3280" s="1">
        <v>231.4</v>
      </c>
      <c r="F3280" s="1">
        <v>25</v>
      </c>
      <c r="G3280" s="1">
        <v>11184.89</v>
      </c>
      <c r="H3280" s="1" t="s">
        <v>10</v>
      </c>
      <c r="I3280" t="str">
        <f t="shared" si="51"/>
        <v>SET/6 PINK  BUTTERFLY T-LIGHTS [72351B]</v>
      </c>
    </row>
    <row r="3281" spans="1:9" x14ac:dyDescent="0.3">
      <c r="A3281" s="1" t="s">
        <v>2616</v>
      </c>
      <c r="B3281" t="s">
        <v>2615</v>
      </c>
      <c r="C3281" s="1">
        <v>4.21</v>
      </c>
      <c r="D3281" s="1">
        <v>2</v>
      </c>
      <c r="E3281" s="1">
        <v>2.3125</v>
      </c>
      <c r="F3281" s="1">
        <v>16</v>
      </c>
      <c r="G3281" s="2">
        <v>154.88999999999999</v>
      </c>
      <c r="H3281" s="1" t="s">
        <v>8</v>
      </c>
      <c r="I3281" t="str">
        <f t="shared" si="51"/>
        <v>SET/6 TURQUOISE BUTTERFLY T-LIGHTS [72351a]</v>
      </c>
    </row>
    <row r="3282" spans="1:9" x14ac:dyDescent="0.3">
      <c r="A3282" s="1" t="s">
        <v>2614</v>
      </c>
      <c r="B3282" t="s">
        <v>2613</v>
      </c>
      <c r="C3282" s="1">
        <v>1.25</v>
      </c>
      <c r="D3282" s="1">
        <v>4</v>
      </c>
      <c r="E3282" s="2">
        <v>5.1538461538461497</v>
      </c>
      <c r="F3282" s="1">
        <v>13</v>
      </c>
      <c r="G3282" s="2">
        <v>101.289999999999</v>
      </c>
      <c r="H3282" s="1" t="s">
        <v>8</v>
      </c>
      <c r="I3282" t="str">
        <f t="shared" si="51"/>
        <v>PINK CLEAR GLASS CANDLE PLATE [72369A]</v>
      </c>
    </row>
    <row r="3283" spans="1:9" x14ac:dyDescent="0.3">
      <c r="A3283" s="1">
        <v>72484</v>
      </c>
      <c r="B3283" t="s">
        <v>2612</v>
      </c>
      <c r="C3283" s="2">
        <v>0.59</v>
      </c>
      <c r="D3283" s="1">
        <v>459</v>
      </c>
      <c r="E3283" s="1">
        <v>454.5</v>
      </c>
      <c r="F3283" s="1">
        <v>4</v>
      </c>
      <c r="G3283" s="1">
        <v>991.38</v>
      </c>
      <c r="H3283" s="1" t="s">
        <v>10</v>
      </c>
      <c r="I3283" t="str">
        <f t="shared" si="51"/>
        <v>ROSES IN WHITE HEART CANDLE [72484]</v>
      </c>
    </row>
    <row r="3284" spans="1:9" x14ac:dyDescent="0.3">
      <c r="A3284" s="1">
        <v>72487</v>
      </c>
      <c r="B3284" t="s">
        <v>2611</v>
      </c>
      <c r="C3284" s="1">
        <v>0.43</v>
      </c>
      <c r="D3284" s="1">
        <v>827</v>
      </c>
      <c r="E3284" s="1">
        <v>827</v>
      </c>
      <c r="F3284" s="1">
        <v>1</v>
      </c>
      <c r="G3284" s="1">
        <v>355.05</v>
      </c>
      <c r="H3284" s="1" t="s">
        <v>10</v>
      </c>
      <c r="I3284" t="str">
        <f t="shared" si="51"/>
        <v>ROSES WHITE ROUND CANDLE [72487]</v>
      </c>
    </row>
    <row r="3285" spans="1:9" x14ac:dyDescent="0.3">
      <c r="A3285" s="1" t="s">
        <v>2610</v>
      </c>
      <c r="B3285" t="s">
        <v>2608</v>
      </c>
      <c r="C3285" s="1">
        <v>2.12</v>
      </c>
      <c r="D3285" s="1">
        <v>42</v>
      </c>
      <c r="E3285" s="2">
        <v>77.3333333333333</v>
      </c>
      <c r="F3285" s="1">
        <v>6</v>
      </c>
      <c r="G3285" s="1">
        <v>918.75</v>
      </c>
      <c r="H3285" s="1" t="s">
        <v>9</v>
      </c>
      <c r="I3285" t="str">
        <f t="shared" si="51"/>
        <v>WHITE ADVENT CANDLE [72529W]</v>
      </c>
    </row>
    <row r="3286" spans="1:9" x14ac:dyDescent="0.3">
      <c r="A3286" s="1" t="s">
        <v>2609</v>
      </c>
      <c r="B3286" t="s">
        <v>2608</v>
      </c>
      <c r="C3286" s="1">
        <v>4.3</v>
      </c>
      <c r="D3286" s="1">
        <v>1</v>
      </c>
      <c r="E3286" s="1">
        <v>1</v>
      </c>
      <c r="F3286" s="1">
        <v>1</v>
      </c>
      <c r="G3286" s="1">
        <v>4.3</v>
      </c>
      <c r="H3286" s="1" t="s">
        <v>8</v>
      </c>
      <c r="I3286" t="str">
        <f t="shared" si="51"/>
        <v>WHITE ADVENT CANDLE [72529w]</v>
      </c>
    </row>
    <row r="3287" spans="1:9" x14ac:dyDescent="0.3">
      <c r="A3287" s="1">
        <v>72586</v>
      </c>
      <c r="B3287" t="s">
        <v>2607</v>
      </c>
      <c r="C3287" s="2">
        <v>0.66999999999999904</v>
      </c>
      <c r="D3287" s="1">
        <v>5.5</v>
      </c>
      <c r="E3287" s="2">
        <v>95.9583333333333</v>
      </c>
      <c r="F3287" s="1">
        <v>24</v>
      </c>
      <c r="G3287" s="1">
        <v>1010.1</v>
      </c>
      <c r="H3287" s="1" t="s">
        <v>8</v>
      </c>
      <c r="I3287" t="str">
        <f t="shared" si="51"/>
        <v>S/6 HALLOWEEN GHOST T LIGHTS, 5CM H [72586]</v>
      </c>
    </row>
    <row r="3288" spans="1:9" x14ac:dyDescent="0.3">
      <c r="A3288" s="1">
        <v>72598</v>
      </c>
      <c r="B3288" t="s">
        <v>2606</v>
      </c>
      <c r="C3288" s="1">
        <v>0.93</v>
      </c>
      <c r="D3288" s="1">
        <v>32</v>
      </c>
      <c r="E3288" s="1">
        <v>49.76</v>
      </c>
      <c r="F3288" s="1">
        <v>25</v>
      </c>
      <c r="G3288" s="1">
        <v>1145.76</v>
      </c>
      <c r="H3288" s="1" t="s">
        <v>9</v>
      </c>
      <c r="I3288" t="str">
        <f t="shared" si="51"/>
        <v>SET/12 TAPER CANDLES [72598]</v>
      </c>
    </row>
    <row r="3289" spans="1:9" x14ac:dyDescent="0.3">
      <c r="A3289" s="1" t="s">
        <v>2605</v>
      </c>
      <c r="B3289" t="s">
        <v>2604</v>
      </c>
      <c r="C3289" s="1">
        <v>0.42</v>
      </c>
      <c r="D3289" s="1">
        <v>17.5</v>
      </c>
      <c r="E3289" s="1">
        <v>28.25</v>
      </c>
      <c r="F3289" s="1">
        <v>8</v>
      </c>
      <c r="G3289" s="1">
        <v>94.92</v>
      </c>
      <c r="H3289" s="1" t="s">
        <v>9</v>
      </c>
      <c r="I3289" t="str">
        <f t="shared" si="51"/>
        <v>BROWN ANTIQUE CUBE CANDLE [72606A]</v>
      </c>
    </row>
    <row r="3290" spans="1:9" x14ac:dyDescent="0.3">
      <c r="A3290" s="1">
        <v>72708</v>
      </c>
      <c r="B3290" t="s">
        <v>2603</v>
      </c>
      <c r="C3290" s="1">
        <v>0.21</v>
      </c>
      <c r="D3290" s="1">
        <v>21</v>
      </c>
      <c r="E3290" s="2">
        <v>14.6666666666666</v>
      </c>
      <c r="F3290" s="1">
        <v>3</v>
      </c>
      <c r="G3290" s="1">
        <v>9.24</v>
      </c>
      <c r="H3290" s="1" t="s">
        <v>9</v>
      </c>
      <c r="I3290" t="str">
        <f t="shared" si="51"/>
        <v>SCULPTED ROUND IVORY CANDLE [72708]</v>
      </c>
    </row>
    <row r="3291" spans="1:9" x14ac:dyDescent="0.3">
      <c r="A3291" s="1">
        <v>72709</v>
      </c>
      <c r="B3291" t="s">
        <v>2602</v>
      </c>
      <c r="C3291" s="1">
        <v>0.85</v>
      </c>
      <c r="D3291" s="1">
        <v>9</v>
      </c>
      <c r="E3291" s="2">
        <v>6.7272727272727204</v>
      </c>
      <c r="F3291" s="1">
        <v>11</v>
      </c>
      <c r="G3291" s="2">
        <v>62.9</v>
      </c>
      <c r="H3291" s="1" t="s">
        <v>8</v>
      </c>
      <c r="I3291" t="str">
        <f t="shared" si="51"/>
        <v>IVORY SCULPTED RND CANDLE [72709]</v>
      </c>
    </row>
    <row r="3292" spans="1:9" x14ac:dyDescent="0.3">
      <c r="A3292" s="1">
        <v>72715</v>
      </c>
      <c r="B3292" t="s">
        <v>2601</v>
      </c>
      <c r="C3292" s="1">
        <v>0.42</v>
      </c>
      <c r="D3292" s="1">
        <v>14</v>
      </c>
      <c r="E3292" s="2">
        <v>14.6666666666666</v>
      </c>
      <c r="F3292" s="1">
        <v>6</v>
      </c>
      <c r="G3292" s="1">
        <v>36.96</v>
      </c>
      <c r="H3292" s="1" t="s">
        <v>9</v>
      </c>
      <c r="I3292" t="str">
        <f t="shared" si="51"/>
        <v>SPHERICAL IVORY CANDLE [72715]</v>
      </c>
    </row>
    <row r="3293" spans="1:9" x14ac:dyDescent="0.3">
      <c r="A3293" s="1">
        <v>72724</v>
      </c>
      <c r="B3293" t="s">
        <v>2600</v>
      </c>
      <c r="C3293" s="1">
        <v>1.25</v>
      </c>
      <c r="D3293" s="1">
        <v>36</v>
      </c>
      <c r="E3293" s="1">
        <v>36</v>
      </c>
      <c r="F3293" s="1">
        <v>1</v>
      </c>
      <c r="G3293" s="1">
        <v>45</v>
      </c>
      <c r="H3293" s="1" t="s">
        <v>9</v>
      </c>
      <c r="I3293" t="str">
        <f t="shared" si="51"/>
        <v>SET/6 CHRISTMAS ICICLE T-LIGHTS [72724]</v>
      </c>
    </row>
    <row r="3294" spans="1:9" x14ac:dyDescent="0.3">
      <c r="A3294" s="1">
        <v>72728</v>
      </c>
      <c r="B3294" t="s">
        <v>2599</v>
      </c>
      <c r="C3294" s="1">
        <v>0.85</v>
      </c>
      <c r="D3294" s="1">
        <v>70</v>
      </c>
      <c r="E3294" s="2">
        <v>71.4444444444444</v>
      </c>
      <c r="F3294" s="1">
        <v>9</v>
      </c>
      <c r="G3294" s="1">
        <v>523.15</v>
      </c>
      <c r="H3294" s="1" t="s">
        <v>10</v>
      </c>
      <c r="I3294" t="str">
        <f t="shared" si="51"/>
        <v>ROSE SCENT CANDLES IN GLASS [72728]</v>
      </c>
    </row>
    <row r="3295" spans="1:9" x14ac:dyDescent="0.3">
      <c r="A3295" s="1" t="s">
        <v>2598</v>
      </c>
      <c r="B3295" t="s">
        <v>2597</v>
      </c>
      <c r="C3295" s="1">
        <v>1.04</v>
      </c>
      <c r="D3295" s="1">
        <v>197</v>
      </c>
      <c r="E3295" s="1">
        <v>197</v>
      </c>
      <c r="F3295" s="1">
        <v>2</v>
      </c>
      <c r="G3295" s="1">
        <v>328.39</v>
      </c>
      <c r="H3295" s="1" t="s">
        <v>10</v>
      </c>
      <c r="I3295" t="str">
        <f t="shared" si="51"/>
        <v>WHITE CHOCOLATE SCENT CANDLE [72739B]</v>
      </c>
    </row>
    <row r="3296" spans="1:9" x14ac:dyDescent="0.3">
      <c r="A3296" s="1" t="s">
        <v>2596</v>
      </c>
      <c r="B3296" t="s">
        <v>2595</v>
      </c>
      <c r="C3296" s="1">
        <v>1.22</v>
      </c>
      <c r="D3296" s="1">
        <v>163</v>
      </c>
      <c r="E3296" s="1">
        <v>163</v>
      </c>
      <c r="F3296" s="1">
        <v>2</v>
      </c>
      <c r="G3296" s="1">
        <v>279.08</v>
      </c>
      <c r="H3296" s="1" t="s">
        <v>10</v>
      </c>
      <c r="I3296" t="str">
        <f t="shared" si="51"/>
        <v>DARK CHOCOLATE SCENTCANDLE [72739C]</v>
      </c>
    </row>
    <row r="3297" spans="1:9" x14ac:dyDescent="0.3">
      <c r="A3297" s="1" t="s">
        <v>2594</v>
      </c>
      <c r="B3297" t="s">
        <v>2593</v>
      </c>
      <c r="C3297" s="1">
        <v>1.825</v>
      </c>
      <c r="D3297" s="1">
        <v>32.5</v>
      </c>
      <c r="E3297" s="1">
        <v>32.5</v>
      </c>
      <c r="F3297" s="1">
        <v>2</v>
      </c>
      <c r="G3297" s="2">
        <v>141.22999999999999</v>
      </c>
      <c r="H3297" s="1" t="s">
        <v>9</v>
      </c>
      <c r="I3297" t="str">
        <f t="shared" si="51"/>
        <v>LARGE STRAWBERRY CHOCOLATE CANDLE [72740A]</v>
      </c>
    </row>
    <row r="3298" spans="1:9" x14ac:dyDescent="0.3">
      <c r="A3298" s="1" t="s">
        <v>2592</v>
      </c>
      <c r="B3298" t="s">
        <v>2591</v>
      </c>
      <c r="C3298" s="1">
        <v>5.0599999999999996</v>
      </c>
      <c r="D3298" s="1">
        <v>1</v>
      </c>
      <c r="E3298" s="1">
        <v>1</v>
      </c>
      <c r="F3298" s="1">
        <v>1</v>
      </c>
      <c r="G3298" s="1">
        <v>5.0599999999999996</v>
      </c>
      <c r="H3298" s="1" t="s">
        <v>8</v>
      </c>
      <c r="I3298" t="str">
        <f t="shared" si="51"/>
        <v>LARGE WHITE CHOCOLATE CANDLE [72740B]</v>
      </c>
    </row>
    <row r="3299" spans="1:9" x14ac:dyDescent="0.3">
      <c r="A3299" s="1">
        <v>72741</v>
      </c>
      <c r="B3299" t="s">
        <v>2590</v>
      </c>
      <c r="C3299" s="1">
        <v>1.41</v>
      </c>
      <c r="D3299" s="1">
        <v>680</v>
      </c>
      <c r="E3299" s="1">
        <v>788.48</v>
      </c>
      <c r="F3299" s="1">
        <v>25</v>
      </c>
      <c r="G3299" s="1">
        <v>27239.46</v>
      </c>
      <c r="H3299" s="1" t="s">
        <v>10</v>
      </c>
      <c r="I3299" t="str">
        <f t="shared" si="51"/>
        <v>GRAND CHOCOLATECANDLE [72741]</v>
      </c>
    </row>
    <row r="3300" spans="1:9" x14ac:dyDescent="0.3">
      <c r="A3300" s="1" t="s">
        <v>2589</v>
      </c>
      <c r="B3300" t="s">
        <v>2588</v>
      </c>
      <c r="C3300" s="1">
        <v>1.95</v>
      </c>
      <c r="D3300" s="1">
        <v>62</v>
      </c>
      <c r="E3300" s="1">
        <v>76.599999999999994</v>
      </c>
      <c r="F3300" s="1">
        <v>5</v>
      </c>
      <c r="G3300" s="1">
        <v>766.85</v>
      </c>
      <c r="H3300" s="1" t="s">
        <v>10</v>
      </c>
      <c r="I3300" t="str">
        <f t="shared" si="51"/>
        <v>F.FAIRY S/3 CANDLE/GLASS,LILY/VALLY [72750A]</v>
      </c>
    </row>
    <row r="3301" spans="1:9" x14ac:dyDescent="0.3">
      <c r="A3301" s="1" t="s">
        <v>2587</v>
      </c>
      <c r="B3301" t="s">
        <v>2586</v>
      </c>
      <c r="C3301" s="1">
        <v>2.14</v>
      </c>
      <c r="D3301" s="1">
        <v>24</v>
      </c>
      <c r="E3301" s="2">
        <v>45.090909090909001</v>
      </c>
      <c r="F3301" s="1">
        <v>11</v>
      </c>
      <c r="G3301" s="1">
        <v>1047.2</v>
      </c>
      <c r="H3301" s="1" t="s">
        <v>9</v>
      </c>
      <c r="I3301" t="str">
        <f t="shared" si="51"/>
        <v>F.FAIRY S/3 CANDLE/GLASS,LAVENDER [72750B]</v>
      </c>
    </row>
    <row r="3302" spans="1:9" x14ac:dyDescent="0.3">
      <c r="A3302" s="1" t="s">
        <v>2585</v>
      </c>
      <c r="B3302" t="s">
        <v>2584</v>
      </c>
      <c r="C3302" s="1">
        <v>2.06</v>
      </c>
      <c r="D3302" s="1">
        <v>76</v>
      </c>
      <c r="E3302" s="2">
        <v>77.3333333333333</v>
      </c>
      <c r="F3302" s="1">
        <v>3</v>
      </c>
      <c r="G3302" s="1">
        <v>476.4</v>
      </c>
      <c r="H3302" s="1" t="s">
        <v>10</v>
      </c>
      <c r="I3302" t="str">
        <f t="shared" si="51"/>
        <v>F.FAIRY S/3 CANDLE/GLASS, ROSE [72750C]</v>
      </c>
    </row>
    <row r="3303" spans="1:9" x14ac:dyDescent="0.3">
      <c r="A3303" s="1" t="s">
        <v>2583</v>
      </c>
      <c r="B3303" t="s">
        <v>2582</v>
      </c>
      <c r="C3303" s="1">
        <v>2.0449999999999999</v>
      </c>
      <c r="D3303" s="1">
        <v>55</v>
      </c>
      <c r="E3303" s="1">
        <v>55</v>
      </c>
      <c r="F3303" s="1">
        <v>2</v>
      </c>
      <c r="G3303" s="1">
        <v>226.5</v>
      </c>
      <c r="H3303" s="1" t="s">
        <v>9</v>
      </c>
      <c r="I3303" t="str">
        <f t="shared" si="51"/>
        <v>F.FAIRY S/3 CANDLE/GLASS [72750D]</v>
      </c>
    </row>
    <row r="3304" spans="1:9" x14ac:dyDescent="0.3">
      <c r="A3304" s="1" t="s">
        <v>2581</v>
      </c>
      <c r="B3304" t="s">
        <v>2580</v>
      </c>
      <c r="C3304" s="1">
        <v>5.95</v>
      </c>
      <c r="D3304" s="1">
        <v>1</v>
      </c>
      <c r="E3304" s="1">
        <v>1</v>
      </c>
      <c r="F3304" s="1">
        <v>1</v>
      </c>
      <c r="G3304" s="1">
        <v>5.95</v>
      </c>
      <c r="H3304" s="1" t="s">
        <v>8</v>
      </c>
      <c r="I3304" t="str">
        <f t="shared" si="51"/>
        <v>F.FAIRY S/3 SML CANDLE,LILY/VALLEY [72751A]</v>
      </c>
    </row>
    <row r="3305" spans="1:9" x14ac:dyDescent="0.3">
      <c r="A3305" s="1" t="s">
        <v>2579</v>
      </c>
      <c r="B3305" t="s">
        <v>2578</v>
      </c>
      <c r="C3305" s="1">
        <v>5.95</v>
      </c>
      <c r="D3305" s="1">
        <v>1</v>
      </c>
      <c r="E3305" s="1">
        <v>1</v>
      </c>
      <c r="F3305" s="1">
        <v>1</v>
      </c>
      <c r="G3305" s="1">
        <v>5.95</v>
      </c>
      <c r="H3305" s="1" t="s">
        <v>8</v>
      </c>
      <c r="I3305" t="str">
        <f t="shared" si="51"/>
        <v>F.FAIRY S/3 SML CANDLE, LAVENDER [72751B]</v>
      </c>
    </row>
    <row r="3306" spans="1:9" x14ac:dyDescent="0.3">
      <c r="A3306" s="1" t="s">
        <v>2577</v>
      </c>
      <c r="B3306" t="s">
        <v>2576</v>
      </c>
      <c r="C3306" s="1">
        <v>5.95</v>
      </c>
      <c r="D3306" s="1">
        <v>1</v>
      </c>
      <c r="E3306" s="1">
        <v>1</v>
      </c>
      <c r="F3306" s="1">
        <v>1</v>
      </c>
      <c r="G3306" s="1">
        <v>5.95</v>
      </c>
      <c r="H3306" s="1" t="s">
        <v>8</v>
      </c>
      <c r="I3306" t="str">
        <f t="shared" si="51"/>
        <v>F.FAIRY S/3 SML CANDLE, ROSE [72751C]</v>
      </c>
    </row>
    <row r="3307" spans="1:9" x14ac:dyDescent="0.3">
      <c r="A3307" s="1" t="s">
        <v>2575</v>
      </c>
      <c r="B3307" t="s">
        <v>2574</v>
      </c>
      <c r="C3307" s="1">
        <v>4.25</v>
      </c>
      <c r="D3307" s="1">
        <v>1</v>
      </c>
      <c r="E3307" s="1">
        <v>1</v>
      </c>
      <c r="F3307" s="1">
        <v>1</v>
      </c>
      <c r="G3307" s="1">
        <v>4.25</v>
      </c>
      <c r="H3307" s="1" t="s">
        <v>8</v>
      </c>
      <c r="I3307" t="str">
        <f t="shared" si="51"/>
        <v>F.FAIRY,CANDLE IN GLASS,LILY/VALLEY [72752A]</v>
      </c>
    </row>
    <row r="3308" spans="1:9" x14ac:dyDescent="0.3">
      <c r="A3308" s="1" t="s">
        <v>2573</v>
      </c>
      <c r="B3308" t="s">
        <v>2572</v>
      </c>
      <c r="C3308" s="1">
        <v>4.25</v>
      </c>
      <c r="D3308" s="1">
        <v>3</v>
      </c>
      <c r="E3308" s="1">
        <v>3</v>
      </c>
      <c r="F3308" s="1">
        <v>1</v>
      </c>
      <c r="G3308" s="1">
        <v>12.75</v>
      </c>
      <c r="H3308" s="1" t="s">
        <v>8</v>
      </c>
      <c r="I3308" t="str">
        <f t="shared" si="51"/>
        <v>F.FAIRY,CANDLE IN GLASS,LAVENDER [72752B]</v>
      </c>
    </row>
    <row r="3309" spans="1:9" x14ac:dyDescent="0.3">
      <c r="A3309" s="1" t="s">
        <v>2571</v>
      </c>
      <c r="B3309" t="s">
        <v>2570</v>
      </c>
      <c r="C3309" s="1">
        <v>2.2050000000000001</v>
      </c>
      <c r="D3309" s="1">
        <v>157.5</v>
      </c>
      <c r="E3309" s="1">
        <v>157.5</v>
      </c>
      <c r="F3309" s="1">
        <v>2</v>
      </c>
      <c r="G3309" s="1">
        <v>690.24</v>
      </c>
      <c r="H3309" s="1" t="s">
        <v>10</v>
      </c>
      <c r="I3309" t="str">
        <f t="shared" si="51"/>
        <v>S/3 FLWR FAIRY LILLY CANDLES [72753A]</v>
      </c>
    </row>
    <row r="3310" spans="1:9" x14ac:dyDescent="0.3">
      <c r="A3310" s="1" t="s">
        <v>2569</v>
      </c>
      <c r="B3310" t="s">
        <v>2568</v>
      </c>
      <c r="C3310" s="1">
        <v>2.13</v>
      </c>
      <c r="D3310" s="1">
        <v>128</v>
      </c>
      <c r="E3310" s="1">
        <v>148</v>
      </c>
      <c r="F3310" s="1">
        <v>3</v>
      </c>
      <c r="G3310" s="1">
        <v>949.78</v>
      </c>
      <c r="H3310" s="1" t="s">
        <v>10</v>
      </c>
      <c r="I3310" t="str">
        <f t="shared" si="51"/>
        <v>S/3 FLWR FAIRY LAVENDER CANDLES [72753B]</v>
      </c>
    </row>
    <row r="3311" spans="1:9" x14ac:dyDescent="0.3">
      <c r="A3311" s="1" t="s">
        <v>2567</v>
      </c>
      <c r="B3311" t="s">
        <v>2566</v>
      </c>
      <c r="C3311" s="1">
        <v>2.77</v>
      </c>
      <c r="D3311" s="1">
        <v>21.5</v>
      </c>
      <c r="E3311" s="1">
        <v>21.5</v>
      </c>
      <c r="F3311" s="1">
        <v>2</v>
      </c>
      <c r="G3311" s="1">
        <v>107.68</v>
      </c>
      <c r="H3311" s="1" t="s">
        <v>9</v>
      </c>
      <c r="I3311" t="str">
        <f t="shared" si="51"/>
        <v>S/3 FLWR FAIRY ROSE CANDLES [72753C]</v>
      </c>
    </row>
    <row r="3312" spans="1:9" x14ac:dyDescent="0.3">
      <c r="A3312" s="1" t="s">
        <v>2565</v>
      </c>
      <c r="B3312" t="s">
        <v>2564</v>
      </c>
      <c r="C3312" s="1">
        <v>2.1</v>
      </c>
      <c r="D3312" s="1">
        <v>72</v>
      </c>
      <c r="E3312" s="1">
        <v>72</v>
      </c>
      <c r="F3312" s="1">
        <v>2</v>
      </c>
      <c r="G3312" s="1">
        <v>302.39999999999998</v>
      </c>
      <c r="H3312" s="1" t="s">
        <v>10</v>
      </c>
      <c r="I3312" t="str">
        <f t="shared" si="51"/>
        <v>S/3 FLWR FAIRY SUMMER CANDLES [72753D]</v>
      </c>
    </row>
    <row r="3313" spans="1:9" x14ac:dyDescent="0.3">
      <c r="A3313" s="1" t="s">
        <v>2563</v>
      </c>
      <c r="B3313" t="s">
        <v>2562</v>
      </c>
      <c r="C3313" s="1">
        <v>0.66</v>
      </c>
      <c r="D3313" s="1">
        <v>143</v>
      </c>
      <c r="E3313" s="1">
        <v>143</v>
      </c>
      <c r="F3313" s="1">
        <v>2</v>
      </c>
      <c r="G3313" s="1">
        <v>191.1</v>
      </c>
      <c r="H3313" s="1" t="s">
        <v>10</v>
      </c>
      <c r="I3313" t="str">
        <f t="shared" si="51"/>
        <v>FLOWER FAIRY POTPOURRI CUSHION LILY [72754A]</v>
      </c>
    </row>
    <row r="3314" spans="1:9" x14ac:dyDescent="0.3">
      <c r="A3314" s="1" t="s">
        <v>2561</v>
      </c>
      <c r="B3314" t="s">
        <v>2560</v>
      </c>
      <c r="C3314" s="1">
        <v>0.79</v>
      </c>
      <c r="D3314" s="1">
        <v>85</v>
      </c>
      <c r="E3314" s="1">
        <v>85</v>
      </c>
      <c r="F3314" s="1">
        <v>2</v>
      </c>
      <c r="G3314" s="1">
        <v>137.54</v>
      </c>
      <c r="H3314" s="1" t="s">
        <v>10</v>
      </c>
      <c r="I3314" t="str">
        <f t="shared" si="51"/>
        <v>F FAIRY POTPOURRI CUSHIONS LAVENDER [72754B]</v>
      </c>
    </row>
    <row r="3315" spans="1:9" x14ac:dyDescent="0.3">
      <c r="A3315" s="1" t="s">
        <v>2559</v>
      </c>
      <c r="B3315" t="s">
        <v>2558</v>
      </c>
      <c r="C3315" s="1">
        <v>1.69</v>
      </c>
      <c r="D3315" s="1">
        <v>1</v>
      </c>
      <c r="E3315" s="1">
        <v>1</v>
      </c>
      <c r="F3315" s="1">
        <v>1</v>
      </c>
      <c r="G3315" s="1">
        <v>1.69</v>
      </c>
      <c r="H3315" s="1" t="s">
        <v>8</v>
      </c>
      <c r="I3315" t="str">
        <f t="shared" si="51"/>
        <v>F FAIRY POTPOURRI CUSHIONS SUMMER [72754D]</v>
      </c>
    </row>
    <row r="3316" spans="1:9" x14ac:dyDescent="0.3">
      <c r="A3316" s="1" t="s">
        <v>2557</v>
      </c>
      <c r="B3316" t="s">
        <v>2556</v>
      </c>
      <c r="C3316" s="1">
        <v>1.28</v>
      </c>
      <c r="D3316" s="1">
        <v>178</v>
      </c>
      <c r="E3316" s="1">
        <v>148</v>
      </c>
      <c r="F3316" s="1">
        <v>4</v>
      </c>
      <c r="G3316" s="1">
        <v>767</v>
      </c>
      <c r="H3316" s="1" t="s">
        <v>10</v>
      </c>
      <c r="I3316" t="str">
        <f t="shared" si="51"/>
        <v>FLOWER FAIRY OIL BURNER SET ROSE [72755C]</v>
      </c>
    </row>
    <row r="3317" spans="1:9" x14ac:dyDescent="0.3">
      <c r="A3317" s="1" t="s">
        <v>2555</v>
      </c>
      <c r="B3317" t="s">
        <v>2554</v>
      </c>
      <c r="C3317" s="1">
        <v>1.3149999999999999</v>
      </c>
      <c r="D3317" s="1">
        <v>160</v>
      </c>
      <c r="E3317" s="1">
        <v>133.25</v>
      </c>
      <c r="F3317" s="1">
        <v>4</v>
      </c>
      <c r="G3317" s="1">
        <v>693.25</v>
      </c>
      <c r="H3317" s="1" t="s">
        <v>10</v>
      </c>
      <c r="I3317" t="str">
        <f t="shared" si="51"/>
        <v>FLOWER FAIRY OIL BURNER SET SUMMER [72755D]</v>
      </c>
    </row>
    <row r="3318" spans="1:9" x14ac:dyDescent="0.3">
      <c r="A3318" s="1">
        <v>72756</v>
      </c>
      <c r="B3318" t="s">
        <v>2553</v>
      </c>
      <c r="C3318" s="1">
        <v>1.425</v>
      </c>
      <c r="D3318" s="1">
        <v>130.5</v>
      </c>
      <c r="E3318" s="1">
        <v>1003</v>
      </c>
      <c r="F3318" s="1">
        <v>3</v>
      </c>
      <c r="G3318" s="1">
        <v>5459.48</v>
      </c>
      <c r="H3318" s="1" t="s">
        <v>10</v>
      </c>
      <c r="I3318" t="str">
        <f t="shared" si="51"/>
        <v>FAIRY CAKE CANDLES [72756]</v>
      </c>
    </row>
    <row r="3319" spans="1:9" x14ac:dyDescent="0.3">
      <c r="A3319" s="1" t="s">
        <v>2552</v>
      </c>
      <c r="B3319" t="s">
        <v>2551</v>
      </c>
      <c r="C3319" s="1">
        <v>9.69</v>
      </c>
      <c r="D3319" s="1">
        <v>45</v>
      </c>
      <c r="E3319" s="1">
        <v>73.869565217391298</v>
      </c>
      <c r="F3319" s="1">
        <v>23</v>
      </c>
      <c r="G3319" s="1">
        <v>16409.02</v>
      </c>
      <c r="H3319" s="1" t="s">
        <v>9</v>
      </c>
      <c r="I3319" t="str">
        <f t="shared" si="51"/>
        <v>VINTAGE CREAM 3 BASKET CAKE STAND [72760B]</v>
      </c>
    </row>
    <row r="3320" spans="1:9" x14ac:dyDescent="0.3">
      <c r="A3320" s="1" t="s">
        <v>2550</v>
      </c>
      <c r="B3320" t="s">
        <v>2549</v>
      </c>
      <c r="C3320" s="1">
        <v>0.49</v>
      </c>
      <c r="D3320" s="1">
        <v>117</v>
      </c>
      <c r="E3320" s="1">
        <v>117</v>
      </c>
      <c r="F3320" s="1">
        <v>1</v>
      </c>
      <c r="G3320" s="1">
        <v>56.9</v>
      </c>
      <c r="H3320" s="1" t="s">
        <v>10</v>
      </c>
      <c r="I3320" t="str">
        <f t="shared" si="51"/>
        <v>BURG FLOCK GOLD CUP/CANDLE [72771B]</v>
      </c>
    </row>
    <row r="3321" spans="1:9" x14ac:dyDescent="0.3">
      <c r="A3321" s="1" t="s">
        <v>2548</v>
      </c>
      <c r="B3321" t="s">
        <v>2547</v>
      </c>
      <c r="C3321" s="1">
        <v>0.78</v>
      </c>
      <c r="D3321" s="1">
        <v>54</v>
      </c>
      <c r="E3321" s="1">
        <v>54</v>
      </c>
      <c r="F3321" s="1">
        <v>1</v>
      </c>
      <c r="G3321" s="1">
        <v>42.08</v>
      </c>
      <c r="H3321" s="1" t="s">
        <v>9</v>
      </c>
      <c r="I3321" t="str">
        <f t="shared" si="51"/>
        <v>BLACK FLOCK GOLD CANDLE [72771C]</v>
      </c>
    </row>
    <row r="3322" spans="1:9" x14ac:dyDescent="0.3">
      <c r="A3322" s="1">
        <v>72772</v>
      </c>
      <c r="B3322" t="s">
        <v>2546</v>
      </c>
      <c r="C3322" s="1">
        <v>1.48</v>
      </c>
      <c r="D3322" s="1">
        <v>228.5</v>
      </c>
      <c r="E3322" s="1">
        <v>228.5</v>
      </c>
      <c r="F3322" s="1">
        <v>2</v>
      </c>
      <c r="G3322" s="1">
        <v>615.84</v>
      </c>
      <c r="H3322" s="1" t="s">
        <v>10</v>
      </c>
      <c r="I3322" t="str">
        <f t="shared" si="51"/>
        <v>SET/4 SCENTED CANDLES IN RAMEKINS [72772]</v>
      </c>
    </row>
    <row r="3323" spans="1:9" x14ac:dyDescent="0.3">
      <c r="A3323" s="1">
        <v>72779</v>
      </c>
      <c r="B3323" t="s">
        <v>2545</v>
      </c>
      <c r="C3323" s="1">
        <v>1.69</v>
      </c>
      <c r="D3323" s="1">
        <v>6</v>
      </c>
      <c r="E3323" s="1">
        <v>8</v>
      </c>
      <c r="F3323" s="1">
        <v>6</v>
      </c>
      <c r="G3323" s="1">
        <v>81.12</v>
      </c>
      <c r="H3323" s="1" t="s">
        <v>8</v>
      </c>
      <c r="I3323" t="str">
        <f t="shared" si="51"/>
        <v>SET/6 BLACK ROSE T-LIGHT CANDLES [72779]</v>
      </c>
    </row>
    <row r="3324" spans="1:9" x14ac:dyDescent="0.3">
      <c r="A3324" s="1">
        <v>72780</v>
      </c>
      <c r="B3324" t="s">
        <v>2544</v>
      </c>
      <c r="C3324" s="1">
        <v>0.85</v>
      </c>
      <c r="D3324" s="1">
        <v>16</v>
      </c>
      <c r="E3324" s="2">
        <v>22.347826086956498</v>
      </c>
      <c r="F3324" s="1">
        <v>23</v>
      </c>
      <c r="G3324" s="1">
        <v>418.18</v>
      </c>
      <c r="H3324" s="1" t="s">
        <v>9</v>
      </c>
      <c r="I3324" t="str">
        <f t="shared" si="51"/>
        <v>BLACK SILOUETTE CANDLE PLATE [72780]</v>
      </c>
    </row>
    <row r="3325" spans="1:9" x14ac:dyDescent="0.3">
      <c r="A3325" s="1">
        <v>72781</v>
      </c>
      <c r="B3325" t="s">
        <v>2544</v>
      </c>
      <c r="C3325" s="1">
        <v>2.1</v>
      </c>
      <c r="D3325" s="1">
        <v>6.5</v>
      </c>
      <c r="E3325" s="1">
        <v>15.125</v>
      </c>
      <c r="F3325" s="1">
        <v>8</v>
      </c>
      <c r="G3325" s="1">
        <v>229.5</v>
      </c>
      <c r="H3325" s="1" t="s">
        <v>8</v>
      </c>
      <c r="I3325" t="str">
        <f t="shared" si="51"/>
        <v>BLACK SILOUETTE CANDLE PLATE [72781]</v>
      </c>
    </row>
    <row r="3326" spans="1:9" x14ac:dyDescent="0.3">
      <c r="A3326" s="1">
        <v>72783</v>
      </c>
      <c r="B3326" t="s">
        <v>2543</v>
      </c>
      <c r="C3326" s="1">
        <v>2.1</v>
      </c>
      <c r="D3326" s="1">
        <v>4.5</v>
      </c>
      <c r="E3326" s="1">
        <v>5.375</v>
      </c>
      <c r="F3326" s="1">
        <v>8</v>
      </c>
      <c r="G3326" s="1">
        <v>90.3</v>
      </c>
      <c r="H3326" s="1" t="s">
        <v>8</v>
      </c>
      <c r="I3326" t="str">
        <f t="shared" si="51"/>
        <v>BLACK SIL'T SQU CANDLE PLATE [72783]</v>
      </c>
    </row>
    <row r="3327" spans="1:9" x14ac:dyDescent="0.3">
      <c r="A3327" s="1" t="s">
        <v>2542</v>
      </c>
      <c r="B3327" t="s">
        <v>2541</v>
      </c>
      <c r="C3327" s="1">
        <v>2.1</v>
      </c>
      <c r="D3327" s="1">
        <v>3</v>
      </c>
      <c r="E3327" s="2">
        <v>2.6666666666666599</v>
      </c>
      <c r="F3327" s="1">
        <v>3</v>
      </c>
      <c r="G3327" s="1">
        <v>16.8</v>
      </c>
      <c r="H3327" s="1" t="s">
        <v>8</v>
      </c>
      <c r="I3327" t="str">
        <f t="shared" si="51"/>
        <v>S/4 CONTEMPORY PINK ROSEBUD CANDLES [72785A]</v>
      </c>
    </row>
    <row r="3328" spans="1:9" x14ac:dyDescent="0.3">
      <c r="A3328" s="1" t="s">
        <v>2540</v>
      </c>
      <c r="B3328" t="s">
        <v>2539</v>
      </c>
      <c r="C3328" s="1">
        <v>1.3</v>
      </c>
      <c r="D3328" s="1">
        <v>4.5</v>
      </c>
      <c r="E3328" s="1">
        <v>4.5</v>
      </c>
      <c r="F3328" s="1">
        <v>2</v>
      </c>
      <c r="G3328" s="1">
        <v>10.9</v>
      </c>
      <c r="H3328" s="1" t="s">
        <v>8</v>
      </c>
      <c r="I3328" t="str">
        <f t="shared" si="51"/>
        <v>S/4 CONTEMPORY RED ROSEBUD CANDLES [72785B]</v>
      </c>
    </row>
    <row r="3329" spans="1:9" x14ac:dyDescent="0.3">
      <c r="A3329" s="1">
        <v>72789</v>
      </c>
      <c r="B3329" t="s">
        <v>2538</v>
      </c>
      <c r="C3329" s="1">
        <v>3.75</v>
      </c>
      <c r="D3329" s="1">
        <v>12</v>
      </c>
      <c r="E3329" s="1">
        <v>15.25</v>
      </c>
      <c r="F3329" s="1">
        <v>8</v>
      </c>
      <c r="G3329" s="1">
        <v>461.53</v>
      </c>
      <c r="H3329" s="1" t="s">
        <v>9</v>
      </c>
      <c r="I3329" t="str">
        <f t="shared" si="51"/>
        <v>BASKET/8 SCENTED LOVE TOKEN CANDLES [72789]</v>
      </c>
    </row>
    <row r="3330" spans="1:9" x14ac:dyDescent="0.3">
      <c r="A3330" s="1">
        <v>72793</v>
      </c>
      <c r="B3330" t="s">
        <v>2537</v>
      </c>
      <c r="C3330" s="1">
        <v>5.95</v>
      </c>
      <c r="D3330" s="1">
        <v>2</v>
      </c>
      <c r="E3330" s="2">
        <v>9.1666666666666607</v>
      </c>
      <c r="F3330" s="1">
        <v>6</v>
      </c>
      <c r="G3330" s="1">
        <v>268.75</v>
      </c>
      <c r="H3330" s="1" t="s">
        <v>8</v>
      </c>
      <c r="I3330" t="str">
        <f t="shared" si="51"/>
        <v>BLACK BOX MIRROR LANTERN [72793]</v>
      </c>
    </row>
    <row r="3331" spans="1:9" x14ac:dyDescent="0.3">
      <c r="A3331" s="1" t="s">
        <v>2536</v>
      </c>
      <c r="B3331" t="s">
        <v>2535</v>
      </c>
      <c r="C3331" s="1">
        <v>1.65</v>
      </c>
      <c r="D3331" s="1">
        <v>2</v>
      </c>
      <c r="E3331" s="1">
        <v>2.75</v>
      </c>
      <c r="F3331" s="1">
        <v>4</v>
      </c>
      <c r="G3331" s="1">
        <v>18.149999999999999</v>
      </c>
      <c r="H3331" s="1" t="s">
        <v>8</v>
      </c>
      <c r="I3331" t="str">
        <f t="shared" ref="I3331:I3394" si="52">B3331&amp;" ["&amp;A3331&amp;"]"</f>
        <v>S/3 ENGLISH LAVENDER SQU CANDLE [72796A]</v>
      </c>
    </row>
    <row r="3332" spans="1:9" x14ac:dyDescent="0.3">
      <c r="A3332" s="1" t="s">
        <v>2534</v>
      </c>
      <c r="B3332" t="s">
        <v>2533</v>
      </c>
      <c r="C3332" s="1">
        <v>1.65</v>
      </c>
      <c r="D3332" s="1">
        <v>2.5</v>
      </c>
      <c r="E3332" s="1">
        <v>4.5</v>
      </c>
      <c r="F3332" s="1">
        <v>6</v>
      </c>
      <c r="G3332" s="1">
        <v>44.55</v>
      </c>
      <c r="H3332" s="1" t="s">
        <v>8</v>
      </c>
      <c r="I3332" t="str">
        <f t="shared" si="52"/>
        <v>S/3 FRENCH VANILLA SQU CANDLE [72796B]</v>
      </c>
    </row>
    <row r="3333" spans="1:9" x14ac:dyDescent="0.3">
      <c r="A3333" s="1" t="s">
        <v>2532</v>
      </c>
      <c r="B3333" t="s">
        <v>2531</v>
      </c>
      <c r="C3333" s="1">
        <v>1.65</v>
      </c>
      <c r="D3333" s="1">
        <v>1</v>
      </c>
      <c r="E3333" s="1">
        <v>1</v>
      </c>
      <c r="F3333" s="1">
        <v>1</v>
      </c>
      <c r="G3333" s="1">
        <v>1.65</v>
      </c>
      <c r="H3333" s="1" t="s">
        <v>8</v>
      </c>
      <c r="I3333" t="str">
        <f t="shared" si="52"/>
        <v>S/3 ROSE GARDEN SCENT SQU CANDLE [72796C]</v>
      </c>
    </row>
    <row r="3334" spans="1:9" x14ac:dyDescent="0.3">
      <c r="A3334" s="1" t="s">
        <v>2530</v>
      </c>
      <c r="B3334" t="s">
        <v>2529</v>
      </c>
      <c r="C3334" s="1">
        <v>1.65</v>
      </c>
      <c r="D3334" s="1">
        <v>2</v>
      </c>
      <c r="E3334" s="1">
        <v>2.8</v>
      </c>
      <c r="F3334" s="1">
        <v>10</v>
      </c>
      <c r="G3334" s="1">
        <v>53.11</v>
      </c>
      <c r="H3334" s="1" t="s">
        <v>8</v>
      </c>
      <c r="I3334" t="str">
        <f t="shared" si="52"/>
        <v>SET/4 GARDEN ROSE DINNER CANDLE [72798C]</v>
      </c>
    </row>
    <row r="3335" spans="1:9" x14ac:dyDescent="0.3">
      <c r="A3335" s="1" t="s">
        <v>2528</v>
      </c>
      <c r="B3335" t="s">
        <v>2527</v>
      </c>
      <c r="C3335" s="1">
        <v>2.95</v>
      </c>
      <c r="D3335" s="1">
        <v>7</v>
      </c>
      <c r="E3335" s="2">
        <v>87.428571428571402</v>
      </c>
      <c r="F3335" s="1">
        <v>7</v>
      </c>
      <c r="G3335" s="2">
        <v>877.8</v>
      </c>
      <c r="H3335" s="1" t="s">
        <v>8</v>
      </c>
      <c r="I3335" t="str">
        <f t="shared" si="52"/>
        <v>BLACK PILLAR CANDLE SILVER FLOCK [72799A]</v>
      </c>
    </row>
    <row r="3336" spans="1:9" x14ac:dyDescent="0.3">
      <c r="A3336" s="1" t="s">
        <v>2526</v>
      </c>
      <c r="B3336" t="s">
        <v>2525</v>
      </c>
      <c r="C3336" s="2">
        <v>1.3599999999999901</v>
      </c>
      <c r="D3336" s="1">
        <v>161</v>
      </c>
      <c r="E3336" s="1">
        <v>161</v>
      </c>
      <c r="F3336" s="1">
        <v>2</v>
      </c>
      <c r="G3336" s="1">
        <v>467.71</v>
      </c>
      <c r="H3336" s="1" t="s">
        <v>10</v>
      </c>
      <c r="I3336" t="str">
        <f t="shared" si="52"/>
        <v>PURPLE PILLAR CANDLE BLACK FLOCK [72799B]</v>
      </c>
    </row>
    <row r="3337" spans="1:9" x14ac:dyDescent="0.3">
      <c r="A3337" s="1" t="s">
        <v>2524</v>
      </c>
      <c r="B3337" t="s">
        <v>2523</v>
      </c>
      <c r="C3337" s="1">
        <v>2.95</v>
      </c>
      <c r="D3337" s="1">
        <v>9</v>
      </c>
      <c r="E3337" s="1">
        <v>29.4375</v>
      </c>
      <c r="F3337" s="1">
        <v>16</v>
      </c>
      <c r="G3337" s="1">
        <v>783.1</v>
      </c>
      <c r="H3337" s="1" t="s">
        <v>8</v>
      </c>
      <c r="I3337" t="str">
        <f t="shared" si="52"/>
        <v>PINK PILLAR CANDLE SILVER FLOCK [72799C]</v>
      </c>
    </row>
    <row r="3338" spans="1:9" x14ac:dyDescent="0.3">
      <c r="A3338" s="1" t="s">
        <v>2522</v>
      </c>
      <c r="B3338" t="s">
        <v>2521</v>
      </c>
      <c r="C3338" s="1">
        <v>2.95</v>
      </c>
      <c r="D3338" s="1">
        <v>5</v>
      </c>
      <c r="E3338" s="2">
        <v>8.6666666666666607</v>
      </c>
      <c r="F3338" s="1">
        <v>9</v>
      </c>
      <c r="G3338" s="1">
        <v>260.67</v>
      </c>
      <c r="H3338" s="1" t="s">
        <v>8</v>
      </c>
      <c r="I3338" t="str">
        <f t="shared" si="52"/>
        <v>BLUE PILLAR CANDLE SILVER FLOCK [72799D]</v>
      </c>
    </row>
    <row r="3339" spans="1:9" x14ac:dyDescent="0.3">
      <c r="A3339" s="1" t="s">
        <v>2520</v>
      </c>
      <c r="B3339" t="s">
        <v>2519</v>
      </c>
      <c r="C3339" s="1">
        <v>2.96</v>
      </c>
      <c r="D3339" s="1">
        <v>18.5</v>
      </c>
      <c r="E3339" s="2">
        <v>51.3333333333333</v>
      </c>
      <c r="F3339" s="1">
        <v>24</v>
      </c>
      <c r="G3339" s="1">
        <v>2600.64</v>
      </c>
      <c r="H3339" s="1" t="s">
        <v>9</v>
      </c>
      <c r="I3339" t="str">
        <f t="shared" si="52"/>
        <v>IVORY PILLAR CANDLE SILVER FLOCK [72799E]</v>
      </c>
    </row>
    <row r="3340" spans="1:9" x14ac:dyDescent="0.3">
      <c r="A3340" s="1" t="s">
        <v>2518</v>
      </c>
      <c r="B3340" t="s">
        <v>2517</v>
      </c>
      <c r="C3340" s="1">
        <v>2.95</v>
      </c>
      <c r="D3340" s="1">
        <v>16</v>
      </c>
      <c r="E3340" s="2">
        <v>53.571428571428498</v>
      </c>
      <c r="F3340" s="1">
        <v>21</v>
      </c>
      <c r="G3340" s="1">
        <v>2082.7399999999998</v>
      </c>
      <c r="H3340" s="1" t="s">
        <v>9</v>
      </c>
      <c r="I3340" t="str">
        <f t="shared" si="52"/>
        <v>IVORY PILLAR CANDLE GOLD FLOCK [72799F]</v>
      </c>
    </row>
    <row r="3341" spans="1:9" x14ac:dyDescent="0.3">
      <c r="A3341" s="1" t="s">
        <v>2516</v>
      </c>
      <c r="B3341" t="s">
        <v>2515</v>
      </c>
      <c r="C3341" s="1">
        <v>2.375</v>
      </c>
      <c r="D3341" s="1">
        <v>32</v>
      </c>
      <c r="E3341" s="2">
        <v>112.333333333333</v>
      </c>
      <c r="F3341" s="1">
        <v>6</v>
      </c>
      <c r="G3341" s="1">
        <v>743.26</v>
      </c>
      <c r="H3341" s="1" t="s">
        <v>9</v>
      </c>
      <c r="I3341" t="str">
        <f t="shared" si="52"/>
        <v>S/4 BLACK DINNER CANDLE SILVER FLOC [72800A]</v>
      </c>
    </row>
    <row r="3342" spans="1:9" x14ac:dyDescent="0.3">
      <c r="A3342" s="1" t="s">
        <v>2514</v>
      </c>
      <c r="B3342" t="s">
        <v>2513</v>
      </c>
      <c r="C3342" s="1">
        <v>2.5499999999999998</v>
      </c>
      <c r="D3342" s="1">
        <v>7</v>
      </c>
      <c r="E3342" s="2">
        <v>42.826086956521699</v>
      </c>
      <c r="F3342" s="1">
        <v>23</v>
      </c>
      <c r="G3342" s="1">
        <v>1276.78</v>
      </c>
      <c r="H3342" s="1" t="s">
        <v>8</v>
      </c>
      <c r="I3342" t="str">
        <f t="shared" si="52"/>
        <v>S/4 PURPLE DINNER CANDLE BLK FLOCK [72800B]</v>
      </c>
    </row>
    <row r="3343" spans="1:9" x14ac:dyDescent="0.3">
      <c r="A3343" s="1" t="s">
        <v>2512</v>
      </c>
      <c r="B3343" t="s">
        <v>2511</v>
      </c>
      <c r="C3343" s="1">
        <v>2.5499999999999998</v>
      </c>
      <c r="D3343" s="1">
        <v>11</v>
      </c>
      <c r="E3343" s="1">
        <v>30</v>
      </c>
      <c r="F3343" s="1">
        <v>22</v>
      </c>
      <c r="G3343" s="1">
        <v>924.84</v>
      </c>
      <c r="H3343" s="1" t="s">
        <v>9</v>
      </c>
      <c r="I3343" t="str">
        <f t="shared" si="52"/>
        <v>S/4 PINK DINNER CANDLE SILVER FLOCK [72800C]</v>
      </c>
    </row>
    <row r="3344" spans="1:9" x14ac:dyDescent="0.3">
      <c r="A3344" s="1" t="s">
        <v>2510</v>
      </c>
      <c r="B3344" t="s">
        <v>2509</v>
      </c>
      <c r="C3344" s="1">
        <v>2.5499999999999998</v>
      </c>
      <c r="D3344" s="1">
        <v>9</v>
      </c>
      <c r="E3344" s="2">
        <v>27.434782608695599</v>
      </c>
      <c r="F3344" s="1">
        <v>23</v>
      </c>
      <c r="G3344" s="1">
        <v>1020.21</v>
      </c>
      <c r="H3344" s="1" t="s">
        <v>8</v>
      </c>
      <c r="I3344" t="str">
        <f t="shared" si="52"/>
        <v>S/4 BLUE DINNER CANDLE SILVER FLOCK [72800D]</v>
      </c>
    </row>
    <row r="3345" spans="1:9" x14ac:dyDescent="0.3">
      <c r="A3345" s="1" t="s">
        <v>2508</v>
      </c>
      <c r="B3345" t="s">
        <v>2507</v>
      </c>
      <c r="C3345" s="1">
        <v>2.4</v>
      </c>
      <c r="D3345" s="1">
        <v>32</v>
      </c>
      <c r="E3345" s="1">
        <v>55.52</v>
      </c>
      <c r="F3345" s="1">
        <v>25</v>
      </c>
      <c r="G3345" s="1">
        <v>2613.8200000000002</v>
      </c>
      <c r="H3345" s="1" t="s">
        <v>9</v>
      </c>
      <c r="I3345" t="str">
        <f t="shared" si="52"/>
        <v>4 IVORY DINNER CANDLES SILVER FLOCK [72800E]</v>
      </c>
    </row>
    <row r="3346" spans="1:9" x14ac:dyDescent="0.3">
      <c r="A3346" s="1" t="s">
        <v>2506</v>
      </c>
      <c r="B3346" t="s">
        <v>2505</v>
      </c>
      <c r="C3346" s="1">
        <v>2.5499999999999998</v>
      </c>
      <c r="D3346" s="1">
        <v>11.5</v>
      </c>
      <c r="E3346" s="1">
        <v>68.5</v>
      </c>
      <c r="F3346" s="1">
        <v>12</v>
      </c>
      <c r="G3346" s="1">
        <v>1060.19</v>
      </c>
      <c r="H3346" s="1" t="s">
        <v>9</v>
      </c>
      <c r="I3346" t="str">
        <f t="shared" si="52"/>
        <v>4 IVORY DINNER CANDLES GOLD FLOCK [72800F]</v>
      </c>
    </row>
    <row r="3347" spans="1:9" x14ac:dyDescent="0.3">
      <c r="A3347" s="1" t="s">
        <v>2504</v>
      </c>
      <c r="B3347" t="s">
        <v>2497</v>
      </c>
      <c r="C3347" s="1">
        <v>1.25</v>
      </c>
      <c r="D3347" s="1">
        <v>13</v>
      </c>
      <c r="E3347" s="2">
        <v>33.714285714285701</v>
      </c>
      <c r="F3347" s="1">
        <v>20</v>
      </c>
      <c r="G3347" s="1">
        <v>531.36</v>
      </c>
      <c r="H3347" s="1" t="s">
        <v>9</v>
      </c>
      <c r="I3347" t="str">
        <f t="shared" si="52"/>
        <v>S/4 ROSE PINK DINNER CANDLES [72801C]</v>
      </c>
    </row>
    <row r="3348" spans="1:9" x14ac:dyDescent="0.3">
      <c r="A3348" s="1" t="s">
        <v>2503</v>
      </c>
      <c r="B3348" t="s">
        <v>2495</v>
      </c>
      <c r="C3348" s="1">
        <v>1.25</v>
      </c>
      <c r="D3348" s="1">
        <v>8</v>
      </c>
      <c r="E3348" s="2">
        <v>26.3333333333333</v>
      </c>
      <c r="F3348" s="1">
        <v>20</v>
      </c>
      <c r="G3348" s="1">
        <v>446.17</v>
      </c>
      <c r="H3348" s="1" t="s">
        <v>8</v>
      </c>
      <c r="I3348" t="str">
        <f t="shared" si="52"/>
        <v>S/4 SKY BLUE DINNER CANDLES [72801D]</v>
      </c>
    </row>
    <row r="3349" spans="1:9" x14ac:dyDescent="0.3">
      <c r="A3349" s="1" t="s">
        <v>2502</v>
      </c>
      <c r="B3349" t="s">
        <v>2493</v>
      </c>
      <c r="C3349" s="1">
        <v>1.25</v>
      </c>
      <c r="D3349" s="1">
        <v>3.5</v>
      </c>
      <c r="E3349" s="1">
        <v>76.900000000000006</v>
      </c>
      <c r="F3349" s="1">
        <v>9</v>
      </c>
      <c r="G3349" s="1">
        <v>404.75</v>
      </c>
      <c r="H3349" s="1" t="s">
        <v>8</v>
      </c>
      <c r="I3349" t="str">
        <f t="shared" si="52"/>
        <v>S/4 FESTIVE GREEN DINNER CANDLES [72801E]</v>
      </c>
    </row>
    <row r="3350" spans="1:9" x14ac:dyDescent="0.3">
      <c r="A3350" s="1" t="s">
        <v>2501</v>
      </c>
      <c r="B3350" t="s">
        <v>2500</v>
      </c>
      <c r="C3350" s="1">
        <v>1.25</v>
      </c>
      <c r="D3350" s="1">
        <v>117</v>
      </c>
      <c r="E3350" s="1">
        <v>117</v>
      </c>
      <c r="F3350" s="1">
        <v>2</v>
      </c>
      <c r="G3350" s="1">
        <v>292.5</v>
      </c>
      <c r="H3350" s="1" t="s">
        <v>10</v>
      </c>
      <c r="I3350" t="str">
        <f t="shared" si="52"/>
        <v>S/4 FESTIVE RED DINNER CANDLES [72801F]</v>
      </c>
    </row>
    <row r="3351" spans="1:9" x14ac:dyDescent="0.3">
      <c r="A3351" s="1" t="s">
        <v>2499</v>
      </c>
      <c r="B3351" t="s">
        <v>2491</v>
      </c>
      <c r="C3351" s="1">
        <v>1.25</v>
      </c>
      <c r="D3351" s="1">
        <v>12</v>
      </c>
      <c r="E3351" s="2">
        <v>69.631578947368396</v>
      </c>
      <c r="F3351" s="1">
        <v>18</v>
      </c>
      <c r="G3351" s="1">
        <v>796.12</v>
      </c>
      <c r="H3351" s="1" t="s">
        <v>9</v>
      </c>
      <c r="I3351" t="str">
        <f t="shared" si="52"/>
        <v>S/4 BURGUNDY WINE DINNER CANDLES [72801G]</v>
      </c>
    </row>
    <row r="3352" spans="1:9" x14ac:dyDescent="0.3">
      <c r="A3352" s="1" t="s">
        <v>2498</v>
      </c>
      <c r="B3352" t="s">
        <v>2497</v>
      </c>
      <c r="C3352" s="1">
        <v>2.46</v>
      </c>
      <c r="D3352" s="1">
        <v>2.5</v>
      </c>
      <c r="E3352" s="2">
        <v>3.4444444444444402</v>
      </c>
      <c r="F3352" s="1">
        <v>18</v>
      </c>
      <c r="G3352" s="1">
        <v>153.66999999999999</v>
      </c>
      <c r="H3352" s="1" t="s">
        <v>8</v>
      </c>
      <c r="I3352" t="str">
        <f t="shared" si="52"/>
        <v>S/4 ROSE PINK DINNER CANDLES [72801c]</v>
      </c>
    </row>
    <row r="3353" spans="1:9" x14ac:dyDescent="0.3">
      <c r="A3353" s="1" t="s">
        <v>2496</v>
      </c>
      <c r="B3353" t="s">
        <v>2495</v>
      </c>
      <c r="C3353" s="1">
        <v>2.46</v>
      </c>
      <c r="D3353" s="1">
        <v>2.5</v>
      </c>
      <c r="E3353" s="2">
        <v>4.6818181818181799</v>
      </c>
      <c r="F3353" s="1">
        <v>22</v>
      </c>
      <c r="G3353" s="1">
        <v>254.98</v>
      </c>
      <c r="H3353" s="1" t="s">
        <v>8</v>
      </c>
      <c r="I3353" t="str">
        <f t="shared" si="52"/>
        <v>S/4 SKY BLUE DINNER CANDLES [72801d]</v>
      </c>
    </row>
    <row r="3354" spans="1:9" x14ac:dyDescent="0.3">
      <c r="A3354" s="1" t="s">
        <v>2494</v>
      </c>
      <c r="B3354" t="s">
        <v>2493</v>
      </c>
      <c r="C3354" s="1">
        <v>2.5099999999999998</v>
      </c>
      <c r="D3354" s="1">
        <v>1.5</v>
      </c>
      <c r="E3354" s="1">
        <v>1.75</v>
      </c>
      <c r="F3354" s="1">
        <v>4</v>
      </c>
      <c r="G3354" s="1">
        <v>17.57</v>
      </c>
      <c r="H3354" s="1" t="s">
        <v>8</v>
      </c>
      <c r="I3354" t="str">
        <f t="shared" si="52"/>
        <v>S/4 FESTIVE GREEN DINNER CANDLES [72801e]</v>
      </c>
    </row>
    <row r="3355" spans="1:9" x14ac:dyDescent="0.3">
      <c r="A3355" s="1" t="s">
        <v>2492</v>
      </c>
      <c r="B3355" t="s">
        <v>2491</v>
      </c>
      <c r="C3355" s="1">
        <v>2.5099999999999998</v>
      </c>
      <c r="D3355" s="1">
        <v>1</v>
      </c>
      <c r="E3355" s="2">
        <v>3.3333333333333299</v>
      </c>
      <c r="F3355" s="1">
        <v>3</v>
      </c>
      <c r="G3355" s="2">
        <v>25.099999999999898</v>
      </c>
      <c r="H3355" s="1" t="s">
        <v>8</v>
      </c>
      <c r="I3355" t="str">
        <f t="shared" si="52"/>
        <v>S/4 BURGUNDY WINE DINNER CANDLES [72801g]</v>
      </c>
    </row>
    <row r="3356" spans="1:9" x14ac:dyDescent="0.3">
      <c r="A3356" s="1" t="s">
        <v>2490</v>
      </c>
      <c r="B3356" t="s">
        <v>2485</v>
      </c>
      <c r="C3356" s="1">
        <v>4.25</v>
      </c>
      <c r="D3356" s="1">
        <v>22</v>
      </c>
      <c r="E3356" s="1">
        <v>36.56</v>
      </c>
      <c r="F3356" s="1">
        <v>25</v>
      </c>
      <c r="G3356" s="1">
        <v>3789.9</v>
      </c>
      <c r="H3356" s="1" t="s">
        <v>9</v>
      </c>
      <c r="I3356" t="str">
        <f t="shared" si="52"/>
        <v>ROSE SCENT CANDLE IN JEWELLED BOX [72802A]</v>
      </c>
    </row>
    <row r="3357" spans="1:9" x14ac:dyDescent="0.3">
      <c r="A3357" s="1" t="s">
        <v>2489</v>
      </c>
      <c r="B3357" t="s">
        <v>2488</v>
      </c>
      <c r="C3357" s="1">
        <v>4.25</v>
      </c>
      <c r="D3357" s="1">
        <v>29.5</v>
      </c>
      <c r="E3357" s="2">
        <v>38.045454545454497</v>
      </c>
      <c r="F3357" s="1">
        <v>22</v>
      </c>
      <c r="G3357" s="1">
        <v>3543.97</v>
      </c>
      <c r="H3357" s="1" t="s">
        <v>9</v>
      </c>
      <c r="I3357" t="str">
        <f t="shared" si="52"/>
        <v>OCEAN SCENT CANDLE IN JEWELLED BOX [72802B]</v>
      </c>
    </row>
    <row r="3358" spans="1:9" x14ac:dyDescent="0.3">
      <c r="A3358" s="1" t="s">
        <v>2487</v>
      </c>
      <c r="B3358" t="s">
        <v>2483</v>
      </c>
      <c r="C3358" s="1">
        <v>4.25</v>
      </c>
      <c r="D3358" s="1">
        <v>50</v>
      </c>
      <c r="E3358" s="2">
        <v>60.043478260869499</v>
      </c>
      <c r="F3358" s="1">
        <v>23</v>
      </c>
      <c r="G3358" s="1">
        <v>5303.31</v>
      </c>
      <c r="H3358" s="1" t="s">
        <v>9</v>
      </c>
      <c r="I3358" t="str">
        <f t="shared" si="52"/>
        <v>VANILLA SCENT CANDLE JEWELLED BOX [72802C]</v>
      </c>
    </row>
    <row r="3359" spans="1:9" x14ac:dyDescent="0.3">
      <c r="A3359" s="1" t="s">
        <v>2486</v>
      </c>
      <c r="B3359" t="s">
        <v>2485</v>
      </c>
      <c r="C3359" s="1">
        <v>8.4700000000000006</v>
      </c>
      <c r="D3359" s="1">
        <v>1</v>
      </c>
      <c r="E3359" s="1">
        <v>3</v>
      </c>
      <c r="F3359" s="1">
        <v>3</v>
      </c>
      <c r="G3359" s="1">
        <v>74.97</v>
      </c>
      <c r="H3359" s="1" t="s">
        <v>8</v>
      </c>
      <c r="I3359" t="str">
        <f t="shared" si="52"/>
        <v>ROSE SCENT CANDLE IN JEWELLED BOX [72802a]</v>
      </c>
    </row>
    <row r="3360" spans="1:9" x14ac:dyDescent="0.3">
      <c r="A3360" s="1" t="s">
        <v>2484</v>
      </c>
      <c r="B3360" t="s">
        <v>2483</v>
      </c>
      <c r="C3360" s="1">
        <v>8.2899999999999991</v>
      </c>
      <c r="D3360" s="1">
        <v>1</v>
      </c>
      <c r="E3360" s="1">
        <v>1</v>
      </c>
      <c r="F3360" s="1">
        <v>1</v>
      </c>
      <c r="G3360" s="1">
        <v>8.2899999999999991</v>
      </c>
      <c r="H3360" s="1" t="s">
        <v>8</v>
      </c>
      <c r="I3360" t="str">
        <f t="shared" si="52"/>
        <v>VANILLA SCENT CANDLE JEWELLED BOX [72802c]</v>
      </c>
    </row>
    <row r="3361" spans="1:9" x14ac:dyDescent="0.3">
      <c r="A3361" s="1" t="s">
        <v>2482</v>
      </c>
      <c r="B3361" t="s">
        <v>2481</v>
      </c>
      <c r="C3361" s="1">
        <v>4.25</v>
      </c>
      <c r="D3361" s="1">
        <v>16</v>
      </c>
      <c r="E3361" s="2">
        <v>14.6666666666666</v>
      </c>
      <c r="F3361" s="1">
        <v>21</v>
      </c>
      <c r="G3361" s="1">
        <v>1315.5</v>
      </c>
      <c r="H3361" s="1" t="s">
        <v>9</v>
      </c>
      <c r="I3361" t="str">
        <f t="shared" si="52"/>
        <v>ROSE SCENT CANDLE JEWELLED DRAWER [72803A]</v>
      </c>
    </row>
    <row r="3362" spans="1:9" x14ac:dyDescent="0.3">
      <c r="A3362" s="1" t="s">
        <v>2480</v>
      </c>
      <c r="B3362" t="s">
        <v>2478</v>
      </c>
      <c r="C3362" s="1">
        <v>4.25</v>
      </c>
      <c r="D3362" s="1">
        <v>7</v>
      </c>
      <c r="E3362" s="2">
        <v>8.3636363636363598</v>
      </c>
      <c r="F3362" s="1">
        <v>11</v>
      </c>
      <c r="G3362" s="1">
        <v>407.88</v>
      </c>
      <c r="H3362" s="1" t="s">
        <v>8</v>
      </c>
      <c r="I3362" t="str">
        <f t="shared" si="52"/>
        <v>OCEAN SCENT CANDLE JEWELLED DRAWER [72803B]</v>
      </c>
    </row>
    <row r="3363" spans="1:9" x14ac:dyDescent="0.3">
      <c r="A3363" s="1" t="s">
        <v>2479</v>
      </c>
      <c r="B3363" t="s">
        <v>2478</v>
      </c>
      <c r="C3363" s="1">
        <v>8.4700000000000006</v>
      </c>
      <c r="D3363" s="1">
        <v>1</v>
      </c>
      <c r="E3363" s="1">
        <v>1</v>
      </c>
      <c r="F3363" s="1">
        <v>1</v>
      </c>
      <c r="G3363" s="1">
        <v>8.4700000000000006</v>
      </c>
      <c r="H3363" s="1" t="s">
        <v>8</v>
      </c>
      <c r="I3363" t="str">
        <f t="shared" si="52"/>
        <v>OCEAN SCENT CANDLE JEWELLED DRAWER [72803b]</v>
      </c>
    </row>
    <row r="3364" spans="1:9" x14ac:dyDescent="0.3">
      <c r="A3364" s="1">
        <v>72805</v>
      </c>
      <c r="B3364" t="s">
        <v>2477</v>
      </c>
      <c r="C3364" s="1">
        <v>1.69</v>
      </c>
      <c r="D3364" s="1">
        <v>3</v>
      </c>
      <c r="E3364" s="2">
        <v>3.3333333333333299</v>
      </c>
      <c r="F3364" s="1">
        <v>3</v>
      </c>
      <c r="G3364" s="1">
        <v>16.899999999999999</v>
      </c>
      <c r="H3364" s="1" t="s">
        <v>8</v>
      </c>
      <c r="I3364" t="str">
        <f t="shared" si="52"/>
        <v>VANILLA CANDLE IN EMBOSSED ZINC POT [72805]</v>
      </c>
    </row>
    <row r="3365" spans="1:9" x14ac:dyDescent="0.3">
      <c r="A3365" s="1" t="s">
        <v>2476</v>
      </c>
      <c r="B3365" t="s">
        <v>2472</v>
      </c>
      <c r="C3365" s="1">
        <v>4.66</v>
      </c>
      <c r="D3365" s="1">
        <v>25.5</v>
      </c>
      <c r="E3365" s="1">
        <v>38.5</v>
      </c>
      <c r="F3365" s="1">
        <v>24</v>
      </c>
      <c r="G3365" s="1">
        <v>4213.54</v>
      </c>
      <c r="H3365" s="1" t="s">
        <v>9</v>
      </c>
      <c r="I3365" t="str">
        <f t="shared" si="52"/>
        <v>SET/3 ROSE CANDLE IN JEWELLED BOX [72807A]</v>
      </c>
    </row>
    <row r="3366" spans="1:9" x14ac:dyDescent="0.3">
      <c r="A3366" s="1" t="s">
        <v>2475</v>
      </c>
      <c r="B3366" t="s">
        <v>2470</v>
      </c>
      <c r="C3366" s="1">
        <v>4.41</v>
      </c>
      <c r="D3366" s="1">
        <v>34</v>
      </c>
      <c r="E3366" s="1">
        <v>44.125</v>
      </c>
      <c r="F3366" s="1">
        <v>24</v>
      </c>
      <c r="G3366" s="1">
        <v>4645.87</v>
      </c>
      <c r="H3366" s="1" t="s">
        <v>9</v>
      </c>
      <c r="I3366" t="str">
        <f t="shared" si="52"/>
        <v>SET/3 OCEAN SCENT CANDLE JEWEL BOX [72807B]</v>
      </c>
    </row>
    <row r="3367" spans="1:9" x14ac:dyDescent="0.3">
      <c r="A3367" s="1" t="s">
        <v>2474</v>
      </c>
      <c r="B3367" t="s">
        <v>2468</v>
      </c>
      <c r="C3367" s="1">
        <v>4.4550000000000001</v>
      </c>
      <c r="D3367" s="1">
        <v>44.5</v>
      </c>
      <c r="E3367" s="1">
        <v>82.625</v>
      </c>
      <c r="F3367" s="1">
        <v>24</v>
      </c>
      <c r="G3367" s="1">
        <v>8489.17</v>
      </c>
      <c r="H3367" s="1" t="s">
        <v>9</v>
      </c>
      <c r="I3367" t="str">
        <f t="shared" si="52"/>
        <v>SET/3 VANILLA SCENTED CANDLE IN BOX [72807C]</v>
      </c>
    </row>
    <row r="3368" spans="1:9" x14ac:dyDescent="0.3">
      <c r="A3368" s="1" t="s">
        <v>2473</v>
      </c>
      <c r="B3368" t="s">
        <v>2472</v>
      </c>
      <c r="C3368" s="1">
        <v>8.2899999999999991</v>
      </c>
      <c r="D3368" s="1">
        <v>1</v>
      </c>
      <c r="E3368" s="1">
        <v>3</v>
      </c>
      <c r="F3368" s="1">
        <v>3</v>
      </c>
      <c r="G3368" s="1">
        <v>74.790000000000006</v>
      </c>
      <c r="H3368" s="1" t="s">
        <v>8</v>
      </c>
      <c r="I3368" t="str">
        <f t="shared" si="52"/>
        <v>SET/3 ROSE CANDLE IN JEWELLED BOX [72807a]</v>
      </c>
    </row>
    <row r="3369" spans="1:9" x14ac:dyDescent="0.3">
      <c r="A3369" s="1" t="s">
        <v>2471</v>
      </c>
      <c r="B3369" t="s">
        <v>2470</v>
      </c>
      <c r="C3369" s="2">
        <v>8.3799999999999901</v>
      </c>
      <c r="D3369" s="1">
        <v>1.5</v>
      </c>
      <c r="E3369" s="2">
        <v>4.3333333333333304</v>
      </c>
      <c r="F3369" s="1">
        <v>6</v>
      </c>
      <c r="G3369" s="1">
        <v>220.94</v>
      </c>
      <c r="H3369" s="1" t="s">
        <v>8</v>
      </c>
      <c r="I3369" t="str">
        <f t="shared" si="52"/>
        <v>SET/3 OCEAN SCENT CANDLE JEWEL BOX [72807b]</v>
      </c>
    </row>
    <row r="3370" spans="1:9" x14ac:dyDescent="0.3">
      <c r="A3370" s="1" t="s">
        <v>2469</v>
      </c>
      <c r="B3370" t="s">
        <v>2468</v>
      </c>
      <c r="C3370" s="1">
        <v>8.4700000000000006</v>
      </c>
      <c r="D3370" s="1">
        <v>3</v>
      </c>
      <c r="E3370" s="2">
        <v>4.6153846153846096</v>
      </c>
      <c r="F3370" s="1">
        <v>13</v>
      </c>
      <c r="G3370" s="1">
        <v>511.98</v>
      </c>
      <c r="H3370" s="1" t="s">
        <v>8</v>
      </c>
      <c r="I3370" t="str">
        <f t="shared" si="52"/>
        <v>SET/3 VANILLA SCENTED CANDLE IN BOX [72807c]</v>
      </c>
    </row>
    <row r="3371" spans="1:9" x14ac:dyDescent="0.3">
      <c r="A3371" s="1">
        <v>72811</v>
      </c>
      <c r="B3371" t="s">
        <v>2467</v>
      </c>
      <c r="C3371" s="1">
        <v>1.49</v>
      </c>
      <c r="D3371" s="1">
        <v>12</v>
      </c>
      <c r="E3371" s="2">
        <v>23.1538461538461</v>
      </c>
      <c r="F3371" s="1">
        <v>13</v>
      </c>
      <c r="G3371" s="1">
        <v>285.73</v>
      </c>
      <c r="H3371" s="1" t="s">
        <v>9</v>
      </c>
      <c r="I3371" t="str">
        <f t="shared" si="52"/>
        <v>SMALL ZINC/GLASS CANDLEHOLDER [72811]</v>
      </c>
    </row>
    <row r="3372" spans="1:9" x14ac:dyDescent="0.3">
      <c r="A3372" s="1">
        <v>72812</v>
      </c>
      <c r="B3372" t="s">
        <v>2466</v>
      </c>
      <c r="C3372" s="1">
        <v>2.57</v>
      </c>
      <c r="D3372" s="1">
        <v>5</v>
      </c>
      <c r="E3372" s="2">
        <v>6.1764705882352899</v>
      </c>
      <c r="F3372" s="1">
        <v>16</v>
      </c>
      <c r="G3372" s="1">
        <v>288.45999999999998</v>
      </c>
      <c r="H3372" s="1" t="s">
        <v>8</v>
      </c>
      <c r="I3372" t="str">
        <f t="shared" si="52"/>
        <v>LARGE ZINC/GLASS CANDLEHOLDER [72812]</v>
      </c>
    </row>
    <row r="3373" spans="1:9" x14ac:dyDescent="0.3">
      <c r="A3373" s="1">
        <v>72814</v>
      </c>
      <c r="B3373" t="s">
        <v>2465</v>
      </c>
      <c r="C3373" s="1">
        <v>3.75</v>
      </c>
      <c r="D3373" s="1">
        <v>21</v>
      </c>
      <c r="E3373" s="1">
        <v>38</v>
      </c>
      <c r="F3373" s="1">
        <v>7</v>
      </c>
      <c r="G3373" s="1">
        <v>967.92</v>
      </c>
      <c r="H3373" s="1" t="s">
        <v>9</v>
      </c>
      <c r="I3373" t="str">
        <f t="shared" si="52"/>
        <v>SET/3 CHRISTMAS BRIAR CANDLES [72814]</v>
      </c>
    </row>
    <row r="3374" spans="1:9" x14ac:dyDescent="0.3">
      <c r="A3374" s="1">
        <v>72815</v>
      </c>
      <c r="B3374" t="s">
        <v>2464</v>
      </c>
      <c r="C3374" s="1">
        <v>3.75</v>
      </c>
      <c r="D3374" s="1">
        <v>51</v>
      </c>
      <c r="E3374" s="2">
        <v>40.142857142857103</v>
      </c>
      <c r="F3374" s="1">
        <v>7</v>
      </c>
      <c r="G3374" s="1">
        <v>1074.8900000000001</v>
      </c>
      <c r="H3374" s="1" t="s">
        <v>9</v>
      </c>
      <c r="I3374" t="str">
        <f t="shared" si="52"/>
        <v>3 WICK CHRISTMAS BRIAR CANDLE [72815]</v>
      </c>
    </row>
    <row r="3375" spans="1:9" x14ac:dyDescent="0.3">
      <c r="A3375" s="1">
        <v>72816</v>
      </c>
      <c r="B3375" t="s">
        <v>2463</v>
      </c>
      <c r="C3375" s="1">
        <v>1.7749999999999999</v>
      </c>
      <c r="D3375" s="1">
        <v>33</v>
      </c>
      <c r="E3375" s="1">
        <v>96</v>
      </c>
      <c r="F3375" s="1">
        <v>14</v>
      </c>
      <c r="G3375" s="1">
        <v>1671.52</v>
      </c>
      <c r="H3375" s="1" t="s">
        <v>9</v>
      </c>
      <c r="I3375" t="str">
        <f t="shared" si="52"/>
        <v>SET/3 CHRISTMAS DECOUPAGE CANDLES [72816]</v>
      </c>
    </row>
    <row r="3376" spans="1:9" x14ac:dyDescent="0.3">
      <c r="A3376" s="1">
        <v>72817</v>
      </c>
      <c r="B3376" t="s">
        <v>2462</v>
      </c>
      <c r="C3376" s="1">
        <v>1.28</v>
      </c>
      <c r="D3376" s="1">
        <v>34</v>
      </c>
      <c r="E3376" s="1">
        <v>97.0625</v>
      </c>
      <c r="F3376" s="1">
        <v>16</v>
      </c>
      <c r="G3376" s="1">
        <v>1671.28</v>
      </c>
      <c r="H3376" s="1" t="s">
        <v>9</v>
      </c>
      <c r="I3376" t="str">
        <f t="shared" si="52"/>
        <v>SET/2 CHRISTMAS DECOUPAGE CANDLES [72817]</v>
      </c>
    </row>
    <row r="3377" spans="1:9" x14ac:dyDescent="0.3">
      <c r="A3377" s="1">
        <v>72818</v>
      </c>
      <c r="B3377" t="s">
        <v>2461</v>
      </c>
      <c r="C3377" s="1">
        <v>0.85</v>
      </c>
      <c r="D3377" s="1">
        <v>55.5</v>
      </c>
      <c r="E3377" s="1">
        <v>199.5</v>
      </c>
      <c r="F3377" s="1">
        <v>12</v>
      </c>
      <c r="G3377" s="2">
        <v>1283.1299999999901</v>
      </c>
      <c r="H3377" s="1" t="s">
        <v>9</v>
      </c>
      <c r="I3377" t="str">
        <f t="shared" si="52"/>
        <v>CHRISTMAS DECOUPAGE CANDLE [72818]</v>
      </c>
    </row>
    <row r="3378" spans="1:9" x14ac:dyDescent="0.3">
      <c r="A3378" s="1">
        <v>72819</v>
      </c>
      <c r="B3378" t="s">
        <v>2460</v>
      </c>
      <c r="C3378" s="2">
        <v>2.8099999999999898</v>
      </c>
      <c r="D3378" s="1">
        <v>9</v>
      </c>
      <c r="E3378" s="2">
        <v>28.9166666666666</v>
      </c>
      <c r="F3378" s="1">
        <v>24</v>
      </c>
      <c r="G3378" s="1">
        <v>1174.01</v>
      </c>
      <c r="H3378" s="1" t="s">
        <v>8</v>
      </c>
      <c r="I3378" t="str">
        <f t="shared" si="52"/>
        <v>CUPID DESIGN SCENTED CANDLES [72819]</v>
      </c>
    </row>
    <row r="3379" spans="1:9" x14ac:dyDescent="0.3">
      <c r="A3379" s="1">
        <v>72821</v>
      </c>
      <c r="B3379" t="s">
        <v>2459</v>
      </c>
      <c r="C3379" s="1">
        <v>1.65</v>
      </c>
      <c r="D3379" s="1">
        <v>4</v>
      </c>
      <c r="E3379" s="2">
        <v>8.71428571428571</v>
      </c>
      <c r="F3379" s="1">
        <v>7</v>
      </c>
      <c r="G3379" s="2">
        <v>100.649999999999</v>
      </c>
      <c r="H3379" s="1" t="s">
        <v>8</v>
      </c>
      <c r="I3379" t="str">
        <f t="shared" si="52"/>
        <v>CUPID SCENTED CANDLE IN GLASS [72821]</v>
      </c>
    </row>
    <row r="3380" spans="1:9" x14ac:dyDescent="0.3">
      <c r="A3380" s="1">
        <v>75011</v>
      </c>
      <c r="B3380" t="s">
        <v>2458</v>
      </c>
      <c r="C3380" s="1">
        <v>0.79</v>
      </c>
      <c r="D3380" s="1">
        <v>19.5</v>
      </c>
      <c r="E3380" s="1">
        <v>21.5</v>
      </c>
      <c r="F3380" s="1">
        <v>8</v>
      </c>
      <c r="G3380" s="1">
        <v>138.76</v>
      </c>
      <c r="H3380" s="1" t="s">
        <v>9</v>
      </c>
      <c r="I3380" t="str">
        <f t="shared" si="52"/>
        <v>BLUE DAISY MOBILE [75011]</v>
      </c>
    </row>
    <row r="3381" spans="1:9" x14ac:dyDescent="0.3">
      <c r="A3381" s="1" t="s">
        <v>2457</v>
      </c>
      <c r="B3381" t="s">
        <v>2456</v>
      </c>
      <c r="C3381" s="1">
        <v>1.65</v>
      </c>
      <c r="D3381" s="1">
        <v>21</v>
      </c>
      <c r="E3381" s="1">
        <v>30</v>
      </c>
      <c r="F3381" s="1">
        <v>13</v>
      </c>
      <c r="G3381" s="1">
        <v>669.62</v>
      </c>
      <c r="H3381" s="1" t="s">
        <v>9</v>
      </c>
      <c r="I3381" t="str">
        <f t="shared" si="52"/>
        <v>STRING OF 8 BUTTERFLIES,PINK [75013B]</v>
      </c>
    </row>
    <row r="3382" spans="1:9" x14ac:dyDescent="0.3">
      <c r="A3382" s="1" t="s">
        <v>2455</v>
      </c>
      <c r="B3382" t="s">
        <v>2454</v>
      </c>
      <c r="C3382" s="1">
        <v>0.95</v>
      </c>
      <c r="D3382" s="1">
        <v>494</v>
      </c>
      <c r="E3382" s="1">
        <v>665</v>
      </c>
      <c r="F3382" s="1">
        <v>21</v>
      </c>
      <c r="G3382" s="1">
        <v>13146.27</v>
      </c>
      <c r="H3382" s="1" t="s">
        <v>10</v>
      </c>
      <c r="I3382" t="str">
        <f t="shared" si="52"/>
        <v>LARGE CIRCULAR MIRROR MOBILE [75049L]</v>
      </c>
    </row>
    <row r="3383" spans="1:9" x14ac:dyDescent="0.3">
      <c r="A3383" s="1">
        <v>75131</v>
      </c>
      <c r="B3383" t="s">
        <v>2453</v>
      </c>
      <c r="C3383" s="1">
        <v>1.69</v>
      </c>
      <c r="D3383" s="1">
        <v>25</v>
      </c>
      <c r="E3383" s="2">
        <v>71.588235294117595</v>
      </c>
      <c r="F3383" s="1">
        <v>17</v>
      </c>
      <c r="G3383" s="1">
        <v>1543.03</v>
      </c>
      <c r="H3383" s="1" t="s">
        <v>9</v>
      </c>
      <c r="I3383" t="str">
        <f t="shared" si="52"/>
        <v>METAL TUBE CHIME ON BAMBOO [75131]</v>
      </c>
    </row>
    <row r="3384" spans="1:9" x14ac:dyDescent="0.3">
      <c r="A3384" s="1" t="s">
        <v>2452</v>
      </c>
      <c r="B3384" t="s">
        <v>2451</v>
      </c>
      <c r="C3384" s="1">
        <v>1.25</v>
      </c>
      <c r="D3384" s="1">
        <v>54.5</v>
      </c>
      <c r="E3384" s="2">
        <v>45.3333333333333</v>
      </c>
      <c r="F3384" s="1">
        <v>6</v>
      </c>
      <c r="G3384" s="1">
        <v>340</v>
      </c>
      <c r="H3384" s="1" t="s">
        <v>9</v>
      </c>
      <c r="I3384" t="str">
        <f t="shared" si="52"/>
        <v>STRING CRYSTALS NATURAL [75149N]</v>
      </c>
    </row>
    <row r="3385" spans="1:9" x14ac:dyDescent="0.3">
      <c r="A3385" s="1">
        <v>75172</v>
      </c>
      <c r="B3385" t="s">
        <v>2450</v>
      </c>
      <c r="C3385" s="1">
        <v>3.75</v>
      </c>
      <c r="D3385" s="1">
        <v>2</v>
      </c>
      <c r="E3385" s="1">
        <v>1.6</v>
      </c>
      <c r="F3385" s="1">
        <v>5</v>
      </c>
      <c r="G3385" s="1">
        <v>30</v>
      </c>
      <c r="H3385" s="1" t="s">
        <v>8</v>
      </c>
      <c r="I3385" t="str">
        <f t="shared" si="52"/>
        <v>PAINTED SEA SHELL METAL WINDCHIME [75172]</v>
      </c>
    </row>
    <row r="3386" spans="1:9" x14ac:dyDescent="0.3">
      <c r="A3386" s="1">
        <v>75178</v>
      </c>
      <c r="B3386" t="s">
        <v>2449</v>
      </c>
      <c r="C3386" s="1">
        <v>1.25</v>
      </c>
      <c r="D3386" s="1">
        <v>4</v>
      </c>
      <c r="E3386" s="2">
        <v>33.133333333333297</v>
      </c>
      <c r="F3386" s="1">
        <v>15</v>
      </c>
      <c r="G3386" s="1">
        <v>273.93</v>
      </c>
      <c r="H3386" s="1" t="s">
        <v>8</v>
      </c>
      <c r="I3386" t="str">
        <f t="shared" si="52"/>
        <v>ASSTD COL BUTTERFLY/CRYSTAL W/CHIME [75178]</v>
      </c>
    </row>
    <row r="3387" spans="1:9" x14ac:dyDescent="0.3">
      <c r="A3387" s="1">
        <v>77079</v>
      </c>
      <c r="B3387" t="s">
        <v>2448</v>
      </c>
      <c r="C3387" s="1">
        <v>2.12</v>
      </c>
      <c r="D3387" s="1">
        <v>13</v>
      </c>
      <c r="E3387" s="1">
        <v>12.8</v>
      </c>
      <c r="F3387" s="1">
        <v>5</v>
      </c>
      <c r="G3387" s="1">
        <v>135.68</v>
      </c>
      <c r="H3387" s="1" t="s">
        <v>9</v>
      </c>
      <c r="I3387" t="str">
        <f t="shared" si="52"/>
        <v>DOLPHIN WINDMILL [77079]</v>
      </c>
    </row>
    <row r="3388" spans="1:9" x14ac:dyDescent="0.3">
      <c r="A3388" s="1">
        <v>77081</v>
      </c>
      <c r="B3388" t="s">
        <v>2447</v>
      </c>
      <c r="C3388" s="1">
        <v>1.34</v>
      </c>
      <c r="D3388" s="1">
        <v>24</v>
      </c>
      <c r="E3388" s="2">
        <v>26.8888888888888</v>
      </c>
      <c r="F3388" s="1">
        <v>9</v>
      </c>
      <c r="G3388" s="1">
        <v>308.38</v>
      </c>
      <c r="H3388" s="1" t="s">
        <v>9</v>
      </c>
      <c r="I3388" t="str">
        <f t="shared" si="52"/>
        <v>FLOWER WINDMILL [77081]</v>
      </c>
    </row>
    <row r="3389" spans="1:9" x14ac:dyDescent="0.3">
      <c r="A3389" s="1" t="s">
        <v>2446</v>
      </c>
      <c r="B3389" t="s">
        <v>2445</v>
      </c>
      <c r="C3389" s="1">
        <v>1.25</v>
      </c>
      <c r="D3389" s="1">
        <v>40.5</v>
      </c>
      <c r="E3389" s="1">
        <v>67.625</v>
      </c>
      <c r="F3389" s="1">
        <v>16</v>
      </c>
      <c r="G3389" s="1">
        <v>1255.97</v>
      </c>
      <c r="H3389" s="1" t="s">
        <v>9</v>
      </c>
      <c r="I3389" t="str">
        <f t="shared" si="52"/>
        <v>UNION FLAG WINDSOCK [77101A]</v>
      </c>
    </row>
    <row r="3390" spans="1:9" x14ac:dyDescent="0.3">
      <c r="A3390" s="1">
        <v>78026</v>
      </c>
      <c r="B3390" t="s">
        <v>2444</v>
      </c>
      <c r="C3390" s="1">
        <v>19.975000000000001</v>
      </c>
      <c r="D3390" s="1">
        <v>6</v>
      </c>
      <c r="E3390" s="1">
        <v>6</v>
      </c>
      <c r="F3390" s="1">
        <v>2</v>
      </c>
      <c r="G3390" s="1">
        <v>139.94999999999999</v>
      </c>
      <c r="H3390" s="1" t="s">
        <v>8</v>
      </c>
      <c r="I3390" t="str">
        <f t="shared" si="52"/>
        <v>SEAGRASS S/3 SQU LAUNDRY BOX [78026]</v>
      </c>
    </row>
    <row r="3391" spans="1:9" x14ac:dyDescent="0.3">
      <c r="A3391" s="1">
        <v>78027</v>
      </c>
      <c r="B3391" t="s">
        <v>2443</v>
      </c>
      <c r="C3391" s="1">
        <v>15.95</v>
      </c>
      <c r="D3391" s="1">
        <v>1</v>
      </c>
      <c r="E3391" s="1">
        <v>1.2</v>
      </c>
      <c r="F3391" s="1">
        <v>5</v>
      </c>
      <c r="G3391" s="2">
        <v>100.149999999999</v>
      </c>
      <c r="H3391" s="1" t="s">
        <v>8</v>
      </c>
      <c r="I3391" t="str">
        <f t="shared" si="52"/>
        <v>SEAGRASS S/2 CORNER LAUNDRY [78027]</v>
      </c>
    </row>
    <row r="3392" spans="1:9" x14ac:dyDescent="0.3">
      <c r="A3392" s="1">
        <v>78033</v>
      </c>
      <c r="B3392" t="s">
        <v>2442</v>
      </c>
      <c r="C3392" s="1">
        <v>5.95</v>
      </c>
      <c r="D3392" s="1">
        <v>6</v>
      </c>
      <c r="E3392" s="2">
        <v>6.9090909090909003</v>
      </c>
      <c r="F3392" s="1">
        <v>11</v>
      </c>
      <c r="G3392" s="1">
        <v>370.6</v>
      </c>
      <c r="H3392" s="1" t="s">
        <v>8</v>
      </c>
      <c r="I3392" t="str">
        <f t="shared" si="52"/>
        <v>FLAG OF ST GEORGE CHAIR [78033]</v>
      </c>
    </row>
    <row r="3393" spans="1:9" x14ac:dyDescent="0.3">
      <c r="A3393" s="1" t="s">
        <v>2441</v>
      </c>
      <c r="B3393" t="s">
        <v>2440</v>
      </c>
      <c r="C3393" s="1">
        <v>1.95</v>
      </c>
      <c r="D3393" s="1">
        <v>2</v>
      </c>
      <c r="E3393" s="1">
        <v>1.875</v>
      </c>
      <c r="F3393" s="1">
        <v>8</v>
      </c>
      <c r="G3393" s="1">
        <v>29.25</v>
      </c>
      <c r="H3393" s="1" t="s">
        <v>8</v>
      </c>
      <c r="I3393" t="str">
        <f t="shared" si="52"/>
        <v>BLUE NETTING STORAGE HANGER [78034B]</v>
      </c>
    </row>
    <row r="3394" spans="1:9" x14ac:dyDescent="0.3">
      <c r="A3394" s="1">
        <v>78056</v>
      </c>
      <c r="B3394" t="s">
        <v>2439</v>
      </c>
      <c r="C3394" s="1">
        <v>9.9499999999999993</v>
      </c>
      <c r="D3394" s="1">
        <v>3</v>
      </c>
      <c r="E3394" s="1">
        <v>3</v>
      </c>
      <c r="F3394" s="1">
        <v>1</v>
      </c>
      <c r="G3394" s="1">
        <v>29.85</v>
      </c>
      <c r="H3394" s="1" t="s">
        <v>8</v>
      </c>
      <c r="I3394" t="str">
        <f t="shared" si="52"/>
        <v>CAMOUFLAGE BACKPACK ON WHEELS [78056]</v>
      </c>
    </row>
    <row r="3395" spans="1:9" x14ac:dyDescent="0.3">
      <c r="A3395" s="1">
        <v>78124</v>
      </c>
      <c r="B3395" t="s">
        <v>2438</v>
      </c>
      <c r="C3395" s="1">
        <v>1.25</v>
      </c>
      <c r="D3395" s="1">
        <v>29</v>
      </c>
      <c r="E3395" s="2">
        <v>51.857142857142797</v>
      </c>
      <c r="F3395" s="1">
        <v>14</v>
      </c>
      <c r="G3395" s="1">
        <v>952.5</v>
      </c>
      <c r="H3395" s="1" t="s">
        <v>9</v>
      </c>
      <c r="I3395" t="str">
        <f t="shared" ref="I3395:I3458" si="53">B3395&amp;" ["&amp;A3395&amp;"]"</f>
        <v>MAGAZINE RACK GEBRA ASSORTED [78124]</v>
      </c>
    </row>
    <row r="3396" spans="1:9" x14ac:dyDescent="0.3">
      <c r="A3396" s="1">
        <v>79000</v>
      </c>
      <c r="B3396" t="s">
        <v>2437</v>
      </c>
      <c r="C3396" s="1">
        <v>0.8</v>
      </c>
      <c r="D3396" s="1">
        <v>605</v>
      </c>
      <c r="E3396" s="2">
        <v>544.22727272727195</v>
      </c>
      <c r="F3396" s="1">
        <v>22</v>
      </c>
      <c r="G3396" s="1">
        <v>9759.91</v>
      </c>
      <c r="H3396" s="1" t="s">
        <v>10</v>
      </c>
      <c r="I3396" t="str">
        <f t="shared" si="53"/>
        <v>MOROCCAN TEA GLASS [79000]</v>
      </c>
    </row>
    <row r="3397" spans="1:9" x14ac:dyDescent="0.3">
      <c r="A3397" s="1" t="s">
        <v>2436</v>
      </c>
      <c r="B3397" t="s">
        <v>2435</v>
      </c>
      <c r="C3397" s="1">
        <v>1.25</v>
      </c>
      <c r="D3397" s="1">
        <v>2</v>
      </c>
      <c r="E3397" s="2">
        <v>6.2727272727272698</v>
      </c>
      <c r="F3397" s="1">
        <v>11</v>
      </c>
      <c r="G3397" s="1">
        <v>89.25</v>
      </c>
      <c r="H3397" s="1" t="s">
        <v>8</v>
      </c>
      <c r="I3397" t="str">
        <f t="shared" si="53"/>
        <v>S/4 ICON COASTER,ELVIS LIVES [79026B]</v>
      </c>
    </row>
    <row r="3398" spans="1:9" x14ac:dyDescent="0.3">
      <c r="A3398" s="1">
        <v>79029</v>
      </c>
      <c r="B3398" t="s">
        <v>2434</v>
      </c>
      <c r="C3398" s="1">
        <v>1.89</v>
      </c>
      <c r="D3398" s="1">
        <v>333</v>
      </c>
      <c r="E3398" s="2">
        <v>327.11111111111097</v>
      </c>
      <c r="F3398" s="1">
        <v>9</v>
      </c>
      <c r="G3398" s="1">
        <v>5473.82</v>
      </c>
      <c r="H3398" s="1" t="s">
        <v>10</v>
      </c>
      <c r="I3398" t="str">
        <f t="shared" si="53"/>
        <v>GLASS HONEYPOT WASP CATCHER [79029]</v>
      </c>
    </row>
    <row r="3399" spans="1:9" x14ac:dyDescent="0.3">
      <c r="A3399" s="1" t="s">
        <v>2433</v>
      </c>
      <c r="B3399" t="s">
        <v>2432</v>
      </c>
      <c r="C3399" s="1">
        <v>3.23</v>
      </c>
      <c r="D3399" s="1">
        <v>28</v>
      </c>
      <c r="E3399" s="2">
        <v>56.6666666666666</v>
      </c>
      <c r="F3399" s="1">
        <v>3</v>
      </c>
      <c r="G3399" s="1">
        <v>425.53</v>
      </c>
      <c r="H3399" s="1" t="s">
        <v>9</v>
      </c>
      <c r="I3399" t="str">
        <f t="shared" si="53"/>
        <v>TUMBLER, ENGLISH ROSE [79030A]</v>
      </c>
    </row>
    <row r="3400" spans="1:9" x14ac:dyDescent="0.3">
      <c r="A3400" s="1" t="s">
        <v>2431</v>
      </c>
      <c r="B3400" t="s">
        <v>2430</v>
      </c>
      <c r="C3400" s="1">
        <v>1.65</v>
      </c>
      <c r="D3400" s="1">
        <v>13.5</v>
      </c>
      <c r="E3400" s="2">
        <v>58.3333333333333</v>
      </c>
      <c r="F3400" s="1">
        <v>12</v>
      </c>
      <c r="G3400" s="1">
        <v>561.33000000000004</v>
      </c>
      <c r="H3400" s="1" t="s">
        <v>9</v>
      </c>
      <c r="I3400" t="str">
        <f t="shared" si="53"/>
        <v>TUMBLER, BAROQUE [79030D]</v>
      </c>
    </row>
    <row r="3401" spans="1:9" x14ac:dyDescent="0.3">
      <c r="A3401" s="1" t="s">
        <v>2429</v>
      </c>
      <c r="B3401" t="s">
        <v>2428</v>
      </c>
      <c r="C3401" s="1">
        <v>1.96</v>
      </c>
      <c r="D3401" s="1">
        <v>25</v>
      </c>
      <c r="E3401" s="2">
        <v>29.133333333333301</v>
      </c>
      <c r="F3401" s="1">
        <v>15</v>
      </c>
      <c r="G3401" s="1">
        <v>857.34</v>
      </c>
      <c r="H3401" s="1" t="s">
        <v>9</v>
      </c>
      <c r="I3401" t="str">
        <f t="shared" si="53"/>
        <v>TUMBLER, NEW ENGLAND [79030G]</v>
      </c>
    </row>
    <row r="3402" spans="1:9" x14ac:dyDescent="0.3">
      <c r="A3402" s="1" t="s">
        <v>2427</v>
      </c>
      <c r="B3402" t="s">
        <v>2425</v>
      </c>
      <c r="C3402" s="1">
        <v>0.59</v>
      </c>
      <c r="D3402" s="1">
        <v>17</v>
      </c>
      <c r="E3402" s="2">
        <v>48.631578947368403</v>
      </c>
      <c r="F3402" s="1">
        <v>19</v>
      </c>
      <c r="G3402" s="1">
        <v>360.46</v>
      </c>
      <c r="H3402" s="1" t="s">
        <v>9</v>
      </c>
      <c r="I3402" t="str">
        <f t="shared" si="53"/>
        <v>SMOKEY GREY COLOUR D.O.F. GLASS [79051A]</v>
      </c>
    </row>
    <row r="3403" spans="1:9" x14ac:dyDescent="0.3">
      <c r="A3403" s="1" t="s">
        <v>2426</v>
      </c>
      <c r="B3403" t="s">
        <v>2425</v>
      </c>
      <c r="C3403" s="1">
        <v>6.04</v>
      </c>
      <c r="D3403" s="1">
        <v>1</v>
      </c>
      <c r="E3403" s="1">
        <v>1</v>
      </c>
      <c r="F3403" s="1">
        <v>1</v>
      </c>
      <c r="G3403" s="1">
        <v>6.04</v>
      </c>
      <c r="H3403" s="1" t="s">
        <v>8</v>
      </c>
      <c r="I3403" t="str">
        <f t="shared" si="53"/>
        <v>SMOKEY GREY COLOUR D.O.F. GLASS [79051a]</v>
      </c>
    </row>
    <row r="3404" spans="1:9" x14ac:dyDescent="0.3">
      <c r="A3404" s="1" t="s">
        <v>2424</v>
      </c>
      <c r="B3404" t="s">
        <v>2423</v>
      </c>
      <c r="C3404" s="1">
        <v>0.28999999999999998</v>
      </c>
      <c r="D3404" s="1">
        <v>20</v>
      </c>
      <c r="E3404" s="1">
        <v>20</v>
      </c>
      <c r="F3404" s="1">
        <v>2</v>
      </c>
      <c r="G3404" s="1">
        <v>11.6</v>
      </c>
      <c r="H3404" s="1" t="s">
        <v>9</v>
      </c>
      <c r="I3404" t="str">
        <f t="shared" si="53"/>
        <v>RETRO TIN ASHTRAY,REVOLUTIONARY [79062D]</v>
      </c>
    </row>
    <row r="3405" spans="1:9" x14ac:dyDescent="0.3">
      <c r="A3405" s="1" t="s">
        <v>2422</v>
      </c>
      <c r="B3405" t="s">
        <v>2421</v>
      </c>
      <c r="C3405" s="1">
        <v>0.19</v>
      </c>
      <c r="D3405" s="1">
        <v>17.5</v>
      </c>
      <c r="E3405" s="1">
        <v>29.375</v>
      </c>
      <c r="F3405" s="1">
        <v>8</v>
      </c>
      <c r="G3405" s="1">
        <v>43.65</v>
      </c>
      <c r="H3405" s="1" t="s">
        <v>9</v>
      </c>
      <c r="I3405" t="str">
        <f t="shared" si="53"/>
        <v>RETRO PILL BOX KEY CHAIN,THE KING [79063C]</v>
      </c>
    </row>
    <row r="3406" spans="1:9" x14ac:dyDescent="0.3">
      <c r="A3406" s="1" t="s">
        <v>2420</v>
      </c>
      <c r="B3406" t="s">
        <v>2419</v>
      </c>
      <c r="C3406" s="1">
        <v>0.19</v>
      </c>
      <c r="D3406" s="1">
        <v>15</v>
      </c>
      <c r="E3406" s="1">
        <v>31.5</v>
      </c>
      <c r="F3406" s="1">
        <v>6</v>
      </c>
      <c r="G3406" s="1">
        <v>35.14</v>
      </c>
      <c r="H3406" s="1" t="s">
        <v>9</v>
      </c>
      <c r="I3406" t="str">
        <f t="shared" si="53"/>
        <v>RETRO PILL BOX , REVOLUTIONARY [79063D]</v>
      </c>
    </row>
    <row r="3407" spans="1:9" x14ac:dyDescent="0.3">
      <c r="A3407" s="1" t="s">
        <v>2418</v>
      </c>
      <c r="B3407" t="s">
        <v>2417</v>
      </c>
      <c r="C3407" s="1">
        <v>9.9499999999999993</v>
      </c>
      <c r="D3407" s="1">
        <v>4</v>
      </c>
      <c r="E3407" s="1">
        <v>4</v>
      </c>
      <c r="F3407" s="1">
        <v>1</v>
      </c>
      <c r="G3407" s="1">
        <v>39.799999999999997</v>
      </c>
      <c r="H3407" s="1" t="s">
        <v>8</v>
      </c>
      <c r="I3407" t="str">
        <f t="shared" si="53"/>
        <v>TEATIME ROUND CAKE TINS [79065A]</v>
      </c>
    </row>
    <row r="3408" spans="1:9" x14ac:dyDescent="0.3">
      <c r="A3408" s="1" t="s">
        <v>2416</v>
      </c>
      <c r="B3408" t="s">
        <v>2414</v>
      </c>
      <c r="C3408" s="1">
        <v>0.89</v>
      </c>
      <c r="D3408" s="1">
        <v>47</v>
      </c>
      <c r="E3408" s="1">
        <v>55.08</v>
      </c>
      <c r="F3408" s="1">
        <v>25</v>
      </c>
      <c r="G3408" s="1">
        <v>1200.25</v>
      </c>
      <c r="H3408" s="1" t="s">
        <v>9</v>
      </c>
      <c r="I3408" t="str">
        <f t="shared" si="53"/>
        <v>RETRO MOD TRAY [79066K]</v>
      </c>
    </row>
    <row r="3409" spans="1:9" x14ac:dyDescent="0.3">
      <c r="A3409" s="1" t="s">
        <v>2415</v>
      </c>
      <c r="B3409" t="s">
        <v>2414</v>
      </c>
      <c r="C3409" s="1">
        <v>1.66</v>
      </c>
      <c r="D3409" s="1">
        <v>1</v>
      </c>
      <c r="E3409" s="1">
        <v>2</v>
      </c>
      <c r="F3409" s="1">
        <v>13</v>
      </c>
      <c r="G3409" s="1">
        <v>42.71</v>
      </c>
      <c r="H3409" s="1" t="s">
        <v>8</v>
      </c>
      <c r="I3409" t="str">
        <f t="shared" si="53"/>
        <v>RETRO MOD TRAY [79066k]</v>
      </c>
    </row>
    <row r="3410" spans="1:9" x14ac:dyDescent="0.3">
      <c r="A3410" s="1">
        <v>79067</v>
      </c>
      <c r="B3410" t="s">
        <v>2413</v>
      </c>
      <c r="C3410" s="1">
        <v>4.1399999999999997</v>
      </c>
      <c r="D3410" s="1">
        <v>125</v>
      </c>
      <c r="E3410" s="2">
        <v>124.230769230769</v>
      </c>
      <c r="F3410" s="1">
        <v>13</v>
      </c>
      <c r="G3410" s="1">
        <v>6380.2</v>
      </c>
      <c r="H3410" s="1" t="s">
        <v>10</v>
      </c>
      <c r="I3410" t="str">
        <f t="shared" si="53"/>
        <v>CORONA MEXICAN TRAY [79067]</v>
      </c>
    </row>
    <row r="3411" spans="1:9" x14ac:dyDescent="0.3">
      <c r="A3411" s="1" t="s">
        <v>2412</v>
      </c>
      <c r="B3411" t="s">
        <v>2411</v>
      </c>
      <c r="C3411" s="1">
        <v>11.26</v>
      </c>
      <c r="D3411" s="1">
        <v>1</v>
      </c>
      <c r="E3411" s="1">
        <v>1</v>
      </c>
      <c r="F3411" s="1">
        <v>1</v>
      </c>
      <c r="G3411" s="1">
        <v>11.26</v>
      </c>
      <c r="H3411" s="1" t="s">
        <v>8</v>
      </c>
      <c r="I3411" t="str">
        <f t="shared" si="53"/>
        <v>ENGLISH ROSE SQUARE CAKE TINS [79070b]</v>
      </c>
    </row>
    <row r="3412" spans="1:9" x14ac:dyDescent="0.3">
      <c r="A3412" s="1" t="s">
        <v>2410</v>
      </c>
      <c r="B3412" t="s">
        <v>2409</v>
      </c>
      <c r="C3412" s="1">
        <v>2.95</v>
      </c>
      <c r="D3412" s="1">
        <v>6.5</v>
      </c>
      <c r="E3412" s="1">
        <v>8.875</v>
      </c>
      <c r="F3412" s="1">
        <v>16</v>
      </c>
      <c r="G3412" s="1">
        <v>433.7</v>
      </c>
      <c r="H3412" s="1" t="s">
        <v>8</v>
      </c>
      <c r="I3412" t="str">
        <f t="shared" si="53"/>
        <v>ENGLISH ROSE METAL WASTE BIN [79071B]</v>
      </c>
    </row>
    <row r="3413" spans="1:9" x14ac:dyDescent="0.3">
      <c r="A3413" s="1">
        <v>79072</v>
      </c>
      <c r="B3413" t="s">
        <v>2408</v>
      </c>
      <c r="C3413" s="1">
        <v>10.815</v>
      </c>
      <c r="D3413" s="1">
        <v>45</v>
      </c>
      <c r="E3413" s="1">
        <v>71</v>
      </c>
      <c r="F3413" s="1">
        <v>4</v>
      </c>
      <c r="G3413" s="1">
        <v>3083.2</v>
      </c>
      <c r="H3413" s="1" t="s">
        <v>9</v>
      </c>
      <c r="I3413" t="str">
        <f t="shared" si="53"/>
        <v>TEATIME CAKE TIN WITH HANDLE [79072]</v>
      </c>
    </row>
    <row r="3414" spans="1:9" x14ac:dyDescent="0.3">
      <c r="A3414" s="1">
        <v>79140</v>
      </c>
      <c r="B3414" t="s">
        <v>2407</v>
      </c>
      <c r="C3414" s="1">
        <v>0.42</v>
      </c>
      <c r="D3414" s="1">
        <v>7.5</v>
      </c>
      <c r="E3414" s="1">
        <v>7.5</v>
      </c>
      <c r="F3414" s="1">
        <v>2</v>
      </c>
      <c r="G3414" s="1">
        <v>6.3</v>
      </c>
      <c r="H3414" s="1" t="s">
        <v>8</v>
      </c>
      <c r="I3414" t="str">
        <f t="shared" si="53"/>
        <v>ASS WINDPROOF MARIJUANA LIGHTERS [79140]</v>
      </c>
    </row>
    <row r="3415" spans="1:9" x14ac:dyDescent="0.3">
      <c r="A3415" s="1" t="s">
        <v>2406</v>
      </c>
      <c r="B3415" t="s">
        <v>2405</v>
      </c>
      <c r="C3415" s="1">
        <v>0.56499999999999995</v>
      </c>
      <c r="D3415" s="1">
        <v>11</v>
      </c>
      <c r="E3415" s="2">
        <v>14.5833333333333</v>
      </c>
      <c r="F3415" s="1">
        <v>24</v>
      </c>
      <c r="G3415" s="1">
        <v>181.03</v>
      </c>
      <c r="H3415" s="1" t="s">
        <v>9</v>
      </c>
      <c r="I3415" t="str">
        <f t="shared" si="53"/>
        <v>PAINTED LIGHTBULB STAR+ MOON [79144B]</v>
      </c>
    </row>
    <row r="3416" spans="1:9" x14ac:dyDescent="0.3">
      <c r="A3416" s="1" t="s">
        <v>2404</v>
      </c>
      <c r="B3416" t="s">
        <v>2403</v>
      </c>
      <c r="C3416" s="1">
        <v>0.83</v>
      </c>
      <c r="D3416" s="1">
        <v>9</v>
      </c>
      <c r="E3416" s="1">
        <v>12.75</v>
      </c>
      <c r="F3416" s="1">
        <v>24</v>
      </c>
      <c r="G3416" s="1">
        <v>180.14</v>
      </c>
      <c r="H3416" s="1" t="s">
        <v>8</v>
      </c>
      <c r="I3416" t="str">
        <f t="shared" si="53"/>
        <v>PAINTED LIGHTBULB RAINBOW DESIGN [79144C]</v>
      </c>
    </row>
    <row r="3417" spans="1:9" x14ac:dyDescent="0.3">
      <c r="A3417" s="1" t="s">
        <v>2402</v>
      </c>
      <c r="B3417" t="s">
        <v>2401</v>
      </c>
      <c r="C3417" s="1">
        <v>0.42</v>
      </c>
      <c r="D3417" s="1">
        <v>1.5</v>
      </c>
      <c r="E3417" s="1">
        <v>2.9</v>
      </c>
      <c r="F3417" s="1">
        <v>10</v>
      </c>
      <c r="G3417" s="1">
        <v>12.18</v>
      </c>
      <c r="H3417" s="1" t="s">
        <v>8</v>
      </c>
      <c r="I3417" t="str">
        <f t="shared" si="53"/>
        <v>SILICON STAR BULB  BLUE [79149B]</v>
      </c>
    </row>
    <row r="3418" spans="1:9" x14ac:dyDescent="0.3">
      <c r="A3418" s="1" t="s">
        <v>2400</v>
      </c>
      <c r="B3418" t="s">
        <v>2399</v>
      </c>
      <c r="C3418" s="1">
        <v>0.42</v>
      </c>
      <c r="D3418" s="1">
        <v>5.5</v>
      </c>
      <c r="E3418" s="1">
        <v>5.5</v>
      </c>
      <c r="F3418" s="1">
        <v>2</v>
      </c>
      <c r="G3418" s="1">
        <v>4.62</v>
      </c>
      <c r="H3418" s="1" t="s">
        <v>8</v>
      </c>
      <c r="I3418" t="str">
        <f t="shared" si="53"/>
        <v>SILICON CUBE 25W, BLUE [79151B]</v>
      </c>
    </row>
    <row r="3419" spans="1:9" x14ac:dyDescent="0.3">
      <c r="A3419" s="1" t="s">
        <v>2398</v>
      </c>
      <c r="B3419" t="s">
        <v>2397</v>
      </c>
      <c r="C3419" s="1">
        <v>0.85</v>
      </c>
      <c r="D3419" s="1">
        <v>1</v>
      </c>
      <c r="E3419" s="2">
        <v>1.6666666666666601</v>
      </c>
      <c r="F3419" s="1">
        <v>3</v>
      </c>
      <c r="G3419" s="1">
        <v>4.25</v>
      </c>
      <c r="H3419" s="1" t="s">
        <v>8</v>
      </c>
      <c r="I3419" t="str">
        <f t="shared" si="53"/>
        <v>UBO-LIGHT TRIOBASE BLUE [79157B]</v>
      </c>
    </row>
    <row r="3420" spans="1:9" x14ac:dyDescent="0.3">
      <c r="A3420" s="1" t="s">
        <v>2396</v>
      </c>
      <c r="B3420" t="s">
        <v>2395</v>
      </c>
      <c r="C3420" s="1">
        <v>0.85</v>
      </c>
      <c r="D3420" s="1">
        <v>2.5</v>
      </c>
      <c r="E3420" s="1">
        <v>2.5</v>
      </c>
      <c r="F3420" s="1">
        <v>2</v>
      </c>
      <c r="G3420" s="1">
        <v>4.25</v>
      </c>
      <c r="H3420" s="1" t="s">
        <v>8</v>
      </c>
      <c r="I3420" t="str">
        <f t="shared" si="53"/>
        <v>UBO-LIGHT TRIOBASE PURPLE [79157V]</v>
      </c>
    </row>
    <row r="3421" spans="1:9" x14ac:dyDescent="0.3">
      <c r="A3421" s="1">
        <v>79160</v>
      </c>
      <c r="B3421" t="s">
        <v>2394</v>
      </c>
      <c r="C3421" s="1">
        <v>2.1</v>
      </c>
      <c r="D3421" s="1">
        <v>20</v>
      </c>
      <c r="E3421" s="2">
        <v>39.3333333333333</v>
      </c>
      <c r="F3421" s="1">
        <v>24</v>
      </c>
      <c r="G3421" s="1">
        <v>1973.07</v>
      </c>
      <c r="H3421" s="1" t="s">
        <v>9</v>
      </c>
      <c r="I3421" t="str">
        <f t="shared" si="53"/>
        <v>HEART SHAPE WIRELESS DOORBELL [79160]</v>
      </c>
    </row>
    <row r="3422" spans="1:9" x14ac:dyDescent="0.3">
      <c r="A3422" s="1" t="s">
        <v>2393</v>
      </c>
      <c r="B3422" t="s">
        <v>2392</v>
      </c>
      <c r="C3422" s="1">
        <v>2.95</v>
      </c>
      <c r="D3422" s="1">
        <v>4</v>
      </c>
      <c r="E3422" s="1">
        <v>6.375</v>
      </c>
      <c r="F3422" s="1">
        <v>8</v>
      </c>
      <c r="G3422" s="2">
        <v>150.44999999999999</v>
      </c>
      <c r="H3422" s="1" t="s">
        <v>8</v>
      </c>
      <c r="I3422" t="str">
        <f t="shared" si="53"/>
        <v>ST GEORGE SET OF 10 PARTY LIGHTS [79161A]</v>
      </c>
    </row>
    <row r="3423" spans="1:9" x14ac:dyDescent="0.3">
      <c r="A3423" s="1">
        <v>79163</v>
      </c>
      <c r="B3423" t="s">
        <v>2391</v>
      </c>
      <c r="C3423" s="1">
        <v>1.65</v>
      </c>
      <c r="D3423" s="1">
        <v>24.5</v>
      </c>
      <c r="E3423" s="2">
        <v>26.1666666666666</v>
      </c>
      <c r="F3423" s="1">
        <v>12</v>
      </c>
      <c r="G3423" s="1">
        <v>591.62</v>
      </c>
      <c r="H3423" s="1" t="s">
        <v>9</v>
      </c>
      <c r="I3423" t="str">
        <f t="shared" si="53"/>
        <v>BLACK CHAMPAGNE GLASS [79163]</v>
      </c>
    </row>
    <row r="3424" spans="1:9" x14ac:dyDescent="0.3">
      <c r="A3424" s="1">
        <v>79164</v>
      </c>
      <c r="B3424" t="s">
        <v>2390</v>
      </c>
      <c r="C3424" s="1">
        <v>1.65</v>
      </c>
      <c r="D3424" s="1">
        <v>62</v>
      </c>
      <c r="E3424" s="2">
        <v>147.142857142857</v>
      </c>
      <c r="F3424" s="1">
        <v>14</v>
      </c>
      <c r="G3424" s="1">
        <v>2499.15</v>
      </c>
      <c r="H3424" s="1" t="s">
        <v>10</v>
      </c>
      <c r="I3424" t="str">
        <f t="shared" si="53"/>
        <v>BLACK WINE GLASS [79164]</v>
      </c>
    </row>
    <row r="3425" spans="1:9" x14ac:dyDescent="0.3">
      <c r="A3425" s="1" t="s">
        <v>2389</v>
      </c>
      <c r="B3425" t="s">
        <v>2388</v>
      </c>
      <c r="C3425" s="1">
        <v>0.85</v>
      </c>
      <c r="D3425" s="1">
        <v>5</v>
      </c>
      <c r="E3425" s="1">
        <v>6</v>
      </c>
      <c r="F3425" s="1">
        <v>4</v>
      </c>
      <c r="G3425" s="1">
        <v>20.399999999999999</v>
      </c>
      <c r="H3425" s="1" t="s">
        <v>8</v>
      </c>
      <c r="I3425" t="str">
        <f t="shared" si="53"/>
        <v>PURPLE TINT ACRYLIC FLOWER VASE [79172D]</v>
      </c>
    </row>
    <row r="3426" spans="1:9" x14ac:dyDescent="0.3">
      <c r="A3426" s="1" t="s">
        <v>2387</v>
      </c>
      <c r="B3426" t="s">
        <v>2377</v>
      </c>
      <c r="C3426" s="1">
        <v>0.46</v>
      </c>
      <c r="D3426" s="1">
        <v>27</v>
      </c>
      <c r="E3426" s="1">
        <v>31.6</v>
      </c>
      <c r="F3426" s="1">
        <v>25</v>
      </c>
      <c r="G3426" s="1">
        <v>364.25</v>
      </c>
      <c r="H3426" s="1" t="s">
        <v>9</v>
      </c>
      <c r="I3426" t="str">
        <f t="shared" si="53"/>
        <v>RETRO PLASTIC 70'S TRAY [79190A]</v>
      </c>
    </row>
    <row r="3427" spans="1:9" x14ac:dyDescent="0.3">
      <c r="A3427" s="1" t="s">
        <v>2386</v>
      </c>
      <c r="B3427" t="s">
        <v>2383</v>
      </c>
      <c r="C3427" s="1">
        <v>0.46</v>
      </c>
      <c r="D3427" s="1">
        <v>39</v>
      </c>
      <c r="E3427" s="1">
        <v>59.4</v>
      </c>
      <c r="F3427" s="1">
        <v>25</v>
      </c>
      <c r="G3427" s="1">
        <v>603.08000000000004</v>
      </c>
      <c r="H3427" s="1" t="s">
        <v>9</v>
      </c>
      <c r="I3427" t="str">
        <f t="shared" si="53"/>
        <v>RETRO PLASTIC POLKA TRAY [79190B]</v>
      </c>
    </row>
    <row r="3428" spans="1:9" x14ac:dyDescent="0.3">
      <c r="A3428" s="1" t="s">
        <v>2385</v>
      </c>
      <c r="B3428" t="s">
        <v>2379</v>
      </c>
      <c r="C3428" s="1">
        <v>0.44</v>
      </c>
      <c r="D3428" s="1">
        <v>23</v>
      </c>
      <c r="E3428" s="1">
        <v>25.64</v>
      </c>
      <c r="F3428" s="1">
        <v>25</v>
      </c>
      <c r="G3428" s="1">
        <v>296.58</v>
      </c>
      <c r="H3428" s="1" t="s">
        <v>9</v>
      </c>
      <c r="I3428" t="str">
        <f t="shared" si="53"/>
        <v>RETRO PLASTIC DAISY TRAY [79190D]</v>
      </c>
    </row>
    <row r="3429" spans="1:9" x14ac:dyDescent="0.3">
      <c r="A3429" s="1" t="s">
        <v>2384</v>
      </c>
      <c r="B3429" t="s">
        <v>2383</v>
      </c>
      <c r="C3429" s="1">
        <v>0.85</v>
      </c>
      <c r="D3429" s="1">
        <v>13</v>
      </c>
      <c r="E3429" s="2">
        <v>19.9583333333333</v>
      </c>
      <c r="F3429" s="1">
        <v>24</v>
      </c>
      <c r="G3429" s="1">
        <v>397.37</v>
      </c>
      <c r="H3429" s="1" t="s">
        <v>9</v>
      </c>
      <c r="I3429" t="str">
        <f t="shared" si="53"/>
        <v>RETRO PLASTIC POLKA TRAY [79191B]</v>
      </c>
    </row>
    <row r="3430" spans="1:9" x14ac:dyDescent="0.3">
      <c r="A3430" s="1" t="s">
        <v>2382</v>
      </c>
      <c r="B3430" t="s">
        <v>2381</v>
      </c>
      <c r="C3430" s="1">
        <v>0.85</v>
      </c>
      <c r="D3430" s="1">
        <v>43</v>
      </c>
      <c r="E3430" s="1">
        <v>64.760000000000005</v>
      </c>
      <c r="F3430" s="1">
        <v>25</v>
      </c>
      <c r="G3430" s="1">
        <v>1293.76</v>
      </c>
      <c r="H3430" s="1" t="s">
        <v>9</v>
      </c>
      <c r="I3430" t="str">
        <f t="shared" si="53"/>
        <v>RETRO PLASTIC ELEPHANT TRAY [79191C]</v>
      </c>
    </row>
    <row r="3431" spans="1:9" x14ac:dyDescent="0.3">
      <c r="A3431" s="1" t="s">
        <v>2380</v>
      </c>
      <c r="B3431" t="s">
        <v>2379</v>
      </c>
      <c r="C3431" s="1">
        <v>1.1850000000000001</v>
      </c>
      <c r="D3431" s="1">
        <v>4</v>
      </c>
      <c r="E3431" s="1">
        <v>6.9</v>
      </c>
      <c r="F3431" s="1">
        <v>20</v>
      </c>
      <c r="G3431" s="1">
        <v>143.87</v>
      </c>
      <c r="H3431" s="1" t="s">
        <v>8</v>
      </c>
      <c r="I3431" t="str">
        <f t="shared" si="53"/>
        <v>RETRO PLASTIC DAISY TRAY [79191D]</v>
      </c>
    </row>
    <row r="3432" spans="1:9" x14ac:dyDescent="0.3">
      <c r="A3432" s="1" t="s">
        <v>2378</v>
      </c>
      <c r="B3432" t="s">
        <v>2377</v>
      </c>
      <c r="C3432" s="1">
        <v>1.25</v>
      </c>
      <c r="D3432" s="1">
        <v>4</v>
      </c>
      <c r="E3432" s="1">
        <v>8.7692307692307701</v>
      </c>
      <c r="F3432" s="1">
        <v>13</v>
      </c>
      <c r="G3432" s="1">
        <v>152.63999999999999</v>
      </c>
      <c r="H3432" s="1" t="s">
        <v>8</v>
      </c>
      <c r="I3432" t="str">
        <f t="shared" si="53"/>
        <v>RETRO PLASTIC 70'S TRAY [79192A]</v>
      </c>
    </row>
    <row r="3433" spans="1:9" x14ac:dyDescent="0.3">
      <c r="A3433" s="1">
        <v>79301</v>
      </c>
      <c r="B3433" t="s">
        <v>2376</v>
      </c>
      <c r="C3433" s="1">
        <v>2.95</v>
      </c>
      <c r="D3433" s="1">
        <v>1</v>
      </c>
      <c r="E3433" s="1">
        <v>1</v>
      </c>
      <c r="F3433" s="1">
        <v>1</v>
      </c>
      <c r="G3433" s="1">
        <v>2.95</v>
      </c>
      <c r="H3433" s="1" t="s">
        <v>8</v>
      </c>
      <c r="I3433" t="str">
        <f t="shared" si="53"/>
        <v>FEATHER HEART LIGHTS [79301]</v>
      </c>
    </row>
    <row r="3434" spans="1:9" x14ac:dyDescent="0.3">
      <c r="A3434" s="1" t="s">
        <v>2375</v>
      </c>
      <c r="B3434" t="s">
        <v>2373</v>
      </c>
      <c r="C3434" s="1">
        <v>2.9249999999999998</v>
      </c>
      <c r="D3434" s="1">
        <v>20.5</v>
      </c>
      <c r="E3434" s="1">
        <v>26</v>
      </c>
      <c r="F3434" s="1">
        <v>24</v>
      </c>
      <c r="G3434" s="1">
        <v>1774.18</v>
      </c>
      <c r="H3434" s="1" t="s">
        <v>9</v>
      </c>
      <c r="I3434" t="str">
        <f t="shared" si="53"/>
        <v>ART LIGHTS,FUNK MONKEY [79302M]</v>
      </c>
    </row>
    <row r="3435" spans="1:9" x14ac:dyDescent="0.3">
      <c r="A3435" s="1" t="s">
        <v>2374</v>
      </c>
      <c r="B3435" t="s">
        <v>2373</v>
      </c>
      <c r="C3435" s="1">
        <v>5.91</v>
      </c>
      <c r="D3435" s="1">
        <v>1</v>
      </c>
      <c r="E3435" s="2">
        <v>1.3333333333333299</v>
      </c>
      <c r="F3435" s="1">
        <v>3</v>
      </c>
      <c r="G3435" s="1">
        <v>23.77</v>
      </c>
      <c r="H3435" s="1" t="s">
        <v>8</v>
      </c>
      <c r="I3435" t="str">
        <f t="shared" si="53"/>
        <v>ART LIGHTS,FUNK MONKEY [79302m]</v>
      </c>
    </row>
    <row r="3436" spans="1:9" x14ac:dyDescent="0.3">
      <c r="A3436" s="1" t="s">
        <v>2372</v>
      </c>
      <c r="B3436" t="s">
        <v>2371</v>
      </c>
      <c r="C3436" s="1">
        <v>2.95</v>
      </c>
      <c r="D3436" s="1">
        <v>2</v>
      </c>
      <c r="E3436" s="1">
        <v>2</v>
      </c>
      <c r="F3436" s="1">
        <v>1</v>
      </c>
      <c r="G3436" s="1">
        <v>5.9</v>
      </c>
      <c r="H3436" s="1" t="s">
        <v>8</v>
      </c>
      <c r="I3436" t="str">
        <f t="shared" si="53"/>
        <v>WHITE ROHMBIC BLOCK TABLE LAMP [79303A]</v>
      </c>
    </row>
    <row r="3437" spans="1:9" x14ac:dyDescent="0.3">
      <c r="A3437" s="1" t="s">
        <v>2370</v>
      </c>
      <c r="B3437" t="s">
        <v>2369</v>
      </c>
      <c r="C3437" s="1">
        <v>4.8</v>
      </c>
      <c r="D3437" s="1">
        <v>3</v>
      </c>
      <c r="E3437" s="2">
        <v>18.1666666666666</v>
      </c>
      <c r="F3437" s="1">
        <v>6</v>
      </c>
      <c r="G3437" s="1">
        <v>339.57</v>
      </c>
      <c r="H3437" s="1" t="s">
        <v>8</v>
      </c>
      <c r="I3437" t="str">
        <f t="shared" si="53"/>
        <v>BLUE STAR BLOCK TABLE LAMP [79303B]</v>
      </c>
    </row>
    <row r="3438" spans="1:9" x14ac:dyDescent="0.3">
      <c r="A3438" s="1" t="s">
        <v>2368</v>
      </c>
      <c r="B3438" t="s">
        <v>2367</v>
      </c>
      <c r="C3438" s="1">
        <v>3.8</v>
      </c>
      <c r="D3438" s="1">
        <v>5.5</v>
      </c>
      <c r="E3438" s="1">
        <v>13</v>
      </c>
      <c r="F3438" s="1">
        <v>6</v>
      </c>
      <c r="G3438" s="1">
        <v>272.45</v>
      </c>
      <c r="H3438" s="1" t="s">
        <v>8</v>
      </c>
      <c r="I3438" t="str">
        <f t="shared" si="53"/>
        <v>LILAC FLOWER BLOCK TABLE LAMP [79303D]</v>
      </c>
    </row>
    <row r="3439" spans="1:9" x14ac:dyDescent="0.3">
      <c r="A3439" s="1" t="s">
        <v>2366</v>
      </c>
      <c r="B3439" t="s">
        <v>2365</v>
      </c>
      <c r="C3439" s="1">
        <v>0.85</v>
      </c>
      <c r="D3439" s="1">
        <v>144</v>
      </c>
      <c r="E3439" s="1">
        <v>144</v>
      </c>
      <c r="F3439" s="1">
        <v>1</v>
      </c>
      <c r="G3439" s="1">
        <v>122.4</v>
      </c>
      <c r="H3439" s="1" t="s">
        <v>10</v>
      </c>
      <c r="I3439" t="str">
        <f t="shared" si="53"/>
        <v>MOSAIC CANDLE DISH BLUE PURPLE [79308B]</v>
      </c>
    </row>
    <row r="3440" spans="1:9" x14ac:dyDescent="0.3">
      <c r="A3440" s="1" t="s">
        <v>2364</v>
      </c>
      <c r="B3440" t="s">
        <v>2363</v>
      </c>
      <c r="C3440" s="1">
        <v>2.95</v>
      </c>
      <c r="D3440" s="1">
        <v>8</v>
      </c>
      <c r="E3440" s="2">
        <v>28.428571428571399</v>
      </c>
      <c r="F3440" s="1">
        <v>7</v>
      </c>
      <c r="G3440" s="1">
        <v>611.51</v>
      </c>
      <c r="H3440" s="1" t="s">
        <v>8</v>
      </c>
      <c r="I3440" t="str">
        <f t="shared" si="53"/>
        <v>FLYING SAUCER TABLE LIGHT IN WHITE [79315W]</v>
      </c>
    </row>
    <row r="3441" spans="1:9" x14ac:dyDescent="0.3">
      <c r="A3441" s="1">
        <v>79320</v>
      </c>
      <c r="B3441" t="s">
        <v>2362</v>
      </c>
      <c r="C3441" s="2">
        <v>4.8599999999999897</v>
      </c>
      <c r="D3441" s="1">
        <v>76.5</v>
      </c>
      <c r="E3441" s="2">
        <v>75.3333333333333</v>
      </c>
      <c r="F3441" s="1">
        <v>10</v>
      </c>
      <c r="G3441" s="1">
        <v>4357.38</v>
      </c>
      <c r="H3441" s="1" t="s">
        <v>10</v>
      </c>
      <c r="I3441" t="str">
        <f t="shared" si="53"/>
        <v>FLAMINGO LIGHTS [79320]</v>
      </c>
    </row>
    <row r="3442" spans="1:9" x14ac:dyDescent="0.3">
      <c r="A3442" s="1">
        <v>79321</v>
      </c>
      <c r="B3442" t="s">
        <v>2361</v>
      </c>
      <c r="C3442" s="1">
        <v>5.16</v>
      </c>
      <c r="D3442" s="1">
        <v>487</v>
      </c>
      <c r="E3442" s="1">
        <v>633.64</v>
      </c>
      <c r="F3442" s="1">
        <v>25</v>
      </c>
      <c r="G3442" s="1">
        <v>80540.88</v>
      </c>
      <c r="H3442" s="1" t="s">
        <v>10</v>
      </c>
      <c r="I3442" t="str">
        <f t="shared" si="53"/>
        <v>CHILLI LIGHTS [79321]</v>
      </c>
    </row>
    <row r="3443" spans="1:9" x14ac:dyDescent="0.3">
      <c r="A3443" s="1" t="s">
        <v>2360</v>
      </c>
      <c r="B3443" t="s">
        <v>2359</v>
      </c>
      <c r="C3443" s="1">
        <v>6.4</v>
      </c>
      <c r="D3443" s="1">
        <v>27</v>
      </c>
      <c r="E3443" s="2">
        <v>34.571428571428498</v>
      </c>
      <c r="F3443" s="1">
        <v>7</v>
      </c>
      <c r="G3443" s="1">
        <v>1565.7</v>
      </c>
      <c r="H3443" s="1" t="s">
        <v>9</v>
      </c>
      <c r="I3443" t="str">
        <f t="shared" si="53"/>
        <v>BLACK CHERRY LIGHTS [79323B]</v>
      </c>
    </row>
    <row r="3444" spans="1:9" x14ac:dyDescent="0.3">
      <c r="A3444" s="1" t="s">
        <v>2358</v>
      </c>
      <c r="B3444" t="s">
        <v>2357</v>
      </c>
      <c r="C3444" s="1">
        <v>6.27</v>
      </c>
      <c r="D3444" s="1">
        <v>48</v>
      </c>
      <c r="E3444" s="1">
        <v>62.8</v>
      </c>
      <c r="F3444" s="1">
        <v>5</v>
      </c>
      <c r="G3444" s="1">
        <v>2007.88</v>
      </c>
      <c r="H3444" s="1" t="s">
        <v>9</v>
      </c>
      <c r="I3444" t="str">
        <f t="shared" si="53"/>
        <v>GOLD  CHERRY LIGHTS [79323G]</v>
      </c>
    </row>
    <row r="3445" spans="1:9" x14ac:dyDescent="0.3">
      <c r="A3445" s="1" t="s">
        <v>2356</v>
      </c>
      <c r="B3445" t="s">
        <v>2355</v>
      </c>
      <c r="C3445" s="1">
        <v>5.98</v>
      </c>
      <c r="D3445" s="1">
        <v>106</v>
      </c>
      <c r="E3445" s="1">
        <v>106.4</v>
      </c>
      <c r="F3445" s="1">
        <v>5</v>
      </c>
      <c r="G3445" s="1">
        <v>3209.36</v>
      </c>
      <c r="H3445" s="1" t="s">
        <v>10</v>
      </c>
      <c r="I3445" t="str">
        <f t="shared" si="53"/>
        <v>GREEN CHERRY LIGHTS [79323GR]</v>
      </c>
    </row>
    <row r="3446" spans="1:9" x14ac:dyDescent="0.3">
      <c r="A3446" s="1" t="s">
        <v>2354</v>
      </c>
      <c r="B3446" t="s">
        <v>2353</v>
      </c>
      <c r="C3446" s="1">
        <v>6.02</v>
      </c>
      <c r="D3446" s="1">
        <v>186</v>
      </c>
      <c r="E3446" s="2">
        <v>204.71428571428501</v>
      </c>
      <c r="F3446" s="1">
        <v>7</v>
      </c>
      <c r="G3446" s="1">
        <v>8481.19</v>
      </c>
      <c r="H3446" s="1" t="s">
        <v>10</v>
      </c>
      <c r="I3446" t="str">
        <f t="shared" si="53"/>
        <v>LIGHT PINK CHERRY LIGHTS [79323LP]</v>
      </c>
    </row>
    <row r="3447" spans="1:9" x14ac:dyDescent="0.3">
      <c r="A3447" s="1" t="s">
        <v>2352</v>
      </c>
      <c r="B3447" t="s">
        <v>2351</v>
      </c>
      <c r="C3447" s="1">
        <v>6.05</v>
      </c>
      <c r="D3447" s="1">
        <v>287</v>
      </c>
      <c r="E3447" s="2">
        <v>325.85714285714198</v>
      </c>
      <c r="F3447" s="1">
        <v>7</v>
      </c>
      <c r="G3447" s="1">
        <v>13787.93</v>
      </c>
      <c r="H3447" s="1" t="s">
        <v>10</v>
      </c>
      <c r="I3447" t="str">
        <f t="shared" si="53"/>
        <v>PINK CHERRY LIGHTS [79323P]</v>
      </c>
    </row>
    <row r="3448" spans="1:9" x14ac:dyDescent="0.3">
      <c r="A3448" s="1" t="s">
        <v>2350</v>
      </c>
      <c r="B3448" t="s">
        <v>2349</v>
      </c>
      <c r="C3448" s="1">
        <v>6.77</v>
      </c>
      <c r="D3448" s="1">
        <v>22.5</v>
      </c>
      <c r="E3448" s="2">
        <v>55.6666666666666</v>
      </c>
      <c r="F3448" s="1">
        <v>6</v>
      </c>
      <c r="G3448" s="1">
        <v>2084.3200000000002</v>
      </c>
      <c r="H3448" s="1" t="s">
        <v>9</v>
      </c>
      <c r="I3448" t="str">
        <f t="shared" si="53"/>
        <v>SILVER CHERRY LIGHTS [79323S]</v>
      </c>
    </row>
    <row r="3449" spans="1:9" x14ac:dyDescent="0.3">
      <c r="A3449" s="1" t="s">
        <v>2348</v>
      </c>
      <c r="B3449" t="s">
        <v>2347</v>
      </c>
      <c r="C3449" s="1">
        <v>6</v>
      </c>
      <c r="D3449" s="1">
        <v>124</v>
      </c>
      <c r="E3449" s="2">
        <v>250.333333333333</v>
      </c>
      <c r="F3449" s="1">
        <v>9</v>
      </c>
      <c r="G3449" s="1">
        <v>18048.72</v>
      </c>
      <c r="H3449" s="1" t="s">
        <v>10</v>
      </c>
      <c r="I3449" t="str">
        <f t="shared" si="53"/>
        <v>WHITE CHERRY LIGHTS [79323W]</v>
      </c>
    </row>
    <row r="3450" spans="1:9" x14ac:dyDescent="0.3">
      <c r="A3450" s="1">
        <v>79328</v>
      </c>
      <c r="B3450" t="s">
        <v>2344</v>
      </c>
      <c r="C3450" s="1">
        <v>0.48</v>
      </c>
      <c r="D3450" s="1">
        <v>97</v>
      </c>
      <c r="E3450" s="1">
        <v>118.8</v>
      </c>
      <c r="F3450" s="1">
        <v>5</v>
      </c>
      <c r="G3450" s="1">
        <v>260.76</v>
      </c>
      <c r="H3450" s="1" t="s">
        <v>10</v>
      </c>
      <c r="I3450" t="str">
        <f t="shared" si="53"/>
        <v>BLUE FLOCK GLASS CANDLEHOLDER [79328]</v>
      </c>
    </row>
    <row r="3451" spans="1:9" x14ac:dyDescent="0.3">
      <c r="A3451" s="1">
        <v>79329</v>
      </c>
      <c r="B3451" t="s">
        <v>2346</v>
      </c>
      <c r="C3451" s="1">
        <v>1.65</v>
      </c>
      <c r="D3451" s="1">
        <v>6</v>
      </c>
      <c r="E3451" s="1">
        <v>6</v>
      </c>
      <c r="F3451" s="1">
        <v>3</v>
      </c>
      <c r="G3451" s="2">
        <v>29.7</v>
      </c>
      <c r="H3451" s="1" t="s">
        <v>8</v>
      </c>
      <c r="I3451" t="str">
        <f t="shared" si="53"/>
        <v>PINK FLOCK GLASS CANDLEHOLDER [79329]</v>
      </c>
    </row>
    <row r="3452" spans="1:9" x14ac:dyDescent="0.3">
      <c r="A3452" s="1">
        <v>79331</v>
      </c>
      <c r="B3452" t="s">
        <v>2346</v>
      </c>
      <c r="C3452" s="1">
        <v>1.65</v>
      </c>
      <c r="D3452" s="1">
        <v>6</v>
      </c>
      <c r="E3452" s="2">
        <v>5.71428571428571</v>
      </c>
      <c r="F3452" s="1">
        <v>7</v>
      </c>
      <c r="G3452" s="1">
        <v>66</v>
      </c>
      <c r="H3452" s="1" t="s">
        <v>8</v>
      </c>
      <c r="I3452" t="str">
        <f t="shared" si="53"/>
        <v>PINK FLOCK GLASS CANDLEHOLDER [79331]</v>
      </c>
    </row>
    <row r="3453" spans="1:9" x14ac:dyDescent="0.3">
      <c r="A3453" s="1">
        <v>79336</v>
      </c>
      <c r="B3453" t="s">
        <v>2345</v>
      </c>
      <c r="C3453" s="1">
        <v>0.38</v>
      </c>
      <c r="D3453" s="1">
        <v>51.5</v>
      </c>
      <c r="E3453" s="1">
        <v>102.375</v>
      </c>
      <c r="F3453" s="1">
        <v>8</v>
      </c>
      <c r="G3453" s="1">
        <v>321.38</v>
      </c>
      <c r="H3453" s="1" t="s">
        <v>9</v>
      </c>
      <c r="I3453" t="str">
        <f t="shared" si="53"/>
        <v>LIGHT PINK FLOCK GLASS CANDLEHOLDER [79336]</v>
      </c>
    </row>
    <row r="3454" spans="1:9" x14ac:dyDescent="0.3">
      <c r="A3454" s="1">
        <v>79337</v>
      </c>
      <c r="B3454" t="s">
        <v>2344</v>
      </c>
      <c r="C3454" s="1">
        <v>0.38</v>
      </c>
      <c r="D3454" s="1">
        <v>51</v>
      </c>
      <c r="E3454" s="1">
        <v>97.75</v>
      </c>
      <c r="F3454" s="1">
        <v>12</v>
      </c>
      <c r="G3454" s="1">
        <v>462.25</v>
      </c>
      <c r="H3454" s="1" t="s">
        <v>9</v>
      </c>
      <c r="I3454" t="str">
        <f t="shared" si="53"/>
        <v>BLUE FLOCK GLASS CANDLEHOLDER [79337]</v>
      </c>
    </row>
    <row r="3455" spans="1:9" x14ac:dyDescent="0.3">
      <c r="A3455" s="1">
        <v>79338</v>
      </c>
      <c r="B3455" t="s">
        <v>2343</v>
      </c>
      <c r="C3455" s="1">
        <v>0.47</v>
      </c>
      <c r="D3455" s="1">
        <v>152</v>
      </c>
      <c r="E3455" s="2">
        <v>182.333333333333</v>
      </c>
      <c r="F3455" s="1">
        <v>3</v>
      </c>
      <c r="G3455" s="2">
        <v>242.39</v>
      </c>
      <c r="H3455" s="1" t="s">
        <v>10</v>
      </c>
      <c r="I3455" t="str">
        <f t="shared" si="53"/>
        <v>DARK PINK FLOCK GLASS CANDLEHOLDER [79338]</v>
      </c>
    </row>
    <row r="3456" spans="1:9" x14ac:dyDescent="0.3">
      <c r="A3456" s="1">
        <v>79341</v>
      </c>
      <c r="B3456" t="s">
        <v>2342</v>
      </c>
      <c r="C3456" s="1">
        <v>6.38</v>
      </c>
      <c r="D3456" s="1">
        <v>65</v>
      </c>
      <c r="E3456" s="1">
        <v>145</v>
      </c>
      <c r="F3456" s="1">
        <v>5</v>
      </c>
      <c r="G3456" s="1">
        <v>4423.6899999999996</v>
      </c>
      <c r="H3456" s="1" t="s">
        <v>10</v>
      </c>
      <c r="I3456" t="str">
        <f t="shared" si="53"/>
        <v>WILLOW BRANCH LIGHTS. [79341]</v>
      </c>
    </row>
    <row r="3457" spans="1:9" x14ac:dyDescent="0.3">
      <c r="A3457" s="1" t="s">
        <v>2341</v>
      </c>
      <c r="B3457" t="s">
        <v>2339</v>
      </c>
      <c r="C3457" s="1">
        <v>7.34</v>
      </c>
      <c r="D3457" s="1">
        <v>15</v>
      </c>
      <c r="E3457" s="1">
        <v>23.8</v>
      </c>
      <c r="F3457" s="1">
        <v>5</v>
      </c>
      <c r="G3457" s="2">
        <v>824.94999999999902</v>
      </c>
      <c r="H3457" s="1" t="s">
        <v>9</v>
      </c>
      <c r="I3457" t="str">
        <f t="shared" si="53"/>
        <v>BROWN FLOWER LIGHTS [79342B]</v>
      </c>
    </row>
    <row r="3458" spans="1:9" x14ac:dyDescent="0.3">
      <c r="A3458" s="1" t="s">
        <v>2340</v>
      </c>
      <c r="B3458" t="s">
        <v>2339</v>
      </c>
      <c r="C3458" s="1">
        <v>13.57</v>
      </c>
      <c r="D3458" s="1">
        <v>1</v>
      </c>
      <c r="E3458" s="1">
        <v>1</v>
      </c>
      <c r="F3458" s="1">
        <v>1</v>
      </c>
      <c r="G3458" s="1">
        <v>13.57</v>
      </c>
      <c r="H3458" s="1" t="s">
        <v>8</v>
      </c>
      <c r="I3458" t="str">
        <f t="shared" si="53"/>
        <v>BROWN FLOWER LIGHTS [79342b]</v>
      </c>
    </row>
    <row r="3459" spans="1:9" x14ac:dyDescent="0.3">
      <c r="A3459" s="1">
        <v>79403</v>
      </c>
      <c r="B3459" t="s">
        <v>2338</v>
      </c>
      <c r="C3459" s="1">
        <v>0.87</v>
      </c>
      <c r="D3459" s="1">
        <v>12</v>
      </c>
      <c r="E3459" s="2">
        <v>11.368421052631501</v>
      </c>
      <c r="F3459" s="1">
        <v>19</v>
      </c>
      <c r="G3459" s="2">
        <v>199.01999999999899</v>
      </c>
      <c r="H3459" s="1" t="s">
        <v>9</v>
      </c>
      <c r="I3459" t="str">
        <f t="shared" ref="I3459:I3522" si="54">B3459&amp;" ["&amp;A3459&amp;"]"</f>
        <v>FROSTED WHITE BASE [79403]</v>
      </c>
    </row>
    <row r="3460" spans="1:9" x14ac:dyDescent="0.3">
      <c r="A3460" s="1">
        <v>79406</v>
      </c>
      <c r="B3460" t="s">
        <v>2338</v>
      </c>
      <c r="C3460" s="1">
        <v>0.22</v>
      </c>
      <c r="D3460" s="1">
        <v>11.5</v>
      </c>
      <c r="E3460" s="2">
        <v>17.928571428571399</v>
      </c>
      <c r="F3460" s="1">
        <v>14</v>
      </c>
      <c r="G3460" s="2">
        <v>58.94</v>
      </c>
      <c r="H3460" s="1" t="s">
        <v>9</v>
      </c>
      <c r="I3460" t="str">
        <f t="shared" si="54"/>
        <v>FROSTED WHITE BASE [79406]</v>
      </c>
    </row>
    <row r="3461" spans="1:9" x14ac:dyDescent="0.3">
      <c r="A3461" s="1">
        <v>79413</v>
      </c>
      <c r="B3461" t="s">
        <v>2337</v>
      </c>
      <c r="C3461" s="1">
        <v>1.25</v>
      </c>
      <c r="D3461" s="1">
        <v>6.5</v>
      </c>
      <c r="E3461" s="1">
        <v>7.5</v>
      </c>
      <c r="F3461" s="1">
        <v>4</v>
      </c>
      <c r="G3461" s="1">
        <v>37.5</v>
      </c>
      <c r="H3461" s="1" t="s">
        <v>8</v>
      </c>
      <c r="I3461" t="str">
        <f t="shared" si="54"/>
        <v>GLASS WINE GLASS DECORATIONS [79413]</v>
      </c>
    </row>
    <row r="3462" spans="1:9" x14ac:dyDescent="0.3">
      <c r="A3462" s="1">
        <v>79532</v>
      </c>
      <c r="B3462" t="s">
        <v>2336</v>
      </c>
      <c r="C3462" s="1">
        <v>1.25</v>
      </c>
      <c r="D3462" s="1">
        <v>10</v>
      </c>
      <c r="E3462" s="1">
        <v>19.399999999999999</v>
      </c>
      <c r="F3462" s="1">
        <v>5</v>
      </c>
      <c r="G3462" s="1">
        <v>121.25</v>
      </c>
      <c r="H3462" s="1" t="s">
        <v>9</v>
      </c>
      <c r="I3462" t="str">
        <f t="shared" si="54"/>
        <v>MOSAIC GLASS BALL CANDLEHOLDER [79532]</v>
      </c>
    </row>
    <row r="3463" spans="1:9" x14ac:dyDescent="0.3">
      <c r="A3463" s="1">
        <v>79534</v>
      </c>
      <c r="B3463" t="s">
        <v>2335</v>
      </c>
      <c r="C3463" s="1">
        <v>0.55000000000000004</v>
      </c>
      <c r="D3463" s="1">
        <v>12</v>
      </c>
      <c r="E3463" s="2">
        <v>12.8888888888888</v>
      </c>
      <c r="F3463" s="1">
        <v>9</v>
      </c>
      <c r="G3463" s="1">
        <v>63.8</v>
      </c>
      <c r="H3463" s="1" t="s">
        <v>9</v>
      </c>
      <c r="I3463" t="str">
        <f t="shared" si="54"/>
        <v>MULTICOLOUR GLASS PLATE [79534]</v>
      </c>
    </row>
    <row r="3464" spans="1:9" x14ac:dyDescent="0.3">
      <c r="A3464" s="1" t="s">
        <v>2334</v>
      </c>
      <c r="B3464" t="s">
        <v>2333</v>
      </c>
      <c r="C3464" s="1">
        <v>0.85</v>
      </c>
      <c r="D3464" s="1">
        <v>9</v>
      </c>
      <c r="E3464" s="2">
        <v>15.4285714285714</v>
      </c>
      <c r="F3464" s="1">
        <v>14</v>
      </c>
      <c r="G3464" s="1">
        <v>126.74</v>
      </c>
      <c r="H3464" s="1" t="s">
        <v>8</v>
      </c>
      <c r="I3464" t="str">
        <f t="shared" si="54"/>
        <v>FLOWER BLUE CLOCK W/SUCKER [81950B]</v>
      </c>
    </row>
    <row r="3465" spans="1:9" x14ac:dyDescent="0.3">
      <c r="A3465" s="1" t="s">
        <v>2332</v>
      </c>
      <c r="B3465" t="s">
        <v>2331</v>
      </c>
      <c r="C3465" s="1">
        <v>0.85</v>
      </c>
      <c r="D3465" s="1">
        <v>2</v>
      </c>
      <c r="E3465" s="1">
        <v>4</v>
      </c>
      <c r="F3465" s="1">
        <v>8</v>
      </c>
      <c r="G3465" s="1">
        <v>18.8</v>
      </c>
      <c r="H3465" s="1" t="s">
        <v>8</v>
      </c>
      <c r="I3465" t="str">
        <f t="shared" si="54"/>
        <v>FLOWER PURPLE CLOCK W/SUCKER [81950V]</v>
      </c>
    </row>
    <row r="3466" spans="1:9" x14ac:dyDescent="0.3">
      <c r="A3466" s="1" t="s">
        <v>2330</v>
      </c>
      <c r="B3466" t="s">
        <v>2329</v>
      </c>
      <c r="C3466" s="1">
        <v>0.96</v>
      </c>
      <c r="D3466" s="1">
        <v>3</v>
      </c>
      <c r="E3466" s="1">
        <v>9</v>
      </c>
      <c r="F3466" s="1">
        <v>6</v>
      </c>
      <c r="G3466" s="1">
        <v>46.56</v>
      </c>
      <c r="H3466" s="1" t="s">
        <v>8</v>
      </c>
      <c r="I3466" t="str">
        <f t="shared" si="54"/>
        <v>ROUND BLUE CLOCK W/SUCKER [81952B]</v>
      </c>
    </row>
    <row r="3467" spans="1:9" x14ac:dyDescent="0.3">
      <c r="A3467" s="1" t="s">
        <v>2328</v>
      </c>
      <c r="B3467" t="s">
        <v>2327</v>
      </c>
      <c r="C3467" s="1">
        <v>0.93</v>
      </c>
      <c r="D3467" s="1">
        <v>10</v>
      </c>
      <c r="E3467" s="1">
        <v>9</v>
      </c>
      <c r="F3467" s="1">
        <v>11</v>
      </c>
      <c r="G3467" s="1">
        <v>90.52</v>
      </c>
      <c r="H3467" s="1" t="s">
        <v>9</v>
      </c>
      <c r="I3467" t="str">
        <f t="shared" si="54"/>
        <v>ROUND PURPLE CLOCK W/SUCKER [81952V]</v>
      </c>
    </row>
    <row r="3468" spans="1:9" x14ac:dyDescent="0.3">
      <c r="A3468" s="1" t="s">
        <v>2326</v>
      </c>
      <c r="B3468" t="s">
        <v>2325</v>
      </c>
      <c r="C3468" s="1">
        <v>0.85</v>
      </c>
      <c r="D3468" s="1">
        <v>1</v>
      </c>
      <c r="E3468" s="1">
        <v>1</v>
      </c>
      <c r="F3468" s="1">
        <v>3</v>
      </c>
      <c r="G3468" s="1">
        <v>2.5499999999999998</v>
      </c>
      <c r="H3468" s="1" t="s">
        <v>8</v>
      </c>
      <c r="I3468" t="str">
        <f t="shared" si="54"/>
        <v>ROUND ARTICULATED BLUE CLOCK W/SUCK [81953B]</v>
      </c>
    </row>
    <row r="3469" spans="1:9" x14ac:dyDescent="0.3">
      <c r="A3469" s="1" t="s">
        <v>2324</v>
      </c>
      <c r="B3469" t="s">
        <v>2323</v>
      </c>
      <c r="C3469" s="1">
        <v>0.85</v>
      </c>
      <c r="D3469" s="1">
        <v>1</v>
      </c>
      <c r="E3469" s="2">
        <v>1.6666666666666601</v>
      </c>
      <c r="F3469" s="1">
        <v>3</v>
      </c>
      <c r="G3469" s="1">
        <v>4.25</v>
      </c>
      <c r="H3469" s="1" t="s">
        <v>8</v>
      </c>
      <c r="I3469" t="str">
        <f t="shared" si="54"/>
        <v>ROUND ARTICULATED PINK CLOCK W/SUCK [81953P]</v>
      </c>
    </row>
    <row r="3470" spans="1:9" x14ac:dyDescent="0.3">
      <c r="A3470" s="1" t="s">
        <v>2322</v>
      </c>
      <c r="B3470" t="s">
        <v>2321</v>
      </c>
      <c r="C3470" s="1">
        <v>2.5499999999999998</v>
      </c>
      <c r="D3470" s="1">
        <v>2</v>
      </c>
      <c r="E3470" s="2">
        <v>3.8333333333333299</v>
      </c>
      <c r="F3470" s="1">
        <v>6</v>
      </c>
      <c r="G3470" s="1">
        <v>58.65</v>
      </c>
      <c r="H3470" s="1" t="s">
        <v>8</v>
      </c>
      <c r="I3470" t="str">
        <f t="shared" si="54"/>
        <v>ICON ALARM CLOCK,FUSCHIA  PIN UP [81985A]</v>
      </c>
    </row>
    <row r="3471" spans="1:9" x14ac:dyDescent="0.3">
      <c r="A3471" s="1" t="s">
        <v>2320</v>
      </c>
      <c r="B3471" t="s">
        <v>2318</v>
      </c>
      <c r="C3471" s="1">
        <v>3.58</v>
      </c>
      <c r="D3471" s="1">
        <v>88</v>
      </c>
      <c r="E3471" s="2">
        <v>108.37037037037</v>
      </c>
      <c r="F3471" s="1">
        <v>25</v>
      </c>
      <c r="G3471" s="1">
        <v>10531.4</v>
      </c>
      <c r="H3471" s="1" t="s">
        <v>10</v>
      </c>
      <c r="I3471" t="str">
        <f t="shared" si="54"/>
        <v>VINYL RECORD FRAME SILVER [82001S]</v>
      </c>
    </row>
    <row r="3472" spans="1:9" x14ac:dyDescent="0.3">
      <c r="A3472" s="1" t="s">
        <v>2319</v>
      </c>
      <c r="B3472" t="s">
        <v>2318</v>
      </c>
      <c r="C3472" s="1">
        <v>7.46</v>
      </c>
      <c r="D3472" s="1">
        <v>7</v>
      </c>
      <c r="E3472" s="2">
        <v>13.8888888888888</v>
      </c>
      <c r="F3472" s="1">
        <v>8</v>
      </c>
      <c r="G3472" s="1">
        <v>932.98</v>
      </c>
      <c r="H3472" s="1" t="s">
        <v>8</v>
      </c>
      <c r="I3472" t="str">
        <f t="shared" si="54"/>
        <v>VINYL RECORD FRAME SILVER [82001s]</v>
      </c>
    </row>
    <row r="3473" spans="1:9" x14ac:dyDescent="0.3">
      <c r="A3473" s="1" t="s">
        <v>2317</v>
      </c>
      <c r="B3473" t="s">
        <v>2316</v>
      </c>
      <c r="C3473" s="1">
        <v>3.75</v>
      </c>
      <c r="D3473" s="1">
        <v>2</v>
      </c>
      <c r="E3473" s="2">
        <v>3.2777777777777701</v>
      </c>
      <c r="F3473" s="1">
        <v>18</v>
      </c>
      <c r="G3473" s="1">
        <v>246.58</v>
      </c>
      <c r="H3473" s="1" t="s">
        <v>8</v>
      </c>
      <c r="I3473" t="str">
        <f t="shared" si="54"/>
        <v>BATHROOM SCALES, TROPICAL BEACH [82011A]</v>
      </c>
    </row>
    <row r="3474" spans="1:9" x14ac:dyDescent="0.3">
      <c r="A3474" s="1" t="s">
        <v>2315</v>
      </c>
      <c r="B3474" t="s">
        <v>2314</v>
      </c>
      <c r="C3474" s="1">
        <v>3.75</v>
      </c>
      <c r="D3474" s="1">
        <v>3</v>
      </c>
      <c r="E3474" s="2">
        <v>4.4285714285714199</v>
      </c>
      <c r="F3474" s="1">
        <v>21</v>
      </c>
      <c r="G3474" s="1">
        <v>348.8</v>
      </c>
      <c r="H3474" s="1" t="s">
        <v>8</v>
      </c>
      <c r="I3474" t="str">
        <f t="shared" si="54"/>
        <v>BATHROOM SCALES RUBBER DUCKS [82011B]</v>
      </c>
    </row>
    <row r="3475" spans="1:9" x14ac:dyDescent="0.3">
      <c r="A3475" s="1" t="s">
        <v>2313</v>
      </c>
      <c r="B3475" t="s">
        <v>2312</v>
      </c>
      <c r="C3475" s="1">
        <v>3.75</v>
      </c>
      <c r="D3475" s="1">
        <v>5</v>
      </c>
      <c r="E3475" s="2">
        <v>6.8947368421052602</v>
      </c>
      <c r="F3475" s="1">
        <v>19</v>
      </c>
      <c r="G3475" s="1">
        <v>595.17999999999995</v>
      </c>
      <c r="H3475" s="1" t="s">
        <v>8</v>
      </c>
      <c r="I3475" t="str">
        <f t="shared" si="54"/>
        <v>BATHROOM SCALES FOOTPRINTS IN SAND [82011C]</v>
      </c>
    </row>
    <row r="3476" spans="1:9" x14ac:dyDescent="0.3">
      <c r="A3476" s="1" t="s">
        <v>2311</v>
      </c>
      <c r="B3476" t="s">
        <v>2310</v>
      </c>
      <c r="C3476" s="1">
        <v>3.75</v>
      </c>
      <c r="D3476" s="1">
        <v>2</v>
      </c>
      <c r="E3476" s="1">
        <v>2</v>
      </c>
      <c r="F3476" s="1">
        <v>1</v>
      </c>
      <c r="G3476" s="1">
        <v>7.5</v>
      </c>
      <c r="H3476" s="1" t="s">
        <v>8</v>
      </c>
      <c r="I3476" t="str">
        <f t="shared" si="54"/>
        <v>BATHROOM SCALES, FAG BREAK [82011E]</v>
      </c>
    </row>
    <row r="3477" spans="1:9" x14ac:dyDescent="0.3">
      <c r="A3477" s="1">
        <v>82069</v>
      </c>
      <c r="B3477" t="s">
        <v>2309</v>
      </c>
      <c r="C3477" s="1">
        <v>5.91</v>
      </c>
      <c r="D3477" s="1">
        <v>3</v>
      </c>
      <c r="E3477" s="2">
        <v>2.8333333333333299</v>
      </c>
      <c r="F3477" s="1">
        <v>6</v>
      </c>
      <c r="G3477" s="1">
        <v>109.85</v>
      </c>
      <c r="H3477" s="1" t="s">
        <v>8</v>
      </c>
      <c r="I3477" t="str">
        <f t="shared" si="54"/>
        <v>BEECH WOOD P/FRAME [82069]</v>
      </c>
    </row>
    <row r="3478" spans="1:9" x14ac:dyDescent="0.3">
      <c r="A3478" s="1">
        <v>82072</v>
      </c>
      <c r="B3478" t="s">
        <v>2308</v>
      </c>
      <c r="C3478" s="1">
        <v>1.25</v>
      </c>
      <c r="D3478" s="1">
        <v>2</v>
      </c>
      <c r="E3478" s="2">
        <v>1.6666666666666601</v>
      </c>
      <c r="F3478" s="1">
        <v>3</v>
      </c>
      <c r="G3478" s="1">
        <v>6.25</v>
      </c>
      <c r="H3478" s="1" t="s">
        <v>8</v>
      </c>
      <c r="I3478" t="str">
        <f t="shared" si="54"/>
        <v>WHITE WOOD SINGLE P/FRAME [82072]</v>
      </c>
    </row>
    <row r="3479" spans="1:9" x14ac:dyDescent="0.3">
      <c r="A3479" s="1">
        <v>82076</v>
      </c>
      <c r="B3479" t="s">
        <v>2307</v>
      </c>
      <c r="C3479" s="1">
        <v>1.4750000000000001</v>
      </c>
      <c r="D3479" s="1">
        <v>145</v>
      </c>
      <c r="E3479" s="1">
        <v>145</v>
      </c>
      <c r="F3479" s="1">
        <v>2</v>
      </c>
      <c r="G3479" s="1">
        <v>403.64</v>
      </c>
      <c r="H3479" s="1" t="s">
        <v>10</v>
      </c>
      <c r="I3479" t="str">
        <f t="shared" si="54"/>
        <v>BEECH WOOD PHOTO FRAME [82076]</v>
      </c>
    </row>
    <row r="3480" spans="1:9" x14ac:dyDescent="0.3">
      <c r="A3480" s="1">
        <v>82081</v>
      </c>
      <c r="B3480" t="s">
        <v>2306</v>
      </c>
      <c r="C3480" s="1">
        <v>2.62</v>
      </c>
      <c r="D3480" s="1">
        <v>54</v>
      </c>
      <c r="E3480" s="1">
        <v>58</v>
      </c>
      <c r="F3480" s="1">
        <v>3</v>
      </c>
      <c r="G3480" s="1">
        <v>451.35</v>
      </c>
      <c r="H3480" s="1" t="s">
        <v>9</v>
      </c>
      <c r="I3480" t="str">
        <f t="shared" si="54"/>
        <v>PINK HEARTS PHOTO ALBUM [82081]</v>
      </c>
    </row>
    <row r="3481" spans="1:9" x14ac:dyDescent="0.3">
      <c r="A3481" s="1">
        <v>82093</v>
      </c>
      <c r="B3481" t="s">
        <v>2305</v>
      </c>
      <c r="C3481" s="1">
        <v>2.0099999999999998</v>
      </c>
      <c r="D3481" s="1">
        <v>69.5</v>
      </c>
      <c r="E3481" s="1">
        <v>69.5</v>
      </c>
      <c r="F3481" s="1">
        <v>2</v>
      </c>
      <c r="G3481" s="1">
        <v>283.49</v>
      </c>
      <c r="H3481" s="1" t="s">
        <v>10</v>
      </c>
      <c r="I3481" t="str">
        <f t="shared" si="54"/>
        <v>HEART SHAPE BUTTON FRAME [82093]</v>
      </c>
    </row>
    <row r="3482" spans="1:9" x14ac:dyDescent="0.3">
      <c r="A3482" s="1">
        <v>82095</v>
      </c>
      <c r="B3482" t="s">
        <v>2304</v>
      </c>
      <c r="C3482" s="1">
        <v>7.65</v>
      </c>
      <c r="D3482" s="1">
        <v>4</v>
      </c>
      <c r="E3482" s="2">
        <v>5.8823529411764701</v>
      </c>
      <c r="F3482" s="1">
        <v>17</v>
      </c>
      <c r="G3482" s="1">
        <v>600.91</v>
      </c>
      <c r="H3482" s="1" t="s">
        <v>8</v>
      </c>
      <c r="I3482" t="str">
        <f t="shared" si="54"/>
        <v>HEART BUTTONS JEWELLERY BOX [82095]</v>
      </c>
    </row>
    <row r="3483" spans="1:9" x14ac:dyDescent="0.3">
      <c r="A3483" s="1">
        <v>82482</v>
      </c>
      <c r="B3483" t="s">
        <v>2303</v>
      </c>
      <c r="C3483" s="1">
        <v>2.4700000000000002</v>
      </c>
      <c r="D3483" s="1">
        <v>744</v>
      </c>
      <c r="E3483" s="2">
        <v>735.39130434782601</v>
      </c>
      <c r="F3483" s="1">
        <v>23</v>
      </c>
      <c r="G3483" s="1">
        <v>41837.599999999999</v>
      </c>
      <c r="H3483" s="1" t="s">
        <v>10</v>
      </c>
      <c r="I3483" t="str">
        <f t="shared" si="54"/>
        <v>WOODEN PICTURE FRAME WHITE FINISH [82482]</v>
      </c>
    </row>
    <row r="3484" spans="1:9" x14ac:dyDescent="0.3">
      <c r="A3484" s="1">
        <v>82483</v>
      </c>
      <c r="B3484" t="s">
        <v>2302</v>
      </c>
      <c r="C3484" s="1">
        <v>5.875</v>
      </c>
      <c r="D3484" s="1">
        <v>198</v>
      </c>
      <c r="E3484" s="1">
        <v>203.25</v>
      </c>
      <c r="F3484" s="1">
        <v>24</v>
      </c>
      <c r="G3484" s="1">
        <v>29003.37</v>
      </c>
      <c r="H3484" s="1" t="s">
        <v>10</v>
      </c>
      <c r="I3484" t="str">
        <f t="shared" si="54"/>
        <v>WOOD 2 DRAWER CABINET WHITE FINISH [82483]</v>
      </c>
    </row>
    <row r="3485" spans="1:9" x14ac:dyDescent="0.3">
      <c r="A3485" s="1">
        <v>82484</v>
      </c>
      <c r="B3485" t="s">
        <v>2301</v>
      </c>
      <c r="C3485" s="1">
        <v>6.01</v>
      </c>
      <c r="D3485" s="1">
        <v>390</v>
      </c>
      <c r="E3485" s="2">
        <v>468.142857142857</v>
      </c>
      <c r="F3485" s="1">
        <v>21</v>
      </c>
      <c r="G3485" s="1">
        <v>56745.73</v>
      </c>
      <c r="H3485" s="1" t="s">
        <v>10</v>
      </c>
      <c r="I3485" t="str">
        <f t="shared" si="54"/>
        <v>WOOD BLACK BOARD ANT WHITE FINISH [82484]</v>
      </c>
    </row>
    <row r="3486" spans="1:9" x14ac:dyDescent="0.3">
      <c r="A3486" s="1">
        <v>82486</v>
      </c>
      <c r="B3486" t="s">
        <v>2300</v>
      </c>
      <c r="C3486" s="1">
        <v>8.09</v>
      </c>
      <c r="D3486" s="1">
        <v>163</v>
      </c>
      <c r="E3486" s="2">
        <v>175.111111111111</v>
      </c>
      <c r="F3486" s="1">
        <v>25</v>
      </c>
      <c r="G3486" s="1">
        <v>38052.33</v>
      </c>
      <c r="H3486" s="1" t="s">
        <v>10</v>
      </c>
      <c r="I3486" t="str">
        <f t="shared" si="54"/>
        <v>WOOD S/3 CABINET ANT WHITE FINISH [82486]</v>
      </c>
    </row>
    <row r="3487" spans="1:9" x14ac:dyDescent="0.3">
      <c r="A3487" s="1" t="s">
        <v>2299</v>
      </c>
      <c r="B3487" t="s">
        <v>2297</v>
      </c>
      <c r="C3487" s="1">
        <v>2.84</v>
      </c>
      <c r="D3487" s="1">
        <v>636</v>
      </c>
      <c r="E3487" s="1">
        <v>612.04</v>
      </c>
      <c r="F3487" s="1">
        <v>25</v>
      </c>
      <c r="G3487" s="1">
        <v>43811.16</v>
      </c>
      <c r="H3487" s="1" t="s">
        <v>10</v>
      </c>
      <c r="I3487" t="str">
        <f t="shared" si="54"/>
        <v>WOODEN FRAME ANTIQUE WHITE [82494L]</v>
      </c>
    </row>
    <row r="3488" spans="1:9" x14ac:dyDescent="0.3">
      <c r="A3488" s="1" t="s">
        <v>2298</v>
      </c>
      <c r="B3488" t="s">
        <v>2297</v>
      </c>
      <c r="C3488" s="1">
        <v>8.2899999999999991</v>
      </c>
      <c r="D3488" s="1">
        <v>16.5</v>
      </c>
      <c r="E3488" s="1">
        <v>27</v>
      </c>
      <c r="F3488" s="1">
        <v>14</v>
      </c>
      <c r="G3488" s="1">
        <v>3155.93</v>
      </c>
      <c r="H3488" s="1" t="s">
        <v>9</v>
      </c>
      <c r="I3488" t="str">
        <f t="shared" si="54"/>
        <v>WOODEN FRAME ANTIQUE WHITE [82494l]</v>
      </c>
    </row>
    <row r="3489" spans="1:9" x14ac:dyDescent="0.3">
      <c r="A3489" s="1" t="s">
        <v>2296</v>
      </c>
      <c r="B3489" t="s">
        <v>2295</v>
      </c>
      <c r="C3489" s="1">
        <v>1.25</v>
      </c>
      <c r="D3489" s="1">
        <v>3</v>
      </c>
      <c r="E3489" s="2">
        <v>4.4285714285714199</v>
      </c>
      <c r="F3489" s="1">
        <v>7</v>
      </c>
      <c r="G3489" s="1">
        <v>38.75</v>
      </c>
      <c r="H3489" s="1" t="s">
        <v>8</v>
      </c>
      <c r="I3489" t="str">
        <f t="shared" si="54"/>
        <v>COGNAC AUX OEUFS METAL 1 HOOK [82545A]</v>
      </c>
    </row>
    <row r="3490" spans="1:9" x14ac:dyDescent="0.3">
      <c r="A3490" s="1">
        <v>82551</v>
      </c>
      <c r="B3490" t="s">
        <v>2294</v>
      </c>
      <c r="C3490" s="1">
        <v>1.45</v>
      </c>
      <c r="D3490" s="1">
        <v>211</v>
      </c>
      <c r="E3490" s="1">
        <v>225.64</v>
      </c>
      <c r="F3490" s="1">
        <v>25</v>
      </c>
      <c r="G3490" s="1">
        <v>8081.14</v>
      </c>
      <c r="H3490" s="1" t="s">
        <v>10</v>
      </c>
      <c r="I3490" t="str">
        <f t="shared" si="54"/>
        <v>LAUNDRY 15C METAL SIGN [82551]</v>
      </c>
    </row>
    <row r="3491" spans="1:9" x14ac:dyDescent="0.3">
      <c r="A3491" s="1">
        <v>82552</v>
      </c>
      <c r="B3491" t="s">
        <v>2293</v>
      </c>
      <c r="C3491" s="1">
        <v>1.45</v>
      </c>
      <c r="D3491" s="1">
        <v>266</v>
      </c>
      <c r="E3491" s="1">
        <v>278.2</v>
      </c>
      <c r="F3491" s="1">
        <v>25</v>
      </c>
      <c r="G3491" s="1">
        <v>9527.16</v>
      </c>
      <c r="H3491" s="1" t="s">
        <v>10</v>
      </c>
      <c r="I3491" t="str">
        <f t="shared" si="54"/>
        <v>WASHROOM METAL SIGN [82552]</v>
      </c>
    </row>
    <row r="3492" spans="1:9" x14ac:dyDescent="0.3">
      <c r="A3492" s="1">
        <v>82553</v>
      </c>
      <c r="B3492" t="s">
        <v>2292</v>
      </c>
      <c r="C3492" s="1">
        <v>2.06</v>
      </c>
      <c r="D3492" s="1">
        <v>6</v>
      </c>
      <c r="E3492" s="1">
        <v>38</v>
      </c>
      <c r="F3492" s="1">
        <v>3</v>
      </c>
      <c r="G3492" s="1">
        <v>237.73</v>
      </c>
      <c r="H3492" s="1" t="s">
        <v>8</v>
      </c>
      <c r="I3492" t="str">
        <f t="shared" si="54"/>
        <v>POP'S GREASY SPOON METAL SIGN [82553]</v>
      </c>
    </row>
    <row r="3493" spans="1:9" x14ac:dyDescent="0.3">
      <c r="A3493" s="1">
        <v>82567</v>
      </c>
      <c r="B3493" t="s">
        <v>2291</v>
      </c>
      <c r="C3493" s="1">
        <v>2.13</v>
      </c>
      <c r="D3493" s="1">
        <v>49</v>
      </c>
      <c r="E3493" s="1">
        <v>48.28</v>
      </c>
      <c r="F3493" s="1">
        <v>25</v>
      </c>
      <c r="G3493" s="1">
        <v>2498.98</v>
      </c>
      <c r="H3493" s="1" t="s">
        <v>9</v>
      </c>
      <c r="I3493" t="str">
        <f t="shared" si="54"/>
        <v>AIRLINE LOUNGE,METAL SIGN [82567]</v>
      </c>
    </row>
    <row r="3494" spans="1:9" x14ac:dyDescent="0.3">
      <c r="A3494" s="1">
        <v>82578</v>
      </c>
      <c r="B3494" t="s">
        <v>2290</v>
      </c>
      <c r="C3494" s="1">
        <v>0.59</v>
      </c>
      <c r="D3494" s="1">
        <v>173</v>
      </c>
      <c r="E3494" s="1">
        <v>223.8</v>
      </c>
      <c r="F3494" s="1">
        <v>25</v>
      </c>
      <c r="G3494" s="2">
        <v>3129.24</v>
      </c>
      <c r="H3494" s="1" t="s">
        <v>10</v>
      </c>
      <c r="I3494" t="str">
        <f t="shared" si="54"/>
        <v>KITCHEN METAL SIGN [82578]</v>
      </c>
    </row>
    <row r="3495" spans="1:9" x14ac:dyDescent="0.3">
      <c r="A3495" s="1">
        <v>82580</v>
      </c>
      <c r="B3495" t="s">
        <v>2289</v>
      </c>
      <c r="C3495" s="1">
        <v>0.56999999999999995</v>
      </c>
      <c r="D3495" s="1">
        <v>503</v>
      </c>
      <c r="E3495" s="1">
        <v>529.96</v>
      </c>
      <c r="F3495" s="1">
        <v>25</v>
      </c>
      <c r="G3495" s="2">
        <v>7458.5199999999904</v>
      </c>
      <c r="H3495" s="1" t="s">
        <v>10</v>
      </c>
      <c r="I3495" t="str">
        <f t="shared" si="54"/>
        <v>BATHROOM METAL SIGN [82580]</v>
      </c>
    </row>
    <row r="3496" spans="1:9" x14ac:dyDescent="0.3">
      <c r="A3496" s="1">
        <v>82581</v>
      </c>
      <c r="B3496" t="s">
        <v>2288</v>
      </c>
      <c r="C3496" s="1">
        <v>0.57999999999999996</v>
      </c>
      <c r="D3496" s="1">
        <v>281</v>
      </c>
      <c r="E3496" s="1">
        <v>335.96</v>
      </c>
      <c r="F3496" s="1">
        <v>25</v>
      </c>
      <c r="G3496" s="1">
        <v>4649</v>
      </c>
      <c r="H3496" s="1" t="s">
        <v>10</v>
      </c>
      <c r="I3496" t="str">
        <f t="shared" si="54"/>
        <v>TOILET METAL SIGN [82581]</v>
      </c>
    </row>
    <row r="3497" spans="1:9" x14ac:dyDescent="0.3">
      <c r="A3497" s="1">
        <v>82582</v>
      </c>
      <c r="B3497" t="s">
        <v>2287</v>
      </c>
      <c r="C3497" s="1">
        <v>2.0249999999999999</v>
      </c>
      <c r="D3497" s="1">
        <v>302</v>
      </c>
      <c r="E3497" s="1">
        <v>311.625</v>
      </c>
      <c r="F3497" s="1">
        <v>24</v>
      </c>
      <c r="G3497" s="1">
        <v>15110.98</v>
      </c>
      <c r="H3497" s="1" t="s">
        <v>10</v>
      </c>
      <c r="I3497" t="str">
        <f t="shared" si="54"/>
        <v>AREA PATROLLED METAL SIGN [82582]</v>
      </c>
    </row>
    <row r="3498" spans="1:9" x14ac:dyDescent="0.3">
      <c r="A3498" s="1">
        <v>82583</v>
      </c>
      <c r="B3498" t="s">
        <v>2286</v>
      </c>
      <c r="C3498" s="1">
        <v>2.12</v>
      </c>
      <c r="D3498" s="1">
        <v>428</v>
      </c>
      <c r="E3498" s="1">
        <v>515.08000000000004</v>
      </c>
      <c r="F3498" s="1">
        <v>25</v>
      </c>
      <c r="G3498" s="2">
        <v>27981.9899999999</v>
      </c>
      <c r="H3498" s="1" t="s">
        <v>10</v>
      </c>
      <c r="I3498" t="str">
        <f t="shared" si="54"/>
        <v>HOT BATHS METAL SIGN [82583]</v>
      </c>
    </row>
    <row r="3499" spans="1:9" x14ac:dyDescent="0.3">
      <c r="A3499" s="1">
        <v>82585</v>
      </c>
      <c r="B3499" t="s">
        <v>2285</v>
      </c>
      <c r="C3499" s="1">
        <v>1.55</v>
      </c>
      <c r="D3499" s="1">
        <v>34.5</v>
      </c>
      <c r="E3499" s="1">
        <v>41</v>
      </c>
      <c r="F3499" s="1">
        <v>4</v>
      </c>
      <c r="G3499" s="1">
        <v>235.9</v>
      </c>
      <c r="H3499" s="1" t="s">
        <v>9</v>
      </c>
      <c r="I3499" t="str">
        <f t="shared" si="54"/>
        <v>SWEET VALENCIA CANDLE+CUP [82585]</v>
      </c>
    </row>
    <row r="3500" spans="1:9" x14ac:dyDescent="0.3">
      <c r="A3500" s="1">
        <v>82587</v>
      </c>
      <c r="B3500" t="s">
        <v>2284</v>
      </c>
      <c r="C3500" s="1">
        <v>1.31</v>
      </c>
      <c r="D3500" s="1">
        <v>23</v>
      </c>
      <c r="E3500" s="2">
        <v>21.3333333333333</v>
      </c>
      <c r="F3500" s="1">
        <v>6</v>
      </c>
      <c r="G3500" s="1">
        <v>166.78</v>
      </c>
      <c r="H3500" s="1" t="s">
        <v>9</v>
      </c>
      <c r="I3500" t="str">
        <f t="shared" si="54"/>
        <v>TEXRIO TOMATOES CANDLE+CUP [82587]</v>
      </c>
    </row>
    <row r="3501" spans="1:9" x14ac:dyDescent="0.3">
      <c r="A3501" s="1">
        <v>82597</v>
      </c>
      <c r="B3501" t="s">
        <v>2283</v>
      </c>
      <c r="C3501" s="2">
        <v>2.15</v>
      </c>
      <c r="D3501" s="1">
        <v>110.5</v>
      </c>
      <c r="E3501" s="2">
        <v>100.833333333333</v>
      </c>
      <c r="F3501" s="1">
        <v>12</v>
      </c>
      <c r="G3501" s="1">
        <v>2569.66</v>
      </c>
      <c r="H3501" s="1" t="s">
        <v>10</v>
      </c>
      <c r="I3501" t="str">
        <f t="shared" si="54"/>
        <v>BOMBS AWAY METAL SIGN [82597]</v>
      </c>
    </row>
    <row r="3502" spans="1:9" x14ac:dyDescent="0.3">
      <c r="A3502" s="1">
        <v>82599</v>
      </c>
      <c r="B3502" t="s">
        <v>2282</v>
      </c>
      <c r="C3502" s="2">
        <v>2.19</v>
      </c>
      <c r="D3502" s="1">
        <v>128.5</v>
      </c>
      <c r="E3502" s="2">
        <v>139.166666666666</v>
      </c>
      <c r="F3502" s="1">
        <v>18</v>
      </c>
      <c r="G3502" s="1">
        <v>5479.44</v>
      </c>
      <c r="H3502" s="1" t="s">
        <v>10</v>
      </c>
      <c r="I3502" t="str">
        <f t="shared" si="54"/>
        <v>FANNY'S REST STOPMETAL SIGN [82599]</v>
      </c>
    </row>
    <row r="3503" spans="1:9" x14ac:dyDescent="0.3">
      <c r="A3503" s="1">
        <v>82600</v>
      </c>
      <c r="B3503" t="s">
        <v>2281</v>
      </c>
      <c r="C3503" s="1">
        <v>2.0499999999999998</v>
      </c>
      <c r="D3503" s="1">
        <v>451</v>
      </c>
      <c r="E3503" s="1">
        <v>487.5</v>
      </c>
      <c r="F3503" s="1">
        <v>25</v>
      </c>
      <c r="G3503" s="1">
        <v>25736.19</v>
      </c>
      <c r="H3503" s="1" t="s">
        <v>10</v>
      </c>
      <c r="I3503" t="str">
        <f t="shared" si="54"/>
        <v>NO SINGING METAL SIGN [82600]</v>
      </c>
    </row>
    <row r="3504" spans="1:9" x14ac:dyDescent="0.3">
      <c r="A3504" s="1">
        <v>82605</v>
      </c>
      <c r="B3504" t="s">
        <v>2280</v>
      </c>
      <c r="C3504" s="1">
        <v>2.2200000000000002</v>
      </c>
      <c r="D3504" s="1">
        <v>18</v>
      </c>
      <c r="E3504" s="2">
        <v>17.8666666666666</v>
      </c>
      <c r="F3504" s="1">
        <v>14</v>
      </c>
      <c r="G3504" s="2">
        <v>595.06999999999903</v>
      </c>
      <c r="H3504" s="1" t="s">
        <v>9</v>
      </c>
      <c r="I3504" t="str">
        <f t="shared" si="54"/>
        <v>OLD DOC.RUSSEL METAL SIGN [82605]</v>
      </c>
    </row>
    <row r="3505" spans="1:9" x14ac:dyDescent="0.3">
      <c r="A3505" s="1" t="s">
        <v>2279</v>
      </c>
      <c r="B3505" t="s">
        <v>2278</v>
      </c>
      <c r="C3505" s="1">
        <v>1.41</v>
      </c>
      <c r="D3505" s="1">
        <v>55</v>
      </c>
      <c r="E3505" s="2">
        <v>60.272727272727202</v>
      </c>
      <c r="F3505" s="1">
        <v>11</v>
      </c>
      <c r="G3505" s="1">
        <v>923.72</v>
      </c>
      <c r="H3505" s="1" t="s">
        <v>9</v>
      </c>
      <c r="I3505" t="str">
        <f t="shared" si="54"/>
        <v>GLASS BONBON JAR PARFUME AUX FLEURE [82607A]</v>
      </c>
    </row>
    <row r="3506" spans="1:9" x14ac:dyDescent="0.3">
      <c r="A3506" s="1" t="s">
        <v>2277</v>
      </c>
      <c r="B3506" t="s">
        <v>2276</v>
      </c>
      <c r="C3506" s="1">
        <v>1.4950000000000001</v>
      </c>
      <c r="D3506" s="1">
        <v>30.5</v>
      </c>
      <c r="E3506" s="1">
        <v>28.75</v>
      </c>
      <c r="F3506" s="1">
        <v>4</v>
      </c>
      <c r="G3506" s="1">
        <v>175.61</v>
      </c>
      <c r="H3506" s="1" t="s">
        <v>9</v>
      </c>
      <c r="I3506" t="str">
        <f t="shared" si="54"/>
        <v>GLASS BONBON JAR. SUPERFINES [82607C]</v>
      </c>
    </row>
    <row r="3507" spans="1:9" x14ac:dyDescent="0.3">
      <c r="A3507" s="1" t="s">
        <v>2275</v>
      </c>
      <c r="B3507" t="s">
        <v>2274</v>
      </c>
      <c r="C3507" s="1">
        <v>1.25</v>
      </c>
      <c r="D3507" s="1">
        <v>12</v>
      </c>
      <c r="E3507" s="2">
        <v>14.4285714285714</v>
      </c>
      <c r="F3507" s="1">
        <v>7</v>
      </c>
      <c r="G3507" s="1">
        <v>126.25</v>
      </c>
      <c r="H3507" s="1" t="s">
        <v>9</v>
      </c>
      <c r="I3507" t="str">
        <f t="shared" si="54"/>
        <v>GLASS BONBON JAR. D'AMANDES [82607E]</v>
      </c>
    </row>
    <row r="3508" spans="1:9" x14ac:dyDescent="0.3">
      <c r="A3508" s="1" t="s">
        <v>2273</v>
      </c>
      <c r="B3508" t="s">
        <v>2265</v>
      </c>
      <c r="C3508" s="1">
        <v>1.25</v>
      </c>
      <c r="D3508" s="1">
        <v>15.5</v>
      </c>
      <c r="E3508" s="1">
        <v>24.6</v>
      </c>
      <c r="F3508" s="1">
        <v>20</v>
      </c>
      <c r="G3508" s="1">
        <v>667.47</v>
      </c>
      <c r="H3508" s="1" t="s">
        <v>9</v>
      </c>
      <c r="I3508" t="str">
        <f t="shared" si="54"/>
        <v>METAL SIGN,CUPCAKE SINGLE HOOK [82613A]</v>
      </c>
    </row>
    <row r="3509" spans="1:9" x14ac:dyDescent="0.3">
      <c r="A3509" s="1" t="s">
        <v>2272</v>
      </c>
      <c r="B3509" t="s">
        <v>2265</v>
      </c>
      <c r="C3509" s="1">
        <v>1.52</v>
      </c>
      <c r="D3509" s="1">
        <v>19</v>
      </c>
      <c r="E3509" s="1">
        <v>35.840000000000003</v>
      </c>
      <c r="F3509" s="1">
        <v>25</v>
      </c>
      <c r="G3509" s="1">
        <v>985.57</v>
      </c>
      <c r="H3509" s="1" t="s">
        <v>9</v>
      </c>
      <c r="I3509" t="str">
        <f t="shared" si="54"/>
        <v>METAL SIGN,CUPCAKE SINGLE HOOK [82613B]</v>
      </c>
    </row>
    <row r="3510" spans="1:9" x14ac:dyDescent="0.3">
      <c r="A3510" s="1" t="s">
        <v>2271</v>
      </c>
      <c r="B3510" t="s">
        <v>2265</v>
      </c>
      <c r="C3510" s="1">
        <v>1.61</v>
      </c>
      <c r="D3510" s="1">
        <v>15</v>
      </c>
      <c r="E3510" s="1">
        <v>30.8</v>
      </c>
      <c r="F3510" s="1">
        <v>25</v>
      </c>
      <c r="G3510" s="1">
        <v>820.01</v>
      </c>
      <c r="H3510" s="1" t="s">
        <v>9</v>
      </c>
      <c r="I3510" t="str">
        <f t="shared" si="54"/>
        <v>METAL SIGN,CUPCAKE SINGLE HOOK [82613C]</v>
      </c>
    </row>
    <row r="3511" spans="1:9" x14ac:dyDescent="0.3">
      <c r="A3511" s="1" t="s">
        <v>2270</v>
      </c>
      <c r="B3511" t="s">
        <v>2269</v>
      </c>
      <c r="C3511" s="1">
        <v>1.44</v>
      </c>
      <c r="D3511" s="1">
        <v>28</v>
      </c>
      <c r="E3511" s="1">
        <v>47.44</v>
      </c>
      <c r="F3511" s="1">
        <v>25</v>
      </c>
      <c r="G3511" s="1">
        <v>1281.8599999999999</v>
      </c>
      <c r="H3511" s="1" t="s">
        <v>9</v>
      </c>
      <c r="I3511" t="str">
        <f t="shared" si="54"/>
        <v>METAL SIGN CUPCAKE SINGLE HOOK [82613D]</v>
      </c>
    </row>
    <row r="3512" spans="1:9" x14ac:dyDescent="0.3">
      <c r="A3512" s="1" t="s">
        <v>2268</v>
      </c>
      <c r="B3512" t="s">
        <v>2265</v>
      </c>
      <c r="C3512" s="1">
        <v>2.5099999999999998</v>
      </c>
      <c r="D3512" s="1">
        <v>1</v>
      </c>
      <c r="E3512" s="1">
        <v>1</v>
      </c>
      <c r="F3512" s="1">
        <v>3</v>
      </c>
      <c r="G3512" s="2">
        <v>7.4799999999999898</v>
      </c>
      <c r="H3512" s="1" t="s">
        <v>8</v>
      </c>
      <c r="I3512" t="str">
        <f t="shared" si="54"/>
        <v>METAL SIGN,CUPCAKE SINGLE HOOK [82613a]</v>
      </c>
    </row>
    <row r="3513" spans="1:9" x14ac:dyDescent="0.3">
      <c r="A3513" s="1" t="s">
        <v>2267</v>
      </c>
      <c r="B3513" t="s">
        <v>2265</v>
      </c>
      <c r="C3513" s="1">
        <v>2.5099999999999998</v>
      </c>
      <c r="D3513" s="1">
        <v>1.5</v>
      </c>
      <c r="E3513" s="1">
        <v>1.75</v>
      </c>
      <c r="F3513" s="1">
        <v>8</v>
      </c>
      <c r="G3513" s="1">
        <v>35.04</v>
      </c>
      <c r="H3513" s="1" t="s">
        <v>8</v>
      </c>
      <c r="I3513" t="str">
        <f t="shared" si="54"/>
        <v>METAL SIGN,CUPCAKE SINGLE HOOK [82613b]</v>
      </c>
    </row>
    <row r="3514" spans="1:9" x14ac:dyDescent="0.3">
      <c r="A3514" s="1" t="s">
        <v>2266</v>
      </c>
      <c r="B3514" t="s">
        <v>2265</v>
      </c>
      <c r="C3514" s="1">
        <v>2.5099999999999998</v>
      </c>
      <c r="D3514" s="1">
        <v>1</v>
      </c>
      <c r="E3514" s="2">
        <v>1.44444444444444</v>
      </c>
      <c r="F3514" s="1">
        <v>9</v>
      </c>
      <c r="G3514" s="1">
        <v>32.479999999999997</v>
      </c>
      <c r="H3514" s="1" t="s">
        <v>8</v>
      </c>
      <c r="I3514" t="str">
        <f t="shared" si="54"/>
        <v>METAL SIGN,CUPCAKE SINGLE HOOK [82613c]</v>
      </c>
    </row>
    <row r="3515" spans="1:9" x14ac:dyDescent="0.3">
      <c r="A3515" s="1">
        <v>82615</v>
      </c>
      <c r="B3515" t="s">
        <v>2264</v>
      </c>
      <c r="C3515" s="1">
        <v>2.82</v>
      </c>
      <c r="D3515" s="1">
        <v>32</v>
      </c>
      <c r="E3515" s="2">
        <v>44.769230769230703</v>
      </c>
      <c r="F3515" s="1">
        <v>13</v>
      </c>
      <c r="G3515" s="1">
        <v>1603.97</v>
      </c>
      <c r="H3515" s="1" t="s">
        <v>9</v>
      </c>
      <c r="I3515" t="str">
        <f t="shared" si="54"/>
        <v>PINK MARSHMALLOW SCARF KNITTING KIT [82615]</v>
      </c>
    </row>
    <row r="3516" spans="1:9" x14ac:dyDescent="0.3">
      <c r="A3516" s="1" t="s">
        <v>2263</v>
      </c>
      <c r="B3516" t="s">
        <v>2262</v>
      </c>
      <c r="C3516" s="1">
        <v>2.52</v>
      </c>
      <c r="D3516" s="1">
        <v>26.5</v>
      </c>
      <c r="E3516" s="1">
        <v>31.6</v>
      </c>
      <c r="F3516" s="1">
        <v>10</v>
      </c>
      <c r="G3516" s="1">
        <v>624.21</v>
      </c>
      <c r="H3516" s="1" t="s">
        <v>9</v>
      </c>
      <c r="I3516" t="str">
        <f t="shared" si="54"/>
        <v>BUBBLE GUM SCARF KNITTING KIT [82616A]</v>
      </c>
    </row>
    <row r="3517" spans="1:9" x14ac:dyDescent="0.3">
      <c r="A3517" s="1" t="s">
        <v>2261</v>
      </c>
      <c r="B3517" t="s">
        <v>2260</v>
      </c>
      <c r="C3517" s="1">
        <v>2.0699999999999998</v>
      </c>
      <c r="D3517" s="1">
        <v>24</v>
      </c>
      <c r="E3517" s="2">
        <v>28.857142857142801</v>
      </c>
      <c r="F3517" s="1">
        <v>21</v>
      </c>
      <c r="G3517" s="1">
        <v>977.55</v>
      </c>
      <c r="H3517" s="1" t="s">
        <v>9</v>
      </c>
      <c r="I3517" t="str">
        <f t="shared" si="54"/>
        <v>FRAPPUCINO SCARF KNITTING KIT [82616B]</v>
      </c>
    </row>
    <row r="3518" spans="1:9" x14ac:dyDescent="0.3">
      <c r="A3518" s="1" t="s">
        <v>2259</v>
      </c>
      <c r="B3518" t="s">
        <v>2258</v>
      </c>
      <c r="C3518" s="1">
        <v>2.13</v>
      </c>
      <c r="D3518" s="1">
        <v>15</v>
      </c>
      <c r="E3518" s="2">
        <v>27.478260869565201</v>
      </c>
      <c r="F3518" s="1">
        <v>23</v>
      </c>
      <c r="G3518" s="1">
        <v>1024.0999999999999</v>
      </c>
      <c r="H3518" s="1" t="s">
        <v>9</v>
      </c>
      <c r="I3518" t="str">
        <f t="shared" si="54"/>
        <v>MIDNIGHT GLAMOUR SCARF KNITTING KIT [82616C]</v>
      </c>
    </row>
    <row r="3519" spans="1:9" x14ac:dyDescent="0.3">
      <c r="A3519" s="1">
        <v>84006</v>
      </c>
      <c r="B3519" t="s">
        <v>2257</v>
      </c>
      <c r="C3519" s="1">
        <v>0.91</v>
      </c>
      <c r="D3519" s="1">
        <v>43</v>
      </c>
      <c r="E3519" s="1">
        <v>74.239999999999995</v>
      </c>
      <c r="F3519" s="1">
        <v>25</v>
      </c>
      <c r="G3519" s="1">
        <v>1738.07</v>
      </c>
      <c r="H3519" s="1" t="s">
        <v>9</v>
      </c>
      <c r="I3519" t="str">
        <f t="shared" si="54"/>
        <v>MAGIC TREE -PAPER FLOWERS [84006]</v>
      </c>
    </row>
    <row r="3520" spans="1:9" x14ac:dyDescent="0.3">
      <c r="A3520" s="1">
        <v>84007</v>
      </c>
      <c r="B3520" t="s">
        <v>2256</v>
      </c>
      <c r="C3520" s="1">
        <v>2.5499999999999998</v>
      </c>
      <c r="D3520" s="1">
        <v>8</v>
      </c>
      <c r="E3520" s="2">
        <v>14.272727272727201</v>
      </c>
      <c r="F3520" s="1">
        <v>11</v>
      </c>
      <c r="G3520" s="1">
        <v>413.12</v>
      </c>
      <c r="H3520" s="1" t="s">
        <v>8</v>
      </c>
      <c r="I3520" t="str">
        <f t="shared" si="54"/>
        <v>MAGIC GARDEN MOUNT FUJI [84007]</v>
      </c>
    </row>
    <row r="3521" spans="1:9" x14ac:dyDescent="0.3">
      <c r="A3521" s="1">
        <v>84012</v>
      </c>
      <c r="B3521" t="s">
        <v>2255</v>
      </c>
      <c r="C3521" s="1">
        <v>2.5499999999999998</v>
      </c>
      <c r="D3521" s="1">
        <v>42.5</v>
      </c>
      <c r="E3521" s="2">
        <v>76.5833333333333</v>
      </c>
      <c r="F3521" s="1">
        <v>24</v>
      </c>
      <c r="G3521" s="2">
        <v>2628.47</v>
      </c>
      <c r="H3521" s="1" t="s">
        <v>9</v>
      </c>
      <c r="I3521" t="str">
        <f t="shared" si="54"/>
        <v>MAGIC SHEEP WOOL GROWING FROM PAPER [84012]</v>
      </c>
    </row>
    <row r="3522" spans="1:9" x14ac:dyDescent="0.3">
      <c r="A3522" s="1">
        <v>84016</v>
      </c>
      <c r="B3522" t="s">
        <v>2254</v>
      </c>
      <c r="C3522" s="1">
        <v>0.42</v>
      </c>
      <c r="D3522" s="1">
        <v>25</v>
      </c>
      <c r="E3522" s="1">
        <v>34.4</v>
      </c>
      <c r="F3522" s="1">
        <v>5</v>
      </c>
      <c r="G3522" s="1">
        <v>73.47</v>
      </c>
      <c r="H3522" s="1" t="s">
        <v>9</v>
      </c>
      <c r="I3522" t="str">
        <f t="shared" si="54"/>
        <v>FLAG OF ST GEORGE CAR FLAG [84016]</v>
      </c>
    </row>
    <row r="3523" spans="1:9" x14ac:dyDescent="0.3">
      <c r="A3523" s="1" t="s">
        <v>2253</v>
      </c>
      <c r="B3523" t="s">
        <v>2245</v>
      </c>
      <c r="C3523" s="1">
        <v>3.7549999999999999</v>
      </c>
      <c r="D3523" s="1">
        <v>102</v>
      </c>
      <c r="E3523" s="1">
        <v>102</v>
      </c>
      <c r="F3523" s="1">
        <v>2</v>
      </c>
      <c r="G3523" s="1">
        <v>766.19</v>
      </c>
      <c r="H3523" s="1" t="s">
        <v>10</v>
      </c>
      <c r="I3523" t="str">
        <f t="shared" ref="I3523:I3586" si="55">B3523&amp;" ["&amp;A3523&amp;"]"</f>
        <v>BROWN FURRY HOT WATER BOTTLE [84029C]</v>
      </c>
    </row>
    <row r="3524" spans="1:9" x14ac:dyDescent="0.3">
      <c r="A3524" s="1" t="s">
        <v>2252</v>
      </c>
      <c r="B3524" t="s">
        <v>2251</v>
      </c>
      <c r="C3524" s="1">
        <v>4.5199999999999996</v>
      </c>
      <c r="D3524" s="1">
        <v>5</v>
      </c>
      <c r="E3524" s="1">
        <v>17</v>
      </c>
      <c r="F3524" s="1">
        <v>3</v>
      </c>
      <c r="G3524" s="2">
        <v>183.98</v>
      </c>
      <c r="H3524" s="1" t="s">
        <v>8</v>
      </c>
      <c r="I3524" t="str">
        <f t="shared" si="55"/>
        <v>LEOPARD PRINT HOT WATER BOTTLE [84029D]</v>
      </c>
    </row>
    <row r="3525" spans="1:9" x14ac:dyDescent="0.3">
      <c r="A3525" s="1" t="s">
        <v>2250</v>
      </c>
      <c r="B3525" t="s">
        <v>2249</v>
      </c>
      <c r="C3525" s="1">
        <v>4.05</v>
      </c>
      <c r="D3525" s="1">
        <v>128</v>
      </c>
      <c r="E3525" s="1">
        <v>425.12</v>
      </c>
      <c r="F3525" s="1">
        <v>25</v>
      </c>
      <c r="G3525" s="1">
        <v>42994.239999999998</v>
      </c>
      <c r="H3525" s="1" t="s">
        <v>10</v>
      </c>
      <c r="I3525" t="str">
        <f t="shared" si="55"/>
        <v>RED WOOLLY HOTTIE WHITE HEART. [84029E]</v>
      </c>
    </row>
    <row r="3526" spans="1:9" x14ac:dyDescent="0.3">
      <c r="A3526" s="1" t="s">
        <v>2248</v>
      </c>
      <c r="B3526" t="s">
        <v>2247</v>
      </c>
      <c r="C3526" s="1">
        <v>4.25</v>
      </c>
      <c r="D3526" s="1">
        <v>101</v>
      </c>
      <c r="E3526" s="1">
        <v>273.2</v>
      </c>
      <c r="F3526" s="1">
        <v>25</v>
      </c>
      <c r="G3526" s="1">
        <v>29533.87</v>
      </c>
      <c r="H3526" s="1" t="s">
        <v>10</v>
      </c>
      <c r="I3526" t="str">
        <f t="shared" si="55"/>
        <v>KNITTED UNION FLAG HOT WATER BOTTLE [84029G]</v>
      </c>
    </row>
    <row r="3527" spans="1:9" x14ac:dyDescent="0.3">
      <c r="A3527" s="1" t="s">
        <v>2246</v>
      </c>
      <c r="B3527" t="s">
        <v>2245</v>
      </c>
      <c r="C3527" s="1">
        <v>7.78</v>
      </c>
      <c r="D3527" s="1">
        <v>1</v>
      </c>
      <c r="E3527" s="1">
        <v>1</v>
      </c>
      <c r="F3527" s="1">
        <v>1</v>
      </c>
      <c r="G3527" s="1">
        <v>7.78</v>
      </c>
      <c r="H3527" s="1" t="s">
        <v>8</v>
      </c>
      <c r="I3527" t="str">
        <f t="shared" si="55"/>
        <v>BROWN FURRY HOT WATER BOTTLE [84029c]</v>
      </c>
    </row>
    <row r="3528" spans="1:9" x14ac:dyDescent="0.3">
      <c r="A3528" s="1" t="s">
        <v>2244</v>
      </c>
      <c r="B3528" t="s">
        <v>2240</v>
      </c>
      <c r="C3528" s="1">
        <v>3.75</v>
      </c>
      <c r="D3528" s="1">
        <v>2.5</v>
      </c>
      <c r="E3528" s="1">
        <v>2.5</v>
      </c>
      <c r="F3528" s="1">
        <v>2</v>
      </c>
      <c r="G3528" s="1">
        <v>18.75</v>
      </c>
      <c r="H3528" s="1" t="s">
        <v>8</v>
      </c>
      <c r="I3528" t="str">
        <f t="shared" si="55"/>
        <v>KNITTED POM POM HOT WATER BOTTLE [84030B]</v>
      </c>
    </row>
    <row r="3529" spans="1:9" x14ac:dyDescent="0.3">
      <c r="A3529" s="1" t="s">
        <v>2243</v>
      </c>
      <c r="B3529" t="s">
        <v>2238</v>
      </c>
      <c r="C3529" s="1">
        <v>3.9750000000000001</v>
      </c>
      <c r="D3529" s="1">
        <v>10.5</v>
      </c>
      <c r="E3529" s="1">
        <v>10.5</v>
      </c>
      <c r="F3529" s="1">
        <v>2</v>
      </c>
      <c r="G3529" s="1">
        <v>82.78</v>
      </c>
      <c r="H3529" s="1" t="s">
        <v>9</v>
      </c>
      <c r="I3529" t="str">
        <f t="shared" si="55"/>
        <v>KNITTED RAINBOW HOT WATER BOTTLE [84030C]</v>
      </c>
    </row>
    <row r="3530" spans="1:9" x14ac:dyDescent="0.3">
      <c r="A3530" s="1" t="s">
        <v>2242</v>
      </c>
      <c r="B3530" t="s">
        <v>2236</v>
      </c>
      <c r="C3530" s="1">
        <v>4.26</v>
      </c>
      <c r="D3530" s="1">
        <v>42</v>
      </c>
      <c r="E3530" s="2">
        <v>101.04761904761899</v>
      </c>
      <c r="F3530" s="1">
        <v>21</v>
      </c>
      <c r="G3530" s="1">
        <v>9042.15</v>
      </c>
      <c r="H3530" s="1" t="s">
        <v>9</v>
      </c>
      <c r="I3530" t="str">
        <f t="shared" si="55"/>
        <v>ENGLISH ROSE HOT WATER BOTTLE [84030E]</v>
      </c>
    </row>
    <row r="3531" spans="1:9" x14ac:dyDescent="0.3">
      <c r="A3531" s="1" t="s">
        <v>2241</v>
      </c>
      <c r="B3531" t="s">
        <v>2240</v>
      </c>
      <c r="C3531" s="1">
        <v>8.4600000000000009</v>
      </c>
      <c r="D3531" s="1">
        <v>1</v>
      </c>
      <c r="E3531" s="1">
        <v>1</v>
      </c>
      <c r="F3531" s="1">
        <v>1</v>
      </c>
      <c r="G3531" s="1">
        <v>8.4600000000000009</v>
      </c>
      <c r="H3531" s="1" t="s">
        <v>8</v>
      </c>
      <c r="I3531" t="str">
        <f t="shared" si="55"/>
        <v>KNITTED POM POM HOT WATER BOTTLE [84030b]</v>
      </c>
    </row>
    <row r="3532" spans="1:9" x14ac:dyDescent="0.3">
      <c r="A3532" s="1" t="s">
        <v>2239</v>
      </c>
      <c r="B3532" t="s">
        <v>2238</v>
      </c>
      <c r="C3532" s="1">
        <v>7.62</v>
      </c>
      <c r="D3532" s="1">
        <v>5</v>
      </c>
      <c r="E3532" s="2">
        <v>10.6666666666666</v>
      </c>
      <c r="F3532" s="1">
        <v>3</v>
      </c>
      <c r="G3532" s="1">
        <v>248</v>
      </c>
      <c r="H3532" s="1" t="s">
        <v>8</v>
      </c>
      <c r="I3532" t="str">
        <f t="shared" si="55"/>
        <v>KNITTED RAINBOW HOT WATER BOTTLE [84030c]</v>
      </c>
    </row>
    <row r="3533" spans="1:9" x14ac:dyDescent="0.3">
      <c r="A3533" s="1" t="s">
        <v>2237</v>
      </c>
      <c r="B3533" t="s">
        <v>2236</v>
      </c>
      <c r="C3533" s="1">
        <v>8.2899999999999991</v>
      </c>
      <c r="D3533" s="1">
        <v>8</v>
      </c>
      <c r="E3533" s="1">
        <v>10</v>
      </c>
      <c r="F3533" s="1">
        <v>12</v>
      </c>
      <c r="G3533" s="1">
        <v>979.4</v>
      </c>
      <c r="H3533" s="1" t="s">
        <v>8</v>
      </c>
      <c r="I3533" t="str">
        <f t="shared" si="55"/>
        <v>ENGLISH ROSE HOT WATER BOTTLE [84030e]</v>
      </c>
    </row>
    <row r="3534" spans="1:9" x14ac:dyDescent="0.3">
      <c r="A3534" s="1" t="s">
        <v>2235</v>
      </c>
      <c r="B3534" t="s">
        <v>2232</v>
      </c>
      <c r="C3534" s="2">
        <v>4.4849999999999897</v>
      </c>
      <c r="D3534" s="1">
        <v>17.5</v>
      </c>
      <c r="E3534" s="1">
        <v>45.75</v>
      </c>
      <c r="F3534" s="1">
        <v>24</v>
      </c>
      <c r="G3534" s="2">
        <v>4404.0199999999904</v>
      </c>
      <c r="H3534" s="1" t="s">
        <v>9</v>
      </c>
      <c r="I3534" t="str">
        <f t="shared" si="55"/>
        <v>CHARLIE+LOLA RED HOT WATER BOTTLE [84031A]</v>
      </c>
    </row>
    <row r="3535" spans="1:9" x14ac:dyDescent="0.3">
      <c r="A3535" s="1" t="s">
        <v>2234</v>
      </c>
      <c r="B3535" t="s">
        <v>2230</v>
      </c>
      <c r="C3535" s="1">
        <v>4.6500000000000004</v>
      </c>
      <c r="D3535" s="1">
        <v>12</v>
      </c>
      <c r="E3535" s="2">
        <v>36.478260869565197</v>
      </c>
      <c r="F3535" s="1">
        <v>23</v>
      </c>
      <c r="G3535" s="1">
        <v>3263.03</v>
      </c>
      <c r="H3535" s="1" t="s">
        <v>9</v>
      </c>
      <c r="I3535" t="str">
        <f t="shared" si="55"/>
        <v>CHARLIE LOLA BLUE HOT WATER BOTTLE [84031B]</v>
      </c>
    </row>
    <row r="3536" spans="1:9" x14ac:dyDescent="0.3">
      <c r="A3536" s="1" t="s">
        <v>2233</v>
      </c>
      <c r="B3536" t="s">
        <v>2232</v>
      </c>
      <c r="C3536" s="1">
        <v>16.63</v>
      </c>
      <c r="D3536" s="1">
        <v>1</v>
      </c>
      <c r="E3536" s="1">
        <v>1</v>
      </c>
      <c r="F3536" s="1">
        <v>1</v>
      </c>
      <c r="G3536" s="1">
        <v>16.63</v>
      </c>
      <c r="H3536" s="1" t="s">
        <v>8</v>
      </c>
      <c r="I3536" t="str">
        <f t="shared" si="55"/>
        <v>CHARLIE+LOLA RED HOT WATER BOTTLE [84031a]</v>
      </c>
    </row>
    <row r="3537" spans="1:9" x14ac:dyDescent="0.3">
      <c r="A3537" s="1" t="s">
        <v>2231</v>
      </c>
      <c r="B3537" t="s">
        <v>2230</v>
      </c>
      <c r="C3537" s="1">
        <v>16.63</v>
      </c>
      <c r="D3537" s="1">
        <v>1</v>
      </c>
      <c r="E3537" s="1">
        <v>1</v>
      </c>
      <c r="F3537" s="1">
        <v>1</v>
      </c>
      <c r="G3537" s="1">
        <v>16.63</v>
      </c>
      <c r="H3537" s="1" t="s">
        <v>8</v>
      </c>
      <c r="I3537" t="str">
        <f t="shared" si="55"/>
        <v>CHARLIE LOLA BLUE HOT WATER BOTTLE [84031b]</v>
      </c>
    </row>
    <row r="3538" spans="1:9" x14ac:dyDescent="0.3">
      <c r="A3538" s="1" t="s">
        <v>2229</v>
      </c>
      <c r="B3538" t="s">
        <v>2228</v>
      </c>
      <c r="C3538" s="1">
        <v>3.12</v>
      </c>
      <c r="D3538" s="1">
        <v>65</v>
      </c>
      <c r="E3538" s="1">
        <v>129.36000000000001</v>
      </c>
      <c r="F3538" s="1">
        <v>25</v>
      </c>
      <c r="G3538" s="1">
        <v>8624.1</v>
      </c>
      <c r="H3538" s="1" t="s">
        <v>10</v>
      </c>
      <c r="I3538" t="str">
        <f t="shared" si="55"/>
        <v>CHARLIE+LOLA PINK HOT WATER BOTTLE [84032A]</v>
      </c>
    </row>
    <row r="3539" spans="1:9" x14ac:dyDescent="0.3">
      <c r="A3539" s="1" t="s">
        <v>2227</v>
      </c>
      <c r="B3539" t="s">
        <v>2226</v>
      </c>
      <c r="C3539" s="1">
        <v>3.06</v>
      </c>
      <c r="D3539" s="1">
        <v>51</v>
      </c>
      <c r="E3539" s="1">
        <v>131.4</v>
      </c>
      <c r="F3539" s="1">
        <v>25</v>
      </c>
      <c r="G3539" s="1">
        <v>7699.25</v>
      </c>
      <c r="H3539" s="1" t="s">
        <v>9</v>
      </c>
      <c r="I3539" t="str">
        <f t="shared" si="55"/>
        <v>CHARLIE + LOLA RED HOT WATER BOTTLE [84032B]</v>
      </c>
    </row>
    <row r="3540" spans="1:9" x14ac:dyDescent="0.3">
      <c r="A3540" s="1">
        <v>84033</v>
      </c>
      <c r="B3540" t="s">
        <v>2225</v>
      </c>
      <c r="C3540" s="1">
        <v>1.65</v>
      </c>
      <c r="D3540" s="1">
        <v>7</v>
      </c>
      <c r="E3540" s="2">
        <v>29.8333333333333</v>
      </c>
      <c r="F3540" s="1">
        <v>12</v>
      </c>
      <c r="G3540" s="1">
        <v>595.83000000000004</v>
      </c>
      <c r="H3540" s="1" t="s">
        <v>8</v>
      </c>
      <c r="I3540" t="str">
        <f t="shared" si="55"/>
        <v>FLAG OF ST GEORGE [84033]</v>
      </c>
    </row>
    <row r="3541" spans="1:9" x14ac:dyDescent="0.3">
      <c r="A3541" s="1">
        <v>84050</v>
      </c>
      <c r="B3541" t="s">
        <v>2224</v>
      </c>
      <c r="C3541" s="1">
        <v>1.4750000000000001</v>
      </c>
      <c r="D3541" s="1">
        <v>292</v>
      </c>
      <c r="E3541" s="2">
        <v>410.541666666666</v>
      </c>
      <c r="F3541" s="1">
        <v>24</v>
      </c>
      <c r="G3541" s="1">
        <v>14525</v>
      </c>
      <c r="H3541" s="1" t="s">
        <v>10</v>
      </c>
      <c r="I3541" t="str">
        <f t="shared" si="55"/>
        <v>PINK HEART SHAPE EGG FRYING PAN [84050]</v>
      </c>
    </row>
    <row r="3542" spans="1:9" x14ac:dyDescent="0.3">
      <c r="A3542" s="1">
        <v>84051</v>
      </c>
      <c r="B3542" t="s">
        <v>2223</v>
      </c>
      <c r="C3542" s="1">
        <v>0.85</v>
      </c>
      <c r="D3542" s="1">
        <v>23</v>
      </c>
      <c r="E3542" s="1">
        <v>37.299999999999997</v>
      </c>
      <c r="F3542" s="1">
        <v>20</v>
      </c>
      <c r="G3542" s="1">
        <v>607.98</v>
      </c>
      <c r="H3542" s="1" t="s">
        <v>9</v>
      </c>
      <c r="I3542" t="str">
        <f t="shared" si="55"/>
        <v>ASS COLOUR GLOWING TIARAS [84051]</v>
      </c>
    </row>
    <row r="3543" spans="1:9" x14ac:dyDescent="0.3">
      <c r="A3543" s="1">
        <v>84077</v>
      </c>
      <c r="B3543" t="s">
        <v>2222</v>
      </c>
      <c r="C3543" s="1">
        <v>0.23</v>
      </c>
      <c r="D3543" s="1">
        <v>3762</v>
      </c>
      <c r="E3543" s="1">
        <v>4245.5600000000004</v>
      </c>
      <c r="F3543" s="1">
        <v>25</v>
      </c>
      <c r="G3543" s="1">
        <v>24445.61</v>
      </c>
      <c r="H3543" s="1" t="s">
        <v>10</v>
      </c>
      <c r="I3543" t="str">
        <f t="shared" si="55"/>
        <v>WORLD WAR 2 GLIDERS ASSTD DESIGNS [84077]</v>
      </c>
    </row>
    <row r="3544" spans="1:9" x14ac:dyDescent="0.3">
      <c r="A3544" s="1" t="s">
        <v>2221</v>
      </c>
      <c r="B3544" t="s">
        <v>2220</v>
      </c>
      <c r="C3544" s="1">
        <v>40.229999999999997</v>
      </c>
      <c r="D3544" s="1">
        <v>40</v>
      </c>
      <c r="E3544" s="1">
        <v>45.12</v>
      </c>
      <c r="F3544" s="1">
        <v>25</v>
      </c>
      <c r="G3544" s="1">
        <v>43844.959999999999</v>
      </c>
      <c r="H3544" s="1" t="s">
        <v>9</v>
      </c>
      <c r="I3544" t="str">
        <f t="shared" si="55"/>
        <v>SET/4 WHITE RETRO STORAGE CUBES [84078A]</v>
      </c>
    </row>
    <row r="3545" spans="1:9" x14ac:dyDescent="0.3">
      <c r="A3545" s="1">
        <v>84081</v>
      </c>
      <c r="B3545" t="s">
        <v>2219</v>
      </c>
      <c r="C3545" s="1">
        <v>4.25</v>
      </c>
      <c r="D3545" s="1">
        <v>2</v>
      </c>
      <c r="E3545" s="2">
        <v>14.285714285714199</v>
      </c>
      <c r="F3545" s="1">
        <v>7</v>
      </c>
      <c r="G3545" s="1">
        <v>389.3</v>
      </c>
      <c r="H3545" s="1" t="s">
        <v>8</v>
      </c>
      <c r="I3545" t="str">
        <f t="shared" si="55"/>
        <v>WHITE CERAMIC PARTY SET (5PCS) [84081]</v>
      </c>
    </row>
    <row r="3546" spans="1:9" x14ac:dyDescent="0.3">
      <c r="A3546" s="1" t="s">
        <v>2218</v>
      </c>
      <c r="B3546" t="s">
        <v>2217</v>
      </c>
      <c r="C3546" s="1">
        <v>2.95</v>
      </c>
      <c r="D3546" s="1">
        <v>2</v>
      </c>
      <c r="E3546" s="1">
        <v>2.4</v>
      </c>
      <c r="F3546" s="1">
        <v>10</v>
      </c>
      <c r="G3546" s="1">
        <v>70.8</v>
      </c>
      <c r="H3546" s="1" t="s">
        <v>8</v>
      </c>
      <c r="I3546" t="str">
        <f t="shared" si="55"/>
        <v>YELLOW/BLUE RETRO RADIO [84086B]</v>
      </c>
    </row>
    <row r="3547" spans="1:9" x14ac:dyDescent="0.3">
      <c r="A3547" s="1" t="s">
        <v>2216</v>
      </c>
      <c r="B3547" t="s">
        <v>2215</v>
      </c>
      <c r="C3547" s="2">
        <v>3.1949999999999998</v>
      </c>
      <c r="D3547" s="1">
        <v>7.5</v>
      </c>
      <c r="E3547" s="1">
        <v>13.5</v>
      </c>
      <c r="F3547" s="1">
        <v>22</v>
      </c>
      <c r="G3547" s="1">
        <v>884.75</v>
      </c>
      <c r="H3547" s="1" t="s">
        <v>8</v>
      </c>
      <c r="I3547" t="str">
        <f t="shared" si="55"/>
        <v>PINK/PURPLE RETRO RADIO [84086C]</v>
      </c>
    </row>
    <row r="3548" spans="1:9" x14ac:dyDescent="0.3">
      <c r="A3548" s="1">
        <v>84192</v>
      </c>
      <c r="B3548" t="s">
        <v>2214</v>
      </c>
      <c r="C3548" s="1">
        <v>1.25</v>
      </c>
      <c r="D3548" s="1">
        <v>9</v>
      </c>
      <c r="E3548" s="2">
        <v>13.294117647058799</v>
      </c>
      <c r="F3548" s="1">
        <v>17</v>
      </c>
      <c r="G3548" s="1">
        <v>271.10000000000002</v>
      </c>
      <c r="H3548" s="1" t="s">
        <v>8</v>
      </c>
      <c r="I3548" t="str">
        <f t="shared" si="55"/>
        <v>ASSORTED COLOUR METAL CAT [84192]</v>
      </c>
    </row>
    <row r="3549" spans="1:9" x14ac:dyDescent="0.3">
      <c r="A3549" s="1">
        <v>84199</v>
      </c>
      <c r="B3549" t="s">
        <v>2213</v>
      </c>
      <c r="C3549" s="1">
        <v>0.21</v>
      </c>
      <c r="D3549" s="1">
        <v>20</v>
      </c>
      <c r="E3549" s="2">
        <v>26.380952380952301</v>
      </c>
      <c r="F3549" s="1">
        <v>21</v>
      </c>
      <c r="G3549" s="1">
        <v>121.08</v>
      </c>
      <c r="H3549" s="1" t="s">
        <v>9</v>
      </c>
      <c r="I3549" t="str">
        <f t="shared" si="55"/>
        <v>GLOW IN DARK DOLPHINS [84199]</v>
      </c>
    </row>
    <row r="3550" spans="1:9" x14ac:dyDescent="0.3">
      <c r="A3550" s="1" t="s">
        <v>2212</v>
      </c>
      <c r="B3550" t="s">
        <v>2211</v>
      </c>
      <c r="C3550" s="1">
        <v>0.19</v>
      </c>
      <c r="D3550" s="1">
        <v>4.5</v>
      </c>
      <c r="E3550" s="1">
        <v>6.5</v>
      </c>
      <c r="F3550" s="1">
        <v>6</v>
      </c>
      <c r="G3550" s="1">
        <v>7.41</v>
      </c>
      <c r="H3550" s="1" t="s">
        <v>8</v>
      </c>
      <c r="I3550" t="str">
        <f t="shared" si="55"/>
        <v>HAPPY BIRTHDAY CARD STRIPEY TEDDY [84201B]</v>
      </c>
    </row>
    <row r="3551" spans="1:9" x14ac:dyDescent="0.3">
      <c r="A3551" s="1" t="s">
        <v>2210</v>
      </c>
      <c r="B3551" t="s">
        <v>2209</v>
      </c>
      <c r="C3551" s="1">
        <v>0.19</v>
      </c>
      <c r="D3551" s="1">
        <v>5</v>
      </c>
      <c r="E3551" s="1">
        <v>5</v>
      </c>
      <c r="F3551" s="1">
        <v>2</v>
      </c>
      <c r="G3551" s="1">
        <v>1.9</v>
      </c>
      <c r="H3551" s="1" t="s">
        <v>8</v>
      </c>
      <c r="I3551" t="str">
        <f t="shared" si="55"/>
        <v>HAPPY BIRTHDAY CARD TEDDY/CAKE [84201C]</v>
      </c>
    </row>
    <row r="3552" spans="1:9" x14ac:dyDescent="0.3">
      <c r="A3552" s="1" t="s">
        <v>2208</v>
      </c>
      <c r="B3552" t="s">
        <v>2207</v>
      </c>
      <c r="C3552" s="1">
        <v>0.19</v>
      </c>
      <c r="D3552" s="1">
        <v>2</v>
      </c>
      <c r="E3552" s="1">
        <v>2</v>
      </c>
      <c r="F3552" s="1">
        <v>1</v>
      </c>
      <c r="G3552" s="1">
        <v>0.38</v>
      </c>
      <c r="H3552" s="1" t="s">
        <v>8</v>
      </c>
      <c r="I3552" t="str">
        <f t="shared" si="55"/>
        <v>HAPPY BIRTHDAY GINGER CAT CARD [84205C]</v>
      </c>
    </row>
    <row r="3553" spans="1:9" x14ac:dyDescent="0.3">
      <c r="A3553" s="1" t="s">
        <v>2206</v>
      </c>
      <c r="B3553" t="s">
        <v>2205</v>
      </c>
      <c r="C3553" s="1">
        <v>0.19</v>
      </c>
      <c r="D3553" s="1">
        <v>14.5</v>
      </c>
      <c r="E3553" s="2">
        <v>13.1666666666666</v>
      </c>
      <c r="F3553" s="1">
        <v>6</v>
      </c>
      <c r="G3553" s="1">
        <v>15.01</v>
      </c>
      <c r="H3553" s="1" t="s">
        <v>9</v>
      </c>
      <c r="I3553" t="str">
        <f t="shared" si="55"/>
        <v>3 BLACK CATS W HEARTS BLANK CARD [84206A]</v>
      </c>
    </row>
    <row r="3554" spans="1:9" x14ac:dyDescent="0.3">
      <c r="A3554" s="1" t="s">
        <v>2204</v>
      </c>
      <c r="B3554" t="s">
        <v>2203</v>
      </c>
      <c r="C3554" s="1">
        <v>0.19</v>
      </c>
      <c r="D3554" s="1">
        <v>4.5</v>
      </c>
      <c r="E3554" s="1">
        <v>4.5</v>
      </c>
      <c r="F3554" s="1">
        <v>2</v>
      </c>
      <c r="G3554" s="1">
        <v>1.71</v>
      </c>
      <c r="H3554" s="1" t="s">
        <v>8</v>
      </c>
      <c r="I3554" t="str">
        <f t="shared" si="55"/>
        <v>CAT W SUNGLASSES BLANK CARD [84206B]</v>
      </c>
    </row>
    <row r="3555" spans="1:9" x14ac:dyDescent="0.3">
      <c r="A3555" s="1" t="s">
        <v>2202</v>
      </c>
      <c r="B3555" t="s">
        <v>2201</v>
      </c>
      <c r="C3555" s="1">
        <v>0.19</v>
      </c>
      <c r="D3555" s="1">
        <v>2</v>
      </c>
      <c r="E3555" s="1">
        <v>2.5</v>
      </c>
      <c r="F3555" s="1">
        <v>4</v>
      </c>
      <c r="G3555" s="1">
        <v>1.9</v>
      </c>
      <c r="H3555" s="1" t="s">
        <v>8</v>
      </c>
      <c r="I3555" t="str">
        <f t="shared" si="55"/>
        <v>CHAMPAGNE TRAY BLANK CARD [84206C]</v>
      </c>
    </row>
    <row r="3556" spans="1:9" x14ac:dyDescent="0.3">
      <c r="A3556" s="1">
        <v>84212</v>
      </c>
      <c r="B3556" t="s">
        <v>2200</v>
      </c>
      <c r="C3556" s="1">
        <v>0.49</v>
      </c>
      <c r="D3556" s="1">
        <v>612</v>
      </c>
      <c r="E3556" s="1">
        <v>991.76</v>
      </c>
      <c r="F3556" s="1">
        <v>25</v>
      </c>
      <c r="G3556" s="1">
        <v>11961.49</v>
      </c>
      <c r="H3556" s="1" t="s">
        <v>10</v>
      </c>
      <c r="I3556" t="str">
        <f t="shared" si="55"/>
        <v>ASSORTED FLOWER COLOUR "LEIS" [84212]</v>
      </c>
    </row>
    <row r="3557" spans="1:9" x14ac:dyDescent="0.3">
      <c r="A3557" s="1">
        <v>84218</v>
      </c>
      <c r="B3557" t="s">
        <v>2199</v>
      </c>
      <c r="C3557" s="1">
        <v>1.95</v>
      </c>
      <c r="D3557" s="1">
        <v>23.5</v>
      </c>
      <c r="E3557" s="1">
        <v>32.625</v>
      </c>
      <c r="F3557" s="1">
        <v>8</v>
      </c>
      <c r="G3557" s="1">
        <v>503.51</v>
      </c>
      <c r="H3557" s="1" t="s">
        <v>9</v>
      </c>
      <c r="I3557" t="str">
        <f t="shared" si="55"/>
        <v>BOX/12 CHICK &amp; EGG IN BASKET [84218]</v>
      </c>
    </row>
    <row r="3558" spans="1:9" x14ac:dyDescent="0.3">
      <c r="A3558" s="1">
        <v>84219</v>
      </c>
      <c r="B3558" t="s">
        <v>2198</v>
      </c>
      <c r="C3558" s="1">
        <v>2.2400000000000002</v>
      </c>
      <c r="D3558" s="1">
        <v>64</v>
      </c>
      <c r="E3558" s="2">
        <v>45.6666666666666</v>
      </c>
      <c r="F3558" s="1">
        <v>3</v>
      </c>
      <c r="G3558" s="2">
        <v>303.85999999999899</v>
      </c>
      <c r="H3558" s="1" t="s">
        <v>10</v>
      </c>
      <c r="I3558" t="str">
        <f t="shared" si="55"/>
        <v>BOX/12 MOTHER &amp; CHICK IN BASKET/BOW [84219]</v>
      </c>
    </row>
    <row r="3559" spans="1:9" x14ac:dyDescent="0.3">
      <c r="A3559" s="1">
        <v>84226</v>
      </c>
      <c r="B3559" t="s">
        <v>2197</v>
      </c>
      <c r="C3559" s="1">
        <v>0.85</v>
      </c>
      <c r="D3559" s="1">
        <v>4</v>
      </c>
      <c r="E3559" s="1">
        <v>9.625</v>
      </c>
      <c r="F3559" s="1">
        <v>8</v>
      </c>
      <c r="G3559" s="1">
        <v>58.31</v>
      </c>
      <c r="H3559" s="1" t="s">
        <v>8</v>
      </c>
      <c r="I3559" t="str">
        <f t="shared" si="55"/>
        <v>HEN HOUSE W FAMILY IN BARN &amp; NEST [84226]</v>
      </c>
    </row>
    <row r="3560" spans="1:9" x14ac:dyDescent="0.3">
      <c r="A3560" s="1">
        <v>84227</v>
      </c>
      <c r="B3560" t="s">
        <v>2196</v>
      </c>
      <c r="C3560" s="1">
        <v>0.42</v>
      </c>
      <c r="D3560" s="1">
        <v>18.5</v>
      </c>
      <c r="E3560" s="1">
        <v>28</v>
      </c>
      <c r="F3560" s="1">
        <v>4</v>
      </c>
      <c r="G3560" s="1">
        <v>47.04</v>
      </c>
      <c r="H3560" s="1" t="s">
        <v>9</v>
      </c>
      <c r="I3560" t="str">
        <f t="shared" si="55"/>
        <v>HEN HOUSE W CHICK IN NEST [84227]</v>
      </c>
    </row>
    <row r="3561" spans="1:9" x14ac:dyDescent="0.3">
      <c r="A3561" s="1">
        <v>84228</v>
      </c>
      <c r="B3561" t="s">
        <v>2195</v>
      </c>
      <c r="C3561" s="1">
        <v>0.45</v>
      </c>
      <c r="D3561" s="1">
        <v>16</v>
      </c>
      <c r="E3561" s="1">
        <v>35.4</v>
      </c>
      <c r="F3561" s="1">
        <v>10</v>
      </c>
      <c r="G3561" s="1">
        <v>156.07</v>
      </c>
      <c r="H3561" s="1" t="s">
        <v>9</v>
      </c>
      <c r="I3561" t="str">
        <f t="shared" si="55"/>
        <v>HEN HOUSE W CHICK STANDING [84228]</v>
      </c>
    </row>
    <row r="3562" spans="1:9" x14ac:dyDescent="0.3">
      <c r="A3562" s="1">
        <v>84231</v>
      </c>
      <c r="B3562" t="s">
        <v>2194</v>
      </c>
      <c r="C3562" s="1">
        <v>0.67500000000000004</v>
      </c>
      <c r="D3562" s="1">
        <v>20.5</v>
      </c>
      <c r="E3562" s="1">
        <v>28.75</v>
      </c>
      <c r="F3562" s="1">
        <v>8</v>
      </c>
      <c r="G3562" s="1">
        <v>166.21</v>
      </c>
      <c r="H3562" s="1" t="s">
        <v>9</v>
      </c>
      <c r="I3562" t="str">
        <f t="shared" si="55"/>
        <v>EASTER BUNNY WITH BASKET ON BACK [84231]</v>
      </c>
    </row>
    <row r="3563" spans="1:9" x14ac:dyDescent="0.3">
      <c r="A3563" s="1" t="s">
        <v>2193</v>
      </c>
      <c r="B3563" t="s">
        <v>2192</v>
      </c>
      <c r="C3563" s="1">
        <v>2.95</v>
      </c>
      <c r="D3563" s="1">
        <v>13.5</v>
      </c>
      <c r="E3563" s="1">
        <v>18</v>
      </c>
      <c r="F3563" s="1">
        <v>4</v>
      </c>
      <c r="G3563" s="2">
        <v>212.39999999999901</v>
      </c>
      <c r="H3563" s="1" t="s">
        <v>9</v>
      </c>
      <c r="I3563" t="str">
        <f t="shared" si="55"/>
        <v>PACK/12 BLUE REINDEER CARD [84247C]</v>
      </c>
    </row>
    <row r="3564" spans="1:9" x14ac:dyDescent="0.3">
      <c r="A3564" s="1" t="s">
        <v>2191</v>
      </c>
      <c r="B3564" t="s">
        <v>2190</v>
      </c>
      <c r="C3564" s="1">
        <v>2.95</v>
      </c>
      <c r="D3564" s="1">
        <v>19</v>
      </c>
      <c r="E3564" s="2">
        <v>26.857142857142801</v>
      </c>
      <c r="F3564" s="1">
        <v>13</v>
      </c>
      <c r="G3564" s="1">
        <v>1064.05</v>
      </c>
      <c r="H3564" s="1" t="s">
        <v>9</v>
      </c>
      <c r="I3564" t="str">
        <f t="shared" si="55"/>
        <v>PACK/12 XMAS FUN CARD [84247E]</v>
      </c>
    </row>
    <row r="3565" spans="1:9" x14ac:dyDescent="0.3">
      <c r="A3565" s="1" t="s">
        <v>2189</v>
      </c>
      <c r="B3565" t="s">
        <v>2188</v>
      </c>
      <c r="C3565" s="1">
        <v>0.42</v>
      </c>
      <c r="D3565" s="1">
        <v>55.5</v>
      </c>
      <c r="E3565" s="1">
        <v>70.7</v>
      </c>
      <c r="F3565" s="1">
        <v>20</v>
      </c>
      <c r="G3565" s="1">
        <v>602.66999999999996</v>
      </c>
      <c r="H3565" s="1" t="s">
        <v>9</v>
      </c>
      <c r="I3565" t="str">
        <f t="shared" si="55"/>
        <v>DECOUPAGE,GREETING CARD, [84247G]</v>
      </c>
    </row>
    <row r="3566" spans="1:9" x14ac:dyDescent="0.3">
      <c r="A3566" s="1" t="s">
        <v>2187</v>
      </c>
      <c r="B3566" t="s">
        <v>2186</v>
      </c>
      <c r="C3566" s="1">
        <v>2.95</v>
      </c>
      <c r="D3566" s="1">
        <v>5</v>
      </c>
      <c r="E3566" s="1">
        <v>6</v>
      </c>
      <c r="F3566" s="1">
        <v>7</v>
      </c>
      <c r="G3566" s="1">
        <v>109.13</v>
      </c>
      <c r="H3566" s="1" t="s">
        <v>8</v>
      </c>
      <c r="I3566" t="str">
        <f t="shared" si="55"/>
        <v>PACK/12 DECOUPAGE CARD [84247H]</v>
      </c>
    </row>
    <row r="3567" spans="1:9" x14ac:dyDescent="0.3">
      <c r="A3567" s="1" t="s">
        <v>2185</v>
      </c>
      <c r="B3567" t="s">
        <v>2184</v>
      </c>
      <c r="C3567" s="1">
        <v>1.28</v>
      </c>
      <c r="D3567" s="1">
        <v>10</v>
      </c>
      <c r="E3567" s="1">
        <v>10</v>
      </c>
      <c r="F3567" s="1">
        <v>1</v>
      </c>
      <c r="G3567" s="1">
        <v>12.78</v>
      </c>
      <c r="H3567" s="1" t="s">
        <v>9</v>
      </c>
      <c r="I3567" t="str">
        <f t="shared" si="55"/>
        <v>PACK/12 RUSSIAN DOLL CARDS [84247J]</v>
      </c>
    </row>
    <row r="3568" spans="1:9" x14ac:dyDescent="0.3">
      <c r="A3568" s="1" t="s">
        <v>2183</v>
      </c>
      <c r="B3568" t="s">
        <v>2182</v>
      </c>
      <c r="C3568" s="1">
        <v>2.95</v>
      </c>
      <c r="D3568" s="1">
        <v>2</v>
      </c>
      <c r="E3568" s="2">
        <v>4.4117647058823497</v>
      </c>
      <c r="F3568" s="1">
        <v>17</v>
      </c>
      <c r="G3568" s="1">
        <v>233.48</v>
      </c>
      <c r="H3568" s="1" t="s">
        <v>8</v>
      </c>
      <c r="I3568" t="str">
        <f t="shared" si="55"/>
        <v>FOLK ART GREETING CARD,pack/12 [84247K]</v>
      </c>
    </row>
    <row r="3569" spans="1:9" x14ac:dyDescent="0.3">
      <c r="A3569" s="1" t="s">
        <v>2181</v>
      </c>
      <c r="B3569" t="s">
        <v>2180</v>
      </c>
      <c r="C3569" s="1">
        <v>0.43</v>
      </c>
      <c r="D3569" s="1">
        <v>60</v>
      </c>
      <c r="E3569" s="1">
        <v>71.0625</v>
      </c>
      <c r="F3569" s="1">
        <v>16</v>
      </c>
      <c r="G3569" s="1">
        <v>498.21</v>
      </c>
      <c r="H3569" s="1" t="s">
        <v>9</v>
      </c>
      <c r="I3569" t="str">
        <f t="shared" si="55"/>
        <v>FAWN AND MUSHROOM GREETING CARD [84247L]</v>
      </c>
    </row>
    <row r="3570" spans="1:9" x14ac:dyDescent="0.3">
      <c r="A3570" s="1" t="s">
        <v>2179</v>
      </c>
      <c r="B3570" t="s">
        <v>2178</v>
      </c>
      <c r="C3570" s="1">
        <v>2.95</v>
      </c>
      <c r="D3570" s="1">
        <v>3</v>
      </c>
      <c r="E3570" s="1">
        <v>5.65</v>
      </c>
      <c r="F3570" s="1">
        <v>20</v>
      </c>
      <c r="G3570" s="1">
        <v>297.48</v>
      </c>
      <c r="H3570" s="1" t="s">
        <v>8</v>
      </c>
      <c r="I3570" t="str">
        <f t="shared" si="55"/>
        <v>PACK/12 BLUE FOLKART CARDS [84247N]</v>
      </c>
    </row>
    <row r="3571" spans="1:9" x14ac:dyDescent="0.3">
      <c r="A3571" s="1" t="s">
        <v>2177</v>
      </c>
      <c r="B3571" t="s">
        <v>2176</v>
      </c>
      <c r="C3571" s="1">
        <v>0.44</v>
      </c>
      <c r="D3571" s="1">
        <v>12</v>
      </c>
      <c r="E3571" s="2">
        <v>14.823529411764699</v>
      </c>
      <c r="F3571" s="1">
        <v>17</v>
      </c>
      <c r="G3571" s="1">
        <v>113.22</v>
      </c>
      <c r="H3571" s="1" t="s">
        <v>9</v>
      </c>
      <c r="I3571" t="str">
        <f t="shared" si="55"/>
        <v>GREETING CARD,SQUARE, DOUGHNUTS [84249A]</v>
      </c>
    </row>
    <row r="3572" spans="1:9" x14ac:dyDescent="0.3">
      <c r="A3572" s="1" t="s">
        <v>2175</v>
      </c>
      <c r="B3572" t="s">
        <v>2174</v>
      </c>
      <c r="C3572" s="1">
        <v>0.42</v>
      </c>
      <c r="D3572" s="1">
        <v>84</v>
      </c>
      <c r="E3572" s="2">
        <v>91.4444444444444</v>
      </c>
      <c r="F3572" s="1">
        <v>9</v>
      </c>
      <c r="G3572" s="1">
        <v>347.3</v>
      </c>
      <c r="H3572" s="1" t="s">
        <v>10</v>
      </c>
      <c r="I3572" t="str">
        <f t="shared" si="55"/>
        <v>FAIRY CAKE GREETINGS CARD [84249D]</v>
      </c>
    </row>
    <row r="3573" spans="1:9" x14ac:dyDescent="0.3">
      <c r="A3573" s="1" t="s">
        <v>2173</v>
      </c>
      <c r="B3573" t="s">
        <v>2172</v>
      </c>
      <c r="C3573" s="1">
        <v>0.85</v>
      </c>
      <c r="D3573" s="1">
        <v>3</v>
      </c>
      <c r="E3573" s="1">
        <v>4</v>
      </c>
      <c r="F3573" s="1">
        <v>7</v>
      </c>
      <c r="G3573" s="1">
        <v>15.9</v>
      </c>
      <c r="H3573" s="1" t="s">
        <v>8</v>
      </c>
      <c r="I3573" t="str">
        <f t="shared" si="55"/>
        <v>GREETING CARD, BLACKPOOL ROCK [84250M]</v>
      </c>
    </row>
    <row r="3574" spans="1:9" x14ac:dyDescent="0.3">
      <c r="A3574" s="1" t="s">
        <v>2171</v>
      </c>
      <c r="B3574" t="s">
        <v>2170</v>
      </c>
      <c r="C3574" s="1">
        <v>0.19</v>
      </c>
      <c r="D3574" s="1">
        <v>12</v>
      </c>
      <c r="E3574" s="1">
        <v>19.4375</v>
      </c>
      <c r="F3574" s="1">
        <v>16</v>
      </c>
      <c r="G3574" s="1">
        <v>80.14</v>
      </c>
      <c r="H3574" s="1" t="s">
        <v>9</v>
      </c>
      <c r="I3574" t="str">
        <f t="shared" si="55"/>
        <v>GREETING CARD, STICKY GORDON [84251B]</v>
      </c>
    </row>
    <row r="3575" spans="1:9" x14ac:dyDescent="0.3">
      <c r="A3575" s="1" t="s">
        <v>2169</v>
      </c>
      <c r="B3575" t="s">
        <v>2168</v>
      </c>
      <c r="C3575" s="1">
        <v>0.19</v>
      </c>
      <c r="D3575" s="1">
        <v>12</v>
      </c>
      <c r="E3575" s="2">
        <v>20.090909090909001</v>
      </c>
      <c r="F3575" s="1">
        <v>11</v>
      </c>
      <c r="G3575" s="1">
        <v>60.94</v>
      </c>
      <c r="H3575" s="1" t="s">
        <v>9</v>
      </c>
      <c r="I3575" t="str">
        <f t="shared" si="55"/>
        <v>GREETING CARD, TWO SISTERS. [84251C]</v>
      </c>
    </row>
    <row r="3576" spans="1:9" x14ac:dyDescent="0.3">
      <c r="A3576" s="1" t="s">
        <v>2167</v>
      </c>
      <c r="B3576" t="s">
        <v>2166</v>
      </c>
      <c r="C3576" s="1">
        <v>0.255</v>
      </c>
      <c r="D3576" s="1">
        <v>22.5</v>
      </c>
      <c r="E3576" s="1">
        <v>34.1</v>
      </c>
      <c r="F3576" s="1">
        <v>10</v>
      </c>
      <c r="G3576" s="1">
        <v>83.97</v>
      </c>
      <c r="H3576" s="1" t="s">
        <v>9</v>
      </c>
      <c r="I3576" t="str">
        <f t="shared" si="55"/>
        <v>GREETING CARD, RITA [84251F]</v>
      </c>
    </row>
    <row r="3577" spans="1:9" x14ac:dyDescent="0.3">
      <c r="A3577" s="1" t="s">
        <v>2165</v>
      </c>
      <c r="B3577" t="s">
        <v>2164</v>
      </c>
      <c r="C3577" s="1">
        <v>0.255</v>
      </c>
      <c r="D3577" s="1">
        <v>21.5</v>
      </c>
      <c r="E3577" s="2">
        <v>25.8888888888888</v>
      </c>
      <c r="F3577" s="1">
        <v>18</v>
      </c>
      <c r="G3577" s="1">
        <v>122.49</v>
      </c>
      <c r="H3577" s="1" t="s">
        <v>9</v>
      </c>
      <c r="I3577" t="str">
        <f t="shared" si="55"/>
        <v>GREETING CARD, OVERCROWDED POOL. [84251G]</v>
      </c>
    </row>
    <row r="3578" spans="1:9" x14ac:dyDescent="0.3">
      <c r="A3578" s="1" t="s">
        <v>2163</v>
      </c>
      <c r="B3578" t="s">
        <v>2162</v>
      </c>
      <c r="C3578" s="1">
        <v>0.5</v>
      </c>
      <c r="D3578" s="1">
        <v>15</v>
      </c>
      <c r="E3578" s="1">
        <v>14.8</v>
      </c>
      <c r="F3578" s="1">
        <v>5</v>
      </c>
      <c r="G3578" s="1">
        <v>37.04</v>
      </c>
      <c r="H3578" s="1" t="s">
        <v>9</v>
      </c>
      <c r="I3578" t="str">
        <f t="shared" si="55"/>
        <v>GREETING CARD, THE BLACK CAT [84251J]</v>
      </c>
    </row>
    <row r="3579" spans="1:9" x14ac:dyDescent="0.3">
      <c r="A3579" s="1" t="s">
        <v>2161</v>
      </c>
      <c r="B3579" t="s">
        <v>2160</v>
      </c>
      <c r="C3579" s="1">
        <v>2.1</v>
      </c>
      <c r="D3579" s="1">
        <v>1</v>
      </c>
      <c r="E3579" s="1">
        <v>1</v>
      </c>
      <c r="F3579" s="1">
        <v>2</v>
      </c>
      <c r="G3579" s="1">
        <v>4.2</v>
      </c>
      <c r="H3579" s="1" t="s">
        <v>8</v>
      </c>
      <c r="I3579" t="str">
        <f t="shared" si="55"/>
        <v>PINK GLASS COCKTAIL LAMP [84255A]</v>
      </c>
    </row>
    <row r="3580" spans="1:9" x14ac:dyDescent="0.3">
      <c r="A3580" s="1" t="s">
        <v>2159</v>
      </c>
      <c r="B3580" t="s">
        <v>2158</v>
      </c>
      <c r="C3580" s="1">
        <v>4.09</v>
      </c>
      <c r="D3580" s="1">
        <v>15.5</v>
      </c>
      <c r="E3580" s="1">
        <v>16.25</v>
      </c>
      <c r="F3580" s="1">
        <v>4</v>
      </c>
      <c r="G3580" s="1">
        <v>190.16</v>
      </c>
      <c r="H3580" s="1" t="s">
        <v>9</v>
      </c>
      <c r="I3580" t="str">
        <f t="shared" si="55"/>
        <v>ORANGE COCKTAIL GLASS LAMP [84255B]</v>
      </c>
    </row>
    <row r="3581" spans="1:9" x14ac:dyDescent="0.3">
      <c r="A3581" s="1">
        <v>84270</v>
      </c>
      <c r="B3581" t="s">
        <v>2157</v>
      </c>
      <c r="C3581" s="1">
        <v>0.21</v>
      </c>
      <c r="D3581" s="1">
        <v>1912</v>
      </c>
      <c r="E3581" s="2">
        <v>1764.3076923076901</v>
      </c>
      <c r="F3581" s="1">
        <v>13</v>
      </c>
      <c r="G3581" s="1">
        <v>4824.3</v>
      </c>
      <c r="H3581" s="1" t="s">
        <v>10</v>
      </c>
      <c r="I3581" t="str">
        <f t="shared" si="55"/>
        <v>ASSTD DESIGN BUBBLE GUM RING [84270]</v>
      </c>
    </row>
    <row r="3582" spans="1:9" x14ac:dyDescent="0.3">
      <c r="A3582" s="1" t="s">
        <v>2156</v>
      </c>
      <c r="B3582" t="s">
        <v>2155</v>
      </c>
      <c r="C3582" s="2">
        <v>3.82</v>
      </c>
      <c r="D3582" s="1">
        <v>60.5</v>
      </c>
      <c r="E3582" s="2">
        <v>67.3333333333333</v>
      </c>
      <c r="F3582" s="1">
        <v>12</v>
      </c>
      <c r="G3582" s="1">
        <v>3076.92</v>
      </c>
      <c r="H3582" s="1" t="s">
        <v>9</v>
      </c>
      <c r="I3582" t="str">
        <f t="shared" si="55"/>
        <v>CHERRY BLOSSOM DECORATIVE FLASK [84279B]</v>
      </c>
    </row>
    <row r="3583" spans="1:9" x14ac:dyDescent="0.3">
      <c r="A3583" s="1" t="s">
        <v>2154</v>
      </c>
      <c r="B3583" t="s">
        <v>2153</v>
      </c>
      <c r="C3583" s="1">
        <v>3.99</v>
      </c>
      <c r="D3583" s="1">
        <v>28</v>
      </c>
      <c r="E3583" s="2">
        <v>42.407407407407398</v>
      </c>
      <c r="F3583" s="1">
        <v>25</v>
      </c>
      <c r="G3583" s="1">
        <v>4476.67</v>
      </c>
      <c r="H3583" s="1" t="s">
        <v>9</v>
      </c>
      <c r="I3583" t="str">
        <f t="shared" si="55"/>
        <v>CHERRY BLOSSOM  DECORATIVE FLASK [84279P]</v>
      </c>
    </row>
    <row r="3584" spans="1:9" x14ac:dyDescent="0.3">
      <c r="A3584" s="1" t="s">
        <v>2152</v>
      </c>
      <c r="B3584" t="s">
        <v>2151</v>
      </c>
      <c r="C3584" s="1">
        <v>1.95</v>
      </c>
      <c r="D3584" s="1">
        <v>4</v>
      </c>
      <c r="E3584" s="2">
        <v>8.71428571428571</v>
      </c>
      <c r="F3584" s="1">
        <v>7</v>
      </c>
      <c r="G3584" s="1">
        <v>118.95</v>
      </c>
      <c r="H3584" s="1" t="s">
        <v>8</v>
      </c>
      <c r="I3584" t="str">
        <f t="shared" si="55"/>
        <v>SET/2 BLUE  NOODLE BASKETS [84288B]</v>
      </c>
    </row>
    <row r="3585" spans="1:9" x14ac:dyDescent="0.3">
      <c r="A3585" s="1">
        <v>84292</v>
      </c>
      <c r="B3585" t="s">
        <v>2150</v>
      </c>
      <c r="C3585" s="1">
        <v>7.95</v>
      </c>
      <c r="D3585" s="1">
        <v>10</v>
      </c>
      <c r="E3585" s="1">
        <v>8.4</v>
      </c>
      <c r="F3585" s="1">
        <v>5</v>
      </c>
      <c r="G3585" s="1">
        <v>333.9</v>
      </c>
      <c r="H3585" s="1" t="s">
        <v>9</v>
      </c>
      <c r="I3585" t="str">
        <f t="shared" si="55"/>
        <v>ROSE PINK METAL FOLDING CHAIR [84292]</v>
      </c>
    </row>
    <row r="3586" spans="1:9" x14ac:dyDescent="0.3">
      <c r="A3586" s="1" t="s">
        <v>2149</v>
      </c>
      <c r="B3586" t="s">
        <v>2148</v>
      </c>
      <c r="C3586" s="1">
        <v>7.95</v>
      </c>
      <c r="D3586" s="1">
        <v>1.5</v>
      </c>
      <c r="E3586" s="1">
        <v>2</v>
      </c>
      <c r="F3586" s="1">
        <v>4</v>
      </c>
      <c r="G3586" s="1">
        <v>51.8</v>
      </c>
      <c r="H3586" s="1" t="s">
        <v>8</v>
      </c>
      <c r="I3586" t="str">
        <f t="shared" si="55"/>
        <v>BLUE COL METAL FOLDING CHAIR [84292B]</v>
      </c>
    </row>
    <row r="3587" spans="1:9" x14ac:dyDescent="0.3">
      <c r="A3587" s="1">
        <v>84306</v>
      </c>
      <c r="B3587" t="s">
        <v>2147</v>
      </c>
      <c r="C3587" s="1">
        <v>10.95</v>
      </c>
      <c r="D3587" s="1">
        <v>3</v>
      </c>
      <c r="E3587" s="2">
        <v>4.3636363636363598</v>
      </c>
      <c r="F3587" s="1">
        <v>11</v>
      </c>
      <c r="G3587" s="1">
        <v>557.48</v>
      </c>
      <c r="H3587" s="1" t="s">
        <v>8</v>
      </c>
      <c r="I3587" t="str">
        <f t="shared" ref="I3587:I3650" si="56">B3587&amp;" ["&amp;A3587&amp;"]"</f>
        <v>S/3 PINK SQUARE PLANTERS ROSES [84306]</v>
      </c>
    </row>
    <row r="3588" spans="1:9" x14ac:dyDescent="0.3">
      <c r="A3588" s="1">
        <v>84311</v>
      </c>
      <c r="B3588" t="s">
        <v>2146</v>
      </c>
      <c r="C3588" s="1">
        <v>1.65</v>
      </c>
      <c r="D3588" s="1">
        <v>11</v>
      </c>
      <c r="E3588" s="1">
        <v>11</v>
      </c>
      <c r="F3588" s="1">
        <v>1</v>
      </c>
      <c r="G3588" s="1">
        <v>18.149999999999999</v>
      </c>
      <c r="H3588" s="1" t="s">
        <v>9</v>
      </c>
      <c r="I3588" t="str">
        <f t="shared" si="56"/>
        <v>CAMOFLAGE CUSHION COVER [84311]</v>
      </c>
    </row>
    <row r="3589" spans="1:9" x14ac:dyDescent="0.3">
      <c r="A3589" s="1" t="s">
        <v>2145</v>
      </c>
      <c r="B3589" t="s">
        <v>2144</v>
      </c>
      <c r="C3589" s="1">
        <v>4.25</v>
      </c>
      <c r="D3589" s="1">
        <v>3</v>
      </c>
      <c r="E3589" s="2">
        <v>4.8571428571428497</v>
      </c>
      <c r="F3589" s="1">
        <v>7</v>
      </c>
      <c r="G3589" s="1">
        <v>169.96</v>
      </c>
      <c r="H3589" s="1" t="s">
        <v>8</v>
      </c>
      <c r="I3589" t="str">
        <f t="shared" si="56"/>
        <v>PINK TV TRAY TABLE [84313A]</v>
      </c>
    </row>
    <row r="3590" spans="1:9" x14ac:dyDescent="0.3">
      <c r="A3590" s="1" t="s">
        <v>2143</v>
      </c>
      <c r="B3590" t="s">
        <v>2142</v>
      </c>
      <c r="C3590" s="1">
        <v>4.25</v>
      </c>
      <c r="D3590" s="1">
        <v>13</v>
      </c>
      <c r="E3590" s="2">
        <v>16.230769230769202</v>
      </c>
      <c r="F3590" s="1">
        <v>13</v>
      </c>
      <c r="G3590" s="1">
        <v>954.16</v>
      </c>
      <c r="H3590" s="1" t="s">
        <v>9</v>
      </c>
      <c r="I3590" t="str">
        <f t="shared" si="56"/>
        <v>BLUE TV TRAY TABLE [84313B]</v>
      </c>
    </row>
    <row r="3591" spans="1:9" x14ac:dyDescent="0.3">
      <c r="A3591" s="1" t="s">
        <v>2141</v>
      </c>
      <c r="B3591" t="s">
        <v>2140</v>
      </c>
      <c r="C3591" s="1">
        <v>4.25</v>
      </c>
      <c r="D3591" s="1">
        <v>5</v>
      </c>
      <c r="E3591" s="2">
        <v>35.866666666666603</v>
      </c>
      <c r="F3591" s="1">
        <v>15</v>
      </c>
      <c r="G3591" s="2">
        <v>1323.1399999999901</v>
      </c>
      <c r="H3591" s="1" t="s">
        <v>8</v>
      </c>
      <c r="I3591" t="str">
        <f t="shared" si="56"/>
        <v>ORANGE TV TRAY TABLE [84313C]</v>
      </c>
    </row>
    <row r="3592" spans="1:9" x14ac:dyDescent="0.3">
      <c r="A3592" s="1" t="s">
        <v>2139</v>
      </c>
      <c r="B3592" t="s">
        <v>2138</v>
      </c>
      <c r="C3592" s="1">
        <v>2.04</v>
      </c>
      <c r="D3592" s="1">
        <v>92</v>
      </c>
      <c r="E3592" s="2">
        <v>106.555555555555</v>
      </c>
      <c r="F3592" s="1">
        <v>9</v>
      </c>
      <c r="G3592" s="1">
        <v>1820.27</v>
      </c>
      <c r="H3592" s="1" t="s">
        <v>10</v>
      </c>
      <c r="I3592" t="str">
        <f t="shared" si="56"/>
        <v>PINK JUMPER LARRY THE LAMB [84327A]</v>
      </c>
    </row>
    <row r="3593" spans="1:9" x14ac:dyDescent="0.3">
      <c r="A3593" s="1">
        <v>84340</v>
      </c>
      <c r="B3593" t="s">
        <v>2137</v>
      </c>
      <c r="C3593" s="1">
        <v>3.13</v>
      </c>
      <c r="D3593" s="1">
        <v>21</v>
      </c>
      <c r="E3593" s="1">
        <v>21</v>
      </c>
      <c r="F3593" s="1">
        <v>1</v>
      </c>
      <c r="G3593" s="1">
        <v>65.760000000000005</v>
      </c>
      <c r="H3593" s="1" t="s">
        <v>9</v>
      </c>
      <c r="I3593" t="str">
        <f t="shared" si="56"/>
        <v>LARGE FIBRE OPTIC CHRISTMAS TREE [84340]</v>
      </c>
    </row>
    <row r="3594" spans="1:9" x14ac:dyDescent="0.3">
      <c r="A3594" s="1" t="s">
        <v>2136</v>
      </c>
      <c r="B3594" t="s">
        <v>2135</v>
      </c>
      <c r="C3594" s="1">
        <v>0.55000000000000004</v>
      </c>
      <c r="D3594" s="1">
        <v>103</v>
      </c>
      <c r="E3594" s="1">
        <v>135</v>
      </c>
      <c r="F3594" s="1">
        <v>13</v>
      </c>
      <c r="G3594" s="1">
        <v>918.89</v>
      </c>
      <c r="H3594" s="1" t="s">
        <v>10</v>
      </c>
      <c r="I3594" t="str">
        <f t="shared" si="56"/>
        <v>SMALL PINK MAGIC CHRISTMAS TREE [84341B]</v>
      </c>
    </row>
    <row r="3595" spans="1:9" x14ac:dyDescent="0.3">
      <c r="A3595" s="1">
        <v>84347</v>
      </c>
      <c r="B3595" t="s">
        <v>2134</v>
      </c>
      <c r="C3595" s="1">
        <v>2.8250000000000002</v>
      </c>
      <c r="D3595" s="1">
        <v>98</v>
      </c>
      <c r="E3595" s="2">
        <v>1308.7083333333301</v>
      </c>
      <c r="F3595" s="1">
        <v>24</v>
      </c>
      <c r="G3595" s="2">
        <v>71300.399999999994</v>
      </c>
      <c r="H3595" s="1" t="s">
        <v>10</v>
      </c>
      <c r="I3595" t="str">
        <f t="shared" si="56"/>
        <v>ROTATING SILVER ANGELS T-LIGHT HLDR [84347]</v>
      </c>
    </row>
    <row r="3596" spans="1:9" x14ac:dyDescent="0.3">
      <c r="A3596" s="1">
        <v>84352</v>
      </c>
      <c r="B3596" t="s">
        <v>2133</v>
      </c>
      <c r="C3596" s="1">
        <v>16.95</v>
      </c>
      <c r="D3596" s="1">
        <v>5.5</v>
      </c>
      <c r="E3596" s="2">
        <v>14.714285714285699</v>
      </c>
      <c r="F3596" s="1">
        <v>14</v>
      </c>
      <c r="G3596" s="1">
        <v>3505.58</v>
      </c>
      <c r="H3596" s="1" t="s">
        <v>8</v>
      </c>
      <c r="I3596" t="str">
        <f t="shared" si="56"/>
        <v>SILVER CHRISTMAS TREE BAUBLE STAND [84352]</v>
      </c>
    </row>
    <row r="3597" spans="1:9" x14ac:dyDescent="0.3">
      <c r="A3597" s="1">
        <v>84356</v>
      </c>
      <c r="B3597" t="s">
        <v>2132</v>
      </c>
      <c r="C3597" s="1">
        <v>6.78</v>
      </c>
      <c r="D3597" s="1">
        <v>19</v>
      </c>
      <c r="E3597" s="1">
        <v>31.25</v>
      </c>
      <c r="F3597" s="1">
        <v>24</v>
      </c>
      <c r="G3597" s="1">
        <v>3771.04</v>
      </c>
      <c r="H3597" s="1" t="s">
        <v>9</v>
      </c>
      <c r="I3597" t="str">
        <f t="shared" si="56"/>
        <v>POMPOM CURTAIN [84356]</v>
      </c>
    </row>
    <row r="3598" spans="1:9" x14ac:dyDescent="0.3">
      <c r="A3598" s="1">
        <v>84358</v>
      </c>
      <c r="B3598" t="s">
        <v>2131</v>
      </c>
      <c r="C3598" s="1">
        <v>9.9499999999999993</v>
      </c>
      <c r="D3598" s="1">
        <v>3</v>
      </c>
      <c r="E3598" s="1">
        <v>7.4375</v>
      </c>
      <c r="F3598" s="1">
        <v>16</v>
      </c>
      <c r="G3598" s="1">
        <v>1046.5</v>
      </c>
      <c r="H3598" s="1" t="s">
        <v>8</v>
      </c>
      <c r="I3598" t="str">
        <f t="shared" si="56"/>
        <v>FLOOR LAMP SHADE WOOD BASE [84358]</v>
      </c>
    </row>
    <row r="3599" spans="1:9" x14ac:dyDescent="0.3">
      <c r="A3599" s="1">
        <v>84360</v>
      </c>
      <c r="B3599" t="s">
        <v>2130</v>
      </c>
      <c r="C3599" s="1">
        <v>5.95</v>
      </c>
      <c r="D3599" s="1">
        <v>5</v>
      </c>
      <c r="E3599" s="2">
        <v>8.5238095238095202</v>
      </c>
      <c r="F3599" s="1">
        <v>21</v>
      </c>
      <c r="G3599" s="1">
        <v>956.89</v>
      </c>
      <c r="H3599" s="1" t="s">
        <v>8</v>
      </c>
      <c r="I3599" t="str">
        <f t="shared" si="56"/>
        <v>TABLE LAMP WHITE SHADE WOOD BASE [84360]</v>
      </c>
    </row>
    <row r="3600" spans="1:9" x14ac:dyDescent="0.3">
      <c r="A3600" s="1">
        <v>84366</v>
      </c>
      <c r="B3600" t="s">
        <v>2129</v>
      </c>
      <c r="C3600" s="1">
        <v>3.75</v>
      </c>
      <c r="D3600" s="1">
        <v>1.5</v>
      </c>
      <c r="E3600" s="1">
        <v>1.5</v>
      </c>
      <c r="F3600" s="1">
        <v>2</v>
      </c>
      <c r="G3600" s="1">
        <v>11.25</v>
      </c>
      <c r="H3600" s="1" t="s">
        <v>8</v>
      </c>
      <c r="I3600" t="str">
        <f t="shared" si="56"/>
        <v>VENDETTA CANVAS PICTURE [84366]</v>
      </c>
    </row>
    <row r="3601" spans="1:9" x14ac:dyDescent="0.3">
      <c r="A3601" s="1">
        <v>84367</v>
      </c>
      <c r="B3601" t="s">
        <v>2128</v>
      </c>
      <c r="C3601" s="1">
        <v>1.65</v>
      </c>
      <c r="D3601" s="1">
        <v>12</v>
      </c>
      <c r="E3601" s="1">
        <v>14.6</v>
      </c>
      <c r="F3601" s="1">
        <v>5</v>
      </c>
      <c r="G3601" s="2">
        <v>122.55</v>
      </c>
      <c r="H3601" s="1" t="s">
        <v>9</v>
      </c>
      <c r="I3601" t="str">
        <f t="shared" si="56"/>
        <v>LA STREGA CANVAS PICTURE [84367]</v>
      </c>
    </row>
    <row r="3602" spans="1:9" x14ac:dyDescent="0.3">
      <c r="A3602" s="1">
        <v>84371</v>
      </c>
      <c r="B3602" t="s">
        <v>2127</v>
      </c>
      <c r="C3602" s="2">
        <v>13.7549999999999</v>
      </c>
      <c r="D3602" s="1">
        <v>15</v>
      </c>
      <c r="E3602" s="1">
        <v>15</v>
      </c>
      <c r="F3602" s="1">
        <v>2</v>
      </c>
      <c r="G3602" s="1">
        <v>257.10000000000002</v>
      </c>
      <c r="H3602" s="1" t="s">
        <v>9</v>
      </c>
      <c r="I3602" t="str">
        <f t="shared" si="56"/>
        <v>BIG PINK POODLE [84371]</v>
      </c>
    </row>
    <row r="3603" spans="1:9" x14ac:dyDescent="0.3">
      <c r="A3603" s="1">
        <v>84375</v>
      </c>
      <c r="B3603" t="s">
        <v>2126</v>
      </c>
      <c r="C3603" s="1">
        <v>2.13</v>
      </c>
      <c r="D3603" s="1">
        <v>306</v>
      </c>
      <c r="E3603" s="1">
        <v>303</v>
      </c>
      <c r="F3603" s="1">
        <v>25</v>
      </c>
      <c r="G3603" s="1">
        <v>15753.18</v>
      </c>
      <c r="H3603" s="1" t="s">
        <v>10</v>
      </c>
      <c r="I3603" t="str">
        <f t="shared" si="56"/>
        <v>SET OF 20 KIDS COOKIE CUTTERS [84375]</v>
      </c>
    </row>
    <row r="3604" spans="1:9" x14ac:dyDescent="0.3">
      <c r="A3604" s="1">
        <v>84378</v>
      </c>
      <c r="B3604" t="s">
        <v>2125</v>
      </c>
      <c r="C3604" s="1">
        <v>1.31</v>
      </c>
      <c r="D3604" s="1">
        <v>320</v>
      </c>
      <c r="E3604" s="1">
        <v>465.48</v>
      </c>
      <c r="F3604" s="1">
        <v>25</v>
      </c>
      <c r="G3604" s="1">
        <v>15388.44</v>
      </c>
      <c r="H3604" s="1" t="s">
        <v>10</v>
      </c>
      <c r="I3604" t="str">
        <f t="shared" si="56"/>
        <v>SET OF 3 HEART COOKIE CUTTERS [84378]</v>
      </c>
    </row>
    <row r="3605" spans="1:9" x14ac:dyDescent="0.3">
      <c r="A3605" s="1">
        <v>84380</v>
      </c>
      <c r="B3605" t="s">
        <v>2124</v>
      </c>
      <c r="C3605" s="1">
        <v>1.35</v>
      </c>
      <c r="D3605" s="1">
        <v>394</v>
      </c>
      <c r="E3605" s="1">
        <v>416.2</v>
      </c>
      <c r="F3605" s="1">
        <v>25</v>
      </c>
      <c r="G3605" s="1">
        <v>14076.34</v>
      </c>
      <c r="H3605" s="1" t="s">
        <v>10</v>
      </c>
      <c r="I3605" t="str">
        <f t="shared" si="56"/>
        <v>SET OF 3 BUTTERFLY COOKIE CUTTERS [84380]</v>
      </c>
    </row>
    <row r="3606" spans="1:9" x14ac:dyDescent="0.3">
      <c r="A3606" s="1" t="s">
        <v>2123</v>
      </c>
      <c r="B3606" t="s">
        <v>2122</v>
      </c>
      <c r="C3606" s="1">
        <v>1.95</v>
      </c>
      <c r="D3606" s="1">
        <v>11</v>
      </c>
      <c r="E3606" s="1">
        <v>11</v>
      </c>
      <c r="F3606" s="1">
        <v>1</v>
      </c>
      <c r="G3606" s="1">
        <v>21.45</v>
      </c>
      <c r="H3606" s="1" t="s">
        <v>9</v>
      </c>
      <c r="I3606" t="str">
        <f t="shared" si="56"/>
        <v>BIRD ON BRANCH CANVAS SCREEN [84387A]</v>
      </c>
    </row>
    <row r="3607" spans="1:9" x14ac:dyDescent="0.3">
      <c r="A3607" s="1">
        <v>84388</v>
      </c>
      <c r="B3607" t="s">
        <v>2121</v>
      </c>
      <c r="C3607" s="1">
        <v>1.65</v>
      </c>
      <c r="D3607" s="1">
        <v>2</v>
      </c>
      <c r="E3607" s="2">
        <v>8.1666666666666607</v>
      </c>
      <c r="F3607" s="1">
        <v>6</v>
      </c>
      <c r="G3607" s="1">
        <v>80.849999999999994</v>
      </c>
      <c r="H3607" s="1" t="s">
        <v>8</v>
      </c>
      <c r="I3607" t="str">
        <f t="shared" si="56"/>
        <v>WISE MAN STAR SHAPE EGG PAN [84388]</v>
      </c>
    </row>
    <row r="3608" spans="1:9" x14ac:dyDescent="0.3">
      <c r="A3608" s="1">
        <v>84396</v>
      </c>
      <c r="B3608" t="s">
        <v>2120</v>
      </c>
      <c r="C3608" s="1">
        <v>2.42</v>
      </c>
      <c r="D3608" s="1">
        <v>181</v>
      </c>
      <c r="E3608" s="1">
        <v>184</v>
      </c>
      <c r="F3608" s="1">
        <v>3</v>
      </c>
      <c r="G3608" s="1">
        <v>1380.52</v>
      </c>
      <c r="H3608" s="1" t="s">
        <v>10</v>
      </c>
      <c r="I3608" t="str">
        <f t="shared" si="56"/>
        <v>6 HOOK JEWELLERY STAND BLACK DRESS [84396]</v>
      </c>
    </row>
    <row r="3609" spans="1:9" x14ac:dyDescent="0.3">
      <c r="A3609" s="1" t="s">
        <v>2119</v>
      </c>
      <c r="B3609" t="s">
        <v>2118</v>
      </c>
      <c r="C3609" s="1">
        <v>1.87</v>
      </c>
      <c r="D3609" s="1">
        <v>31</v>
      </c>
      <c r="E3609" s="1">
        <v>31</v>
      </c>
      <c r="F3609" s="1">
        <v>2</v>
      </c>
      <c r="G3609" s="1">
        <v>51.14</v>
      </c>
      <c r="H3609" s="1" t="s">
        <v>9</v>
      </c>
      <c r="I3609" t="str">
        <f t="shared" si="56"/>
        <v>PURPLE DRESS JEWELLERY STAND [84402B]</v>
      </c>
    </row>
    <row r="3610" spans="1:9" x14ac:dyDescent="0.3">
      <c r="A3610" s="1" t="s">
        <v>2117</v>
      </c>
      <c r="B3610" t="s">
        <v>2116</v>
      </c>
      <c r="C3610" s="2">
        <v>0.95499999999999996</v>
      </c>
      <c r="D3610" s="1">
        <v>62.5</v>
      </c>
      <c r="E3610" s="1">
        <v>93.25</v>
      </c>
      <c r="F3610" s="1">
        <v>4</v>
      </c>
      <c r="G3610" s="1">
        <v>358.93</v>
      </c>
      <c r="H3610" s="1" t="s">
        <v>10</v>
      </c>
      <c r="I3610" t="str">
        <f t="shared" si="56"/>
        <v>PINK DRESS JEWELLERY STAND [84402D]</v>
      </c>
    </row>
    <row r="3611" spans="1:9" x14ac:dyDescent="0.3">
      <c r="A3611" s="1" t="s">
        <v>2115</v>
      </c>
      <c r="B3611" t="s">
        <v>2114</v>
      </c>
      <c r="C3611" s="1">
        <v>12.75</v>
      </c>
      <c r="D3611" s="1">
        <v>5</v>
      </c>
      <c r="E3611" s="2">
        <v>11.7272727272727</v>
      </c>
      <c r="F3611" s="1">
        <v>11</v>
      </c>
      <c r="G3611" s="1">
        <v>1042.1600000000001</v>
      </c>
      <c r="H3611" s="1" t="s">
        <v>8</v>
      </c>
      <c r="I3611" t="str">
        <f t="shared" si="56"/>
        <v>S/3 PINK COL METAL BASKET W HANDLE [84405A]</v>
      </c>
    </row>
    <row r="3612" spans="1:9" x14ac:dyDescent="0.3">
      <c r="A3612" s="1" t="s">
        <v>2113</v>
      </c>
      <c r="B3612" t="s">
        <v>2111</v>
      </c>
      <c r="C3612" s="1">
        <v>3.13</v>
      </c>
      <c r="D3612" s="1">
        <v>314</v>
      </c>
      <c r="E3612" s="1">
        <v>285.24</v>
      </c>
      <c r="F3612" s="1">
        <v>25</v>
      </c>
      <c r="G3612" s="1">
        <v>23080.13</v>
      </c>
      <c r="H3612" s="1" t="s">
        <v>10</v>
      </c>
      <c r="I3612" t="str">
        <f t="shared" si="56"/>
        <v>CREAM CUPID HEARTS COAT HANGER [84406B]</v>
      </c>
    </row>
    <row r="3613" spans="1:9" x14ac:dyDescent="0.3">
      <c r="A3613" s="1" t="s">
        <v>2112</v>
      </c>
      <c r="B3613" t="s">
        <v>2111</v>
      </c>
      <c r="C3613" s="1">
        <v>6.91</v>
      </c>
      <c r="D3613" s="1">
        <v>2</v>
      </c>
      <c r="E3613" s="1">
        <v>2</v>
      </c>
      <c r="F3613" s="1">
        <v>1</v>
      </c>
      <c r="G3613" s="1">
        <v>13.82</v>
      </c>
      <c r="H3613" s="1" t="s">
        <v>8</v>
      </c>
      <c r="I3613" t="str">
        <f t="shared" si="56"/>
        <v>CREAM CUPID HEARTS COAT HANGER [84406b]</v>
      </c>
    </row>
    <row r="3614" spans="1:9" x14ac:dyDescent="0.3">
      <c r="A3614" s="1" t="s">
        <v>2110</v>
      </c>
      <c r="B3614" t="s">
        <v>2109</v>
      </c>
      <c r="C3614" s="1">
        <v>18.95</v>
      </c>
      <c r="D3614" s="1">
        <v>2</v>
      </c>
      <c r="E3614" s="1">
        <v>26</v>
      </c>
      <c r="F3614" s="1">
        <v>3</v>
      </c>
      <c r="G3614" s="1">
        <v>536.24</v>
      </c>
      <c r="H3614" s="1" t="s">
        <v>8</v>
      </c>
      <c r="I3614" t="str">
        <f t="shared" si="56"/>
        <v>FUSCHIA/GREEN STRIPE WOOLLY BLANKET [84414B]</v>
      </c>
    </row>
    <row r="3615" spans="1:9" x14ac:dyDescent="0.3">
      <c r="A3615" s="1" t="s">
        <v>2108</v>
      </c>
      <c r="B3615" t="s">
        <v>2107</v>
      </c>
      <c r="C3615" s="1">
        <v>3.75</v>
      </c>
      <c r="D3615" s="1">
        <v>6.5</v>
      </c>
      <c r="E3615" s="1">
        <v>6.75</v>
      </c>
      <c r="F3615" s="1">
        <v>4</v>
      </c>
      <c r="G3615" s="1">
        <v>71.25</v>
      </c>
      <c r="H3615" s="1" t="s">
        <v>8</v>
      </c>
      <c r="I3615" t="str">
        <f t="shared" si="56"/>
        <v>PINK FLOCK SUEDE CUSHION COVER [84415A]</v>
      </c>
    </row>
    <row r="3616" spans="1:9" x14ac:dyDescent="0.3">
      <c r="A3616" s="1" t="s">
        <v>2106</v>
      </c>
      <c r="B3616" t="s">
        <v>2105</v>
      </c>
      <c r="C3616" s="1">
        <v>3.75</v>
      </c>
      <c r="D3616" s="1">
        <v>2</v>
      </c>
      <c r="E3616" s="2">
        <v>3.4285714285714199</v>
      </c>
      <c r="F3616" s="1">
        <v>7</v>
      </c>
      <c r="G3616" s="1">
        <v>80</v>
      </c>
      <c r="H3616" s="1" t="s">
        <v>8</v>
      </c>
      <c r="I3616" t="str">
        <f t="shared" si="56"/>
        <v>BLUE FLOCK CUSHION COVER [84415B]</v>
      </c>
    </row>
    <row r="3617" spans="1:9" x14ac:dyDescent="0.3">
      <c r="A3617" s="1">
        <v>84422</v>
      </c>
      <c r="B3617" t="s">
        <v>2104</v>
      </c>
      <c r="C3617" s="1">
        <v>0.85</v>
      </c>
      <c r="D3617" s="1">
        <v>7</v>
      </c>
      <c r="E3617" s="1">
        <v>41.157894736842103</v>
      </c>
      <c r="F3617" s="1">
        <v>19</v>
      </c>
      <c r="G3617" s="1">
        <v>427.95</v>
      </c>
      <c r="H3617" s="1" t="s">
        <v>8</v>
      </c>
      <c r="I3617" t="str">
        <f t="shared" si="56"/>
        <v>PINK/BLUE DISC/MIRROR STRING [84422]</v>
      </c>
    </row>
    <row r="3618" spans="1:9" x14ac:dyDescent="0.3">
      <c r="A3618" s="1" t="s">
        <v>2103</v>
      </c>
      <c r="B3618" t="s">
        <v>2102</v>
      </c>
      <c r="C3618" s="1">
        <v>3.75</v>
      </c>
      <c r="D3618" s="1">
        <v>5</v>
      </c>
      <c r="E3618" s="1">
        <v>4.5999999999999996</v>
      </c>
      <c r="F3618" s="1">
        <v>5</v>
      </c>
      <c r="G3618" s="1">
        <v>86.25</v>
      </c>
      <c r="H3618" s="1" t="s">
        <v>8</v>
      </c>
      <c r="I3618" t="str">
        <f t="shared" si="56"/>
        <v>FOUR PICTURE WHITE GLASS FRAME [84424A]</v>
      </c>
    </row>
    <row r="3619" spans="1:9" x14ac:dyDescent="0.3">
      <c r="A3619" s="1" t="s">
        <v>2101</v>
      </c>
      <c r="B3619" t="s">
        <v>2100</v>
      </c>
      <c r="C3619" s="1">
        <v>4.25</v>
      </c>
      <c r="D3619" s="1">
        <v>4</v>
      </c>
      <c r="E3619" s="1">
        <v>4.5</v>
      </c>
      <c r="F3619" s="1">
        <v>4</v>
      </c>
      <c r="G3619" s="1">
        <v>76.599999999999994</v>
      </c>
      <c r="H3619" s="1" t="s">
        <v>8</v>
      </c>
      <c r="I3619" t="str">
        <f t="shared" si="56"/>
        <v>WHITE GLASS TV TRIPLE FRAME [84425A]</v>
      </c>
    </row>
    <row r="3620" spans="1:9" x14ac:dyDescent="0.3">
      <c r="A3620" s="1" t="s">
        <v>2099</v>
      </c>
      <c r="B3620" t="s">
        <v>2098</v>
      </c>
      <c r="C3620" s="1">
        <v>4.25</v>
      </c>
      <c r="D3620" s="1">
        <v>5</v>
      </c>
      <c r="E3620" s="2">
        <v>5.6666666666666599</v>
      </c>
      <c r="F3620" s="1">
        <v>3</v>
      </c>
      <c r="G3620" s="1">
        <v>72.25</v>
      </c>
      <c r="H3620" s="1" t="s">
        <v>8</v>
      </c>
      <c r="I3620" t="str">
        <f t="shared" si="56"/>
        <v>BLACK GLASS TV DOUBLE P/FRAME 15X10 [84427B]</v>
      </c>
    </row>
    <row r="3621" spans="1:9" x14ac:dyDescent="0.3">
      <c r="A3621" s="1" t="s">
        <v>2097</v>
      </c>
      <c r="B3621" t="s">
        <v>2096</v>
      </c>
      <c r="C3621" s="1">
        <v>3.06</v>
      </c>
      <c r="D3621" s="1">
        <v>2.5</v>
      </c>
      <c r="E3621" s="1">
        <v>5.45</v>
      </c>
      <c r="F3621" s="1">
        <v>20</v>
      </c>
      <c r="G3621" s="1">
        <v>371.78</v>
      </c>
      <c r="H3621" s="1" t="s">
        <v>8</v>
      </c>
      <c r="I3621" t="str">
        <f t="shared" si="56"/>
        <v>MEDIUM PINK BUDDHA HEAD [84429A]</v>
      </c>
    </row>
    <row r="3622" spans="1:9" x14ac:dyDescent="0.3">
      <c r="A3622" s="1" t="s">
        <v>2095</v>
      </c>
      <c r="B3622" t="s">
        <v>2094</v>
      </c>
      <c r="C3622" s="1">
        <v>0.85</v>
      </c>
      <c r="D3622" s="1">
        <v>26.5</v>
      </c>
      <c r="E3622" s="1">
        <v>26.5</v>
      </c>
      <c r="F3622" s="1">
        <v>4</v>
      </c>
      <c r="G3622" s="1">
        <v>90.95</v>
      </c>
      <c r="H3622" s="1" t="s">
        <v>9</v>
      </c>
      <c r="I3622" t="str">
        <f t="shared" si="56"/>
        <v>S/6 PINK EASTER DECS IN BOX [84437A]</v>
      </c>
    </row>
    <row r="3623" spans="1:9" x14ac:dyDescent="0.3">
      <c r="A3623" s="1">
        <v>84447</v>
      </c>
      <c r="B3623" t="s">
        <v>2093</v>
      </c>
      <c r="C3623" s="1">
        <v>1.0900000000000001</v>
      </c>
      <c r="D3623" s="1">
        <v>24</v>
      </c>
      <c r="E3623" s="1">
        <v>23</v>
      </c>
      <c r="F3623" s="1">
        <v>3</v>
      </c>
      <c r="G3623" s="1">
        <v>72.42</v>
      </c>
      <c r="H3623" s="1" t="s">
        <v>9</v>
      </c>
      <c r="I3623" t="str">
        <f t="shared" si="56"/>
        <v>6 RABBIT CHAIN EASTER [84447]</v>
      </c>
    </row>
    <row r="3624" spans="1:9" x14ac:dyDescent="0.3">
      <c r="A3624" s="1" t="s">
        <v>2092</v>
      </c>
      <c r="B3624" t="s">
        <v>2091</v>
      </c>
      <c r="C3624" s="1">
        <v>0.42</v>
      </c>
      <c r="D3624" s="1">
        <v>12</v>
      </c>
      <c r="E3624" s="2">
        <v>17.3333333333333</v>
      </c>
      <c r="F3624" s="1">
        <v>3</v>
      </c>
      <c r="G3624" s="1">
        <v>24.18</v>
      </c>
      <c r="H3624" s="1" t="s">
        <v>9</v>
      </c>
      <c r="I3624" t="str">
        <f t="shared" si="56"/>
        <v>PINK RABBIT SITTING EASTER [84450A]</v>
      </c>
    </row>
    <row r="3625" spans="1:9" x14ac:dyDescent="0.3">
      <c r="A3625" s="1" t="s">
        <v>2090</v>
      </c>
      <c r="B3625" t="s">
        <v>2089</v>
      </c>
      <c r="C3625" s="1">
        <v>0.71</v>
      </c>
      <c r="D3625" s="1">
        <v>9</v>
      </c>
      <c r="E3625" s="1">
        <v>27.8</v>
      </c>
      <c r="F3625" s="1">
        <v>5</v>
      </c>
      <c r="G3625" s="1">
        <v>84.55</v>
      </c>
      <c r="H3625" s="1" t="s">
        <v>8</v>
      </c>
      <c r="I3625" t="str">
        <f t="shared" si="56"/>
        <v>YELLOW RABBIT SAT EASTER [84450B]</v>
      </c>
    </row>
    <row r="3626" spans="1:9" x14ac:dyDescent="0.3">
      <c r="A3626" s="1">
        <v>84452</v>
      </c>
      <c r="B3626" t="s">
        <v>2088</v>
      </c>
      <c r="C3626" s="1">
        <v>0.92</v>
      </c>
      <c r="D3626" s="1">
        <v>17</v>
      </c>
      <c r="E3626" s="1">
        <v>22</v>
      </c>
      <c r="F3626" s="1">
        <v>9</v>
      </c>
      <c r="G3626" s="1">
        <v>186.16</v>
      </c>
      <c r="H3626" s="1" t="s">
        <v>9</v>
      </c>
      <c r="I3626" t="str">
        <f t="shared" si="56"/>
        <v>METAL RABBIT LADDER EASTER [84452]</v>
      </c>
    </row>
    <row r="3627" spans="1:9" x14ac:dyDescent="0.3">
      <c r="A3627" s="1">
        <v>84454</v>
      </c>
      <c r="B3627" t="s">
        <v>2087</v>
      </c>
      <c r="C3627" s="1">
        <v>0.85</v>
      </c>
      <c r="D3627" s="1">
        <v>4</v>
      </c>
      <c r="E3627" s="1">
        <v>18.600000000000001</v>
      </c>
      <c r="F3627" s="1">
        <v>5</v>
      </c>
      <c r="G3627" s="1">
        <v>85.53</v>
      </c>
      <c r="H3627" s="1" t="s">
        <v>8</v>
      </c>
      <c r="I3627" t="str">
        <f t="shared" si="56"/>
        <v>WOBBLING METAL CHICKEN EASTER [84454]</v>
      </c>
    </row>
    <row r="3628" spans="1:9" x14ac:dyDescent="0.3">
      <c r="A3628" s="1">
        <v>84455</v>
      </c>
      <c r="B3628" t="s">
        <v>2086</v>
      </c>
      <c r="C3628" s="1">
        <v>0.88</v>
      </c>
      <c r="D3628" s="1">
        <v>19.5</v>
      </c>
      <c r="E3628" s="1">
        <v>21.25</v>
      </c>
      <c r="F3628" s="1">
        <v>4</v>
      </c>
      <c r="G3628" s="2">
        <v>77.959999999999994</v>
      </c>
      <c r="H3628" s="1" t="s">
        <v>9</v>
      </c>
      <c r="I3628" t="str">
        <f t="shared" si="56"/>
        <v>SET OF 3 RABBIT CARROTS EASTER [84455]</v>
      </c>
    </row>
    <row r="3629" spans="1:9" x14ac:dyDescent="0.3">
      <c r="A3629" s="1">
        <v>84456</v>
      </c>
      <c r="B3629" t="s">
        <v>2085</v>
      </c>
      <c r="C3629" s="1">
        <v>0.85</v>
      </c>
      <c r="D3629" s="1">
        <v>6.5</v>
      </c>
      <c r="E3629" s="2">
        <v>6.1666666666666599</v>
      </c>
      <c r="F3629" s="1">
        <v>6</v>
      </c>
      <c r="G3629" s="1">
        <v>33.15</v>
      </c>
      <c r="H3629" s="1" t="s">
        <v>8</v>
      </c>
      <c r="I3629" t="str">
        <f t="shared" si="56"/>
        <v>SET OF 3 RABBIT EGG EASTER [84456]</v>
      </c>
    </row>
    <row r="3630" spans="1:9" x14ac:dyDescent="0.3">
      <c r="A3630" s="1">
        <v>84457</v>
      </c>
      <c r="B3630" t="s">
        <v>2084</v>
      </c>
      <c r="C3630" s="2">
        <v>0.92999999999999905</v>
      </c>
      <c r="D3630" s="1">
        <v>12</v>
      </c>
      <c r="E3630" s="1">
        <v>24.25</v>
      </c>
      <c r="F3630" s="1">
        <v>12</v>
      </c>
      <c r="G3630" s="1">
        <v>278.73</v>
      </c>
      <c r="H3630" s="1" t="s">
        <v>9</v>
      </c>
      <c r="I3630" t="str">
        <f t="shared" si="56"/>
        <v>SET/3 RABBITS FLOWER SKIPPPING ROPE [84457]</v>
      </c>
    </row>
    <row r="3631" spans="1:9" x14ac:dyDescent="0.3">
      <c r="A3631" s="1">
        <v>84458</v>
      </c>
      <c r="B3631" t="s">
        <v>2083</v>
      </c>
      <c r="C3631" s="1">
        <v>0.85</v>
      </c>
      <c r="D3631" s="1">
        <v>28</v>
      </c>
      <c r="E3631" s="2">
        <v>41.3333333333333</v>
      </c>
      <c r="F3631" s="1">
        <v>3</v>
      </c>
      <c r="G3631" s="1">
        <v>105.4</v>
      </c>
      <c r="H3631" s="1" t="s">
        <v>9</v>
      </c>
      <c r="I3631" t="str">
        <f t="shared" si="56"/>
        <v>S/3 RABBIT FLOWER/EGG/CARROT ROPE [84458]</v>
      </c>
    </row>
    <row r="3632" spans="1:9" x14ac:dyDescent="0.3">
      <c r="A3632" s="1" t="s">
        <v>2082</v>
      </c>
      <c r="B3632" t="s">
        <v>2081</v>
      </c>
      <c r="C3632" s="1">
        <v>1.7549999999999999</v>
      </c>
      <c r="D3632" s="1">
        <v>28</v>
      </c>
      <c r="E3632" s="2">
        <v>57.409090909090899</v>
      </c>
      <c r="F3632" s="1">
        <v>22</v>
      </c>
      <c r="G3632" s="1">
        <v>2041.69</v>
      </c>
      <c r="H3632" s="1" t="s">
        <v>9</v>
      </c>
      <c r="I3632" t="str">
        <f t="shared" si="56"/>
        <v>PINK METAL CHICKEN HEART [84459A]</v>
      </c>
    </row>
    <row r="3633" spans="1:9" x14ac:dyDescent="0.3">
      <c r="A3633" s="1" t="s">
        <v>2080</v>
      </c>
      <c r="B3633" t="s">
        <v>2079</v>
      </c>
      <c r="C3633" s="1">
        <v>1.71</v>
      </c>
      <c r="D3633" s="1">
        <v>28</v>
      </c>
      <c r="E3633" s="2">
        <v>86.764705882352899</v>
      </c>
      <c r="F3633" s="1">
        <v>17</v>
      </c>
      <c r="G3633" s="1">
        <v>2341.77</v>
      </c>
      <c r="H3633" s="1" t="s">
        <v>9</v>
      </c>
      <c r="I3633" t="str">
        <f t="shared" si="56"/>
        <v>YELLOW METAL CHICKEN HEART [84459B]</v>
      </c>
    </row>
    <row r="3634" spans="1:9" x14ac:dyDescent="0.3">
      <c r="A3634" s="1">
        <v>84461</v>
      </c>
      <c r="B3634" t="s">
        <v>2078</v>
      </c>
      <c r="C3634" s="1">
        <v>2.5499999999999998</v>
      </c>
      <c r="D3634" s="1">
        <v>17</v>
      </c>
      <c r="E3634" s="2">
        <v>14.1428571428571</v>
      </c>
      <c r="F3634" s="1">
        <v>7</v>
      </c>
      <c r="G3634" s="1">
        <v>253.79</v>
      </c>
      <c r="H3634" s="1" t="s">
        <v>9</v>
      </c>
      <c r="I3634" t="str">
        <f t="shared" si="56"/>
        <v>12 PINK HEN+CHICKS IN BASKET [84461]</v>
      </c>
    </row>
    <row r="3635" spans="1:9" x14ac:dyDescent="0.3">
      <c r="A3635" s="1">
        <v>84462</v>
      </c>
      <c r="B3635" t="s">
        <v>2077</v>
      </c>
      <c r="C3635" s="1">
        <v>1.25</v>
      </c>
      <c r="D3635" s="1">
        <v>4</v>
      </c>
      <c r="E3635" s="2">
        <v>16.6666666666666</v>
      </c>
      <c r="F3635" s="1">
        <v>6</v>
      </c>
      <c r="G3635" s="1">
        <v>114.86</v>
      </c>
      <c r="H3635" s="1" t="s">
        <v>8</v>
      </c>
      <c r="I3635" t="str">
        <f t="shared" si="56"/>
        <v>3 PINK HEN+CHICKS IN BASKET [84462]</v>
      </c>
    </row>
    <row r="3636" spans="1:9" x14ac:dyDescent="0.3">
      <c r="A3636" s="1">
        <v>84464</v>
      </c>
      <c r="B3636" t="s">
        <v>2076</v>
      </c>
      <c r="C3636" s="2">
        <v>2.3049999999999899</v>
      </c>
      <c r="D3636" s="1">
        <v>41</v>
      </c>
      <c r="E3636" s="1">
        <v>41</v>
      </c>
      <c r="F3636" s="1">
        <v>2</v>
      </c>
      <c r="G3636" s="1">
        <v>179.1</v>
      </c>
      <c r="H3636" s="1" t="s">
        <v>9</v>
      </c>
      <c r="I3636" t="str">
        <f t="shared" si="56"/>
        <v>S/60 PINK FLUFFY CHICKS IN BOX [84464]</v>
      </c>
    </row>
    <row r="3637" spans="1:9" x14ac:dyDescent="0.3">
      <c r="A3637" s="1">
        <v>84465</v>
      </c>
      <c r="B3637" t="s">
        <v>2075</v>
      </c>
      <c r="C3637" s="1">
        <v>2.95</v>
      </c>
      <c r="D3637" s="1">
        <v>2</v>
      </c>
      <c r="E3637" s="1">
        <v>4</v>
      </c>
      <c r="F3637" s="1">
        <v>8</v>
      </c>
      <c r="G3637" s="1">
        <v>96.51</v>
      </c>
      <c r="H3637" s="1" t="s">
        <v>8</v>
      </c>
      <c r="I3637" t="str">
        <f t="shared" si="56"/>
        <v>15 PINK FLUFFY CHICKS IN BOX [84465]</v>
      </c>
    </row>
    <row r="3638" spans="1:9" x14ac:dyDescent="0.3">
      <c r="A3638" s="1">
        <v>84466</v>
      </c>
      <c r="B3638" t="s">
        <v>2074</v>
      </c>
      <c r="C3638" s="1">
        <v>1.25</v>
      </c>
      <c r="D3638" s="1">
        <v>7</v>
      </c>
      <c r="E3638" s="2">
        <v>114.181818181818</v>
      </c>
      <c r="F3638" s="1">
        <v>11</v>
      </c>
      <c r="G3638" s="2">
        <v>1348.36</v>
      </c>
      <c r="H3638" s="1" t="s">
        <v>8</v>
      </c>
      <c r="I3638" t="str">
        <f t="shared" si="56"/>
        <v>TOP SECRET PEN SET [84466]</v>
      </c>
    </row>
    <row r="3639" spans="1:9" x14ac:dyDescent="0.3">
      <c r="A3639" s="1">
        <v>84467</v>
      </c>
      <c r="B3639" t="s">
        <v>2073</v>
      </c>
      <c r="C3639" s="1">
        <v>29.97</v>
      </c>
      <c r="D3639" s="1">
        <v>4</v>
      </c>
      <c r="E3639" s="2">
        <v>116.571428571428</v>
      </c>
      <c r="F3639" s="1">
        <v>7</v>
      </c>
      <c r="G3639" s="1">
        <v>17477.66</v>
      </c>
      <c r="H3639" s="1" t="s">
        <v>8</v>
      </c>
      <c r="I3639" t="str">
        <f t="shared" si="56"/>
        <v>ENGLISH ROSE DESIGN QUILTED THROW [84467]</v>
      </c>
    </row>
    <row r="3640" spans="1:9" x14ac:dyDescent="0.3">
      <c r="A3640" s="1">
        <v>84469</v>
      </c>
      <c r="B3640" t="s">
        <v>2072</v>
      </c>
      <c r="C3640" s="1">
        <v>7.13</v>
      </c>
      <c r="D3640" s="1">
        <v>17.5</v>
      </c>
      <c r="E3640" s="1">
        <v>166</v>
      </c>
      <c r="F3640" s="1">
        <v>4</v>
      </c>
      <c r="G3640" s="1">
        <v>2249.41</v>
      </c>
      <c r="H3640" s="1" t="s">
        <v>9</v>
      </c>
      <c r="I3640" t="str">
        <f t="shared" si="56"/>
        <v>ROSE DES PADDED FLOOR CUSHION [84469]</v>
      </c>
    </row>
    <row r="3641" spans="1:9" x14ac:dyDescent="0.3">
      <c r="A3641" s="1">
        <v>84472</v>
      </c>
      <c r="B3641" t="s">
        <v>2071</v>
      </c>
      <c r="C3641" s="1">
        <v>45.95</v>
      </c>
      <c r="D3641" s="1">
        <v>6.5</v>
      </c>
      <c r="E3641" s="1">
        <v>14.5</v>
      </c>
      <c r="F3641" s="1">
        <v>6</v>
      </c>
      <c r="G3641" s="2">
        <v>3402.3199999999902</v>
      </c>
      <c r="H3641" s="1" t="s">
        <v>8</v>
      </c>
      <c r="I3641" t="str">
        <f t="shared" si="56"/>
        <v>PINK AND LILAC QUILTED THROW [84472]</v>
      </c>
    </row>
    <row r="3642" spans="1:9" x14ac:dyDescent="0.3">
      <c r="A3642" s="1">
        <v>84482</v>
      </c>
      <c r="B3642" t="s">
        <v>2070</v>
      </c>
      <c r="C3642" s="1">
        <v>3.75</v>
      </c>
      <c r="D3642" s="1">
        <v>4</v>
      </c>
      <c r="E3642" s="1">
        <v>7.5</v>
      </c>
      <c r="F3642" s="1">
        <v>10</v>
      </c>
      <c r="G3642" s="1">
        <v>293.02</v>
      </c>
      <c r="H3642" s="1" t="s">
        <v>8</v>
      </c>
      <c r="I3642" t="str">
        <f t="shared" si="56"/>
        <v>BUTTONS DESIGN JEWELLERY BOX [84482]</v>
      </c>
    </row>
    <row r="3643" spans="1:9" x14ac:dyDescent="0.3">
      <c r="A3643" s="1">
        <v>84493</v>
      </c>
      <c r="B3643" t="s">
        <v>2069</v>
      </c>
      <c r="C3643" s="1">
        <v>2.5499999999999998</v>
      </c>
      <c r="D3643" s="1">
        <v>3.5</v>
      </c>
      <c r="E3643" s="1">
        <v>3.5</v>
      </c>
      <c r="F3643" s="1">
        <v>2</v>
      </c>
      <c r="G3643" s="1">
        <v>17.850000000000001</v>
      </c>
      <c r="H3643" s="1" t="s">
        <v>8</v>
      </c>
      <c r="I3643" t="str">
        <f t="shared" si="56"/>
        <v>BLUE/PINK NEST STRIPE BOX [84493]</v>
      </c>
    </row>
    <row r="3644" spans="1:9" x14ac:dyDescent="0.3">
      <c r="A3644" s="1">
        <v>84497</v>
      </c>
      <c r="B3644" t="s">
        <v>2068</v>
      </c>
      <c r="C3644" s="1">
        <v>3.75</v>
      </c>
      <c r="D3644" s="1">
        <v>5</v>
      </c>
      <c r="E3644" s="2">
        <v>6.9285714285714199</v>
      </c>
      <c r="F3644" s="1">
        <v>14</v>
      </c>
      <c r="G3644" s="1">
        <v>387.13</v>
      </c>
      <c r="H3644" s="1" t="s">
        <v>8</v>
      </c>
      <c r="I3644" t="str">
        <f t="shared" si="56"/>
        <v>BUTTONS AND STRIPES NOTEBOOK [84497]</v>
      </c>
    </row>
    <row r="3645" spans="1:9" x14ac:dyDescent="0.3">
      <c r="A3645" s="1">
        <v>84499</v>
      </c>
      <c r="B3645" t="s">
        <v>2067</v>
      </c>
      <c r="C3645" s="1">
        <v>0.97</v>
      </c>
      <c r="D3645" s="1">
        <v>14</v>
      </c>
      <c r="E3645" s="2">
        <v>25.076923076922998</v>
      </c>
      <c r="F3645" s="1">
        <v>13</v>
      </c>
      <c r="G3645" s="1">
        <v>272.17</v>
      </c>
      <c r="H3645" s="1" t="s">
        <v>9</v>
      </c>
      <c r="I3645" t="str">
        <f t="shared" si="56"/>
        <v>BLACK FLOWER CANDLE PLATE [84499]</v>
      </c>
    </row>
    <row r="3646" spans="1:9" x14ac:dyDescent="0.3">
      <c r="A3646" s="1" t="s">
        <v>2066</v>
      </c>
      <c r="B3646" t="s">
        <v>2065</v>
      </c>
      <c r="C3646" s="1">
        <v>2.5499999999999998</v>
      </c>
      <c r="D3646" s="1">
        <v>8</v>
      </c>
      <c r="E3646" s="2">
        <v>64.238095238095198</v>
      </c>
      <c r="F3646" s="1">
        <v>21</v>
      </c>
      <c r="G3646" s="1">
        <v>1764.03</v>
      </c>
      <c r="H3646" s="1" t="s">
        <v>8</v>
      </c>
      <c r="I3646" t="str">
        <f t="shared" si="56"/>
        <v>STRIPES DESIGN MONKEY DOLL [84507B]</v>
      </c>
    </row>
    <row r="3647" spans="1:9" x14ac:dyDescent="0.3">
      <c r="A3647" s="1" t="s">
        <v>2064</v>
      </c>
      <c r="B3647" t="s">
        <v>2063</v>
      </c>
      <c r="C3647" s="1">
        <v>2.5499999999999998</v>
      </c>
      <c r="D3647" s="1">
        <v>5</v>
      </c>
      <c r="E3647" s="2">
        <v>20.619047619047599</v>
      </c>
      <c r="F3647" s="1">
        <v>21</v>
      </c>
      <c r="G3647" s="1">
        <v>634.64</v>
      </c>
      <c r="H3647" s="1" t="s">
        <v>8</v>
      </c>
      <c r="I3647" t="str">
        <f t="shared" si="56"/>
        <v>BLUE CIRCLES DESIGN MONKEY DOLL [84507C]</v>
      </c>
    </row>
    <row r="3648" spans="1:9" x14ac:dyDescent="0.3">
      <c r="A3648" s="1" t="s">
        <v>2062</v>
      </c>
      <c r="B3648" t="s">
        <v>2061</v>
      </c>
      <c r="C3648" s="1">
        <v>2.12</v>
      </c>
      <c r="D3648" s="1">
        <v>146.5</v>
      </c>
      <c r="E3648" s="2">
        <v>173.136363636363</v>
      </c>
      <c r="F3648" s="1">
        <v>22</v>
      </c>
      <c r="G3648" s="1">
        <v>8091.48</v>
      </c>
      <c r="H3648" s="1" t="s">
        <v>10</v>
      </c>
      <c r="I3648" t="str">
        <f t="shared" si="56"/>
        <v>CAMOFLAGE DESIGN TEDDY [84508A]</v>
      </c>
    </row>
    <row r="3649" spans="1:9" x14ac:dyDescent="0.3">
      <c r="A3649" s="1" t="s">
        <v>2060</v>
      </c>
      <c r="B3649" t="s">
        <v>2059</v>
      </c>
      <c r="C3649" s="1">
        <v>2.5499999999999998</v>
      </c>
      <c r="D3649" s="1">
        <v>6</v>
      </c>
      <c r="E3649" s="2">
        <v>7.3478260869565197</v>
      </c>
      <c r="F3649" s="1">
        <v>23</v>
      </c>
      <c r="G3649" s="1">
        <v>453.76</v>
      </c>
      <c r="H3649" s="1" t="s">
        <v>8</v>
      </c>
      <c r="I3649" t="str">
        <f t="shared" si="56"/>
        <v>STRIPES DESIGN TEDDY [84508B]</v>
      </c>
    </row>
    <row r="3650" spans="1:9" x14ac:dyDescent="0.3">
      <c r="A3650" s="1" t="s">
        <v>2058</v>
      </c>
      <c r="B3650" t="s">
        <v>2057</v>
      </c>
      <c r="C3650" s="1">
        <v>2.5499999999999998</v>
      </c>
      <c r="D3650" s="1">
        <v>5</v>
      </c>
      <c r="E3650" s="2">
        <v>4.9047619047618998</v>
      </c>
      <c r="F3650" s="1">
        <v>21</v>
      </c>
      <c r="G3650" s="1">
        <v>279.82</v>
      </c>
      <c r="H3650" s="1" t="s">
        <v>8</v>
      </c>
      <c r="I3650" t="str">
        <f t="shared" si="56"/>
        <v>BLUE CIRCLES DESIGN TEDDY [84508C]</v>
      </c>
    </row>
    <row r="3651" spans="1:9" x14ac:dyDescent="0.3">
      <c r="A3651" s="1" t="s">
        <v>2056</v>
      </c>
      <c r="B3651" t="s">
        <v>2046</v>
      </c>
      <c r="C3651" s="1">
        <v>4.085</v>
      </c>
      <c r="D3651" s="1">
        <v>51</v>
      </c>
      <c r="E3651" s="2">
        <v>58.576923076923002</v>
      </c>
      <c r="F3651" s="1">
        <v>25</v>
      </c>
      <c r="G3651" s="1">
        <v>5897.79</v>
      </c>
      <c r="H3651" s="1" t="s">
        <v>9</v>
      </c>
      <c r="I3651" t="str">
        <f t="shared" ref="I3651:I3714" si="57">B3651&amp;" ["&amp;A3651&amp;"]"</f>
        <v>ENGLISH ROSE PLACEMATS [84509A]</v>
      </c>
    </row>
    <row r="3652" spans="1:9" x14ac:dyDescent="0.3">
      <c r="A3652" s="1" t="s">
        <v>2055</v>
      </c>
      <c r="B3652" t="s">
        <v>2048</v>
      </c>
      <c r="C3652" s="1">
        <v>3.75</v>
      </c>
      <c r="D3652" s="1">
        <v>19.5</v>
      </c>
      <c r="E3652" s="2">
        <v>24.9615384615384</v>
      </c>
      <c r="F3652" s="1">
        <v>25</v>
      </c>
      <c r="G3652" s="1">
        <v>2452.67</v>
      </c>
      <c r="H3652" s="1" t="s">
        <v>9</v>
      </c>
      <c r="I3652" t="str">
        <f t="shared" si="57"/>
        <v>FAIRY CAKE PLACEMATS [84509B]</v>
      </c>
    </row>
    <row r="3653" spans="1:9" x14ac:dyDescent="0.3">
      <c r="A3653" s="1" t="s">
        <v>2054</v>
      </c>
      <c r="B3653" t="s">
        <v>2043</v>
      </c>
      <c r="C3653" s="1">
        <v>3.75</v>
      </c>
      <c r="D3653" s="1">
        <v>6</v>
      </c>
      <c r="E3653" s="2">
        <v>10.6538461538461</v>
      </c>
      <c r="F3653" s="1">
        <v>25</v>
      </c>
      <c r="G3653" s="1">
        <v>1085.96</v>
      </c>
      <c r="H3653" s="1" t="s">
        <v>8</v>
      </c>
      <c r="I3653" t="str">
        <f t="shared" si="57"/>
        <v>DOTTY PLACEMATS [84509C]</v>
      </c>
    </row>
    <row r="3654" spans="1:9" x14ac:dyDescent="0.3">
      <c r="A3654" s="1" t="s">
        <v>2053</v>
      </c>
      <c r="B3654" t="s">
        <v>2052</v>
      </c>
      <c r="C3654" s="1">
        <v>3.75</v>
      </c>
      <c r="D3654" s="1">
        <v>2</v>
      </c>
      <c r="E3654" s="1">
        <v>9.8000000000000007</v>
      </c>
      <c r="F3654" s="1">
        <v>15</v>
      </c>
      <c r="G3654" s="1">
        <v>312.3</v>
      </c>
      <c r="H3654" s="1" t="s">
        <v>8</v>
      </c>
      <c r="I3654" t="str">
        <f t="shared" si="57"/>
        <v>CAROUSEL PLACEMATS [84509E]</v>
      </c>
    </row>
    <row r="3655" spans="1:9" x14ac:dyDescent="0.3">
      <c r="A3655" s="1" t="s">
        <v>2051</v>
      </c>
      <c r="B3655" t="s">
        <v>2050</v>
      </c>
      <c r="C3655" s="1">
        <v>3.75</v>
      </c>
      <c r="D3655" s="1">
        <v>8</v>
      </c>
      <c r="E3655" s="1">
        <v>8.5</v>
      </c>
      <c r="F3655" s="1">
        <v>11</v>
      </c>
      <c r="G3655" s="1">
        <v>401.85</v>
      </c>
      <c r="H3655" s="1" t="s">
        <v>8</v>
      </c>
      <c r="I3655" t="str">
        <f t="shared" si="57"/>
        <v>NEW ENGLAND PLACEMATS [84509F]</v>
      </c>
    </row>
    <row r="3656" spans="1:9" x14ac:dyDescent="0.3">
      <c r="A3656" s="1" t="s">
        <v>2049</v>
      </c>
      <c r="B3656" t="s">
        <v>2048</v>
      </c>
      <c r="C3656" s="1">
        <v>3.75</v>
      </c>
      <c r="D3656" s="1">
        <v>18</v>
      </c>
      <c r="E3656" s="2">
        <v>33.4166666666666</v>
      </c>
      <c r="F3656" s="1">
        <v>24</v>
      </c>
      <c r="G3656" s="1">
        <v>2045.45</v>
      </c>
      <c r="H3656" s="1" t="s">
        <v>9</v>
      </c>
      <c r="I3656" t="str">
        <f t="shared" si="57"/>
        <v>FAIRY CAKE PLACEMATS [84509G]</v>
      </c>
    </row>
    <row r="3657" spans="1:9" x14ac:dyDescent="0.3">
      <c r="A3657" s="1" t="s">
        <v>2047</v>
      </c>
      <c r="B3657" t="s">
        <v>2046</v>
      </c>
      <c r="C3657" s="1">
        <v>7.46</v>
      </c>
      <c r="D3657" s="1">
        <v>7</v>
      </c>
      <c r="E3657" s="2">
        <v>8.0714285714285694</v>
      </c>
      <c r="F3657" s="1">
        <v>14</v>
      </c>
      <c r="G3657" s="1">
        <v>844.74</v>
      </c>
      <c r="H3657" s="1" t="s">
        <v>8</v>
      </c>
      <c r="I3657" t="str">
        <f t="shared" si="57"/>
        <v>ENGLISH ROSE PLACEMATS [84509a]</v>
      </c>
    </row>
    <row r="3658" spans="1:9" x14ac:dyDescent="0.3">
      <c r="A3658" s="1" t="s">
        <v>2045</v>
      </c>
      <c r="B3658" t="s">
        <v>2039</v>
      </c>
      <c r="C3658" s="1">
        <v>7.46</v>
      </c>
      <c r="D3658" s="1">
        <v>1</v>
      </c>
      <c r="E3658" s="1">
        <v>1.25</v>
      </c>
      <c r="F3658" s="1">
        <v>4</v>
      </c>
      <c r="G3658" s="1">
        <v>37.299999999999997</v>
      </c>
      <c r="H3658" s="1" t="s">
        <v>8</v>
      </c>
      <c r="I3658" t="str">
        <f t="shared" si="57"/>
        <v>SET OF 4 FAIRY CAKE PLACEMATS [84509b]</v>
      </c>
    </row>
    <row r="3659" spans="1:9" x14ac:dyDescent="0.3">
      <c r="A3659" s="1" t="s">
        <v>2044</v>
      </c>
      <c r="B3659" t="s">
        <v>2043</v>
      </c>
      <c r="C3659" s="1">
        <v>7.46</v>
      </c>
      <c r="D3659" s="1">
        <v>3</v>
      </c>
      <c r="E3659" s="2">
        <v>3.5263157894736801</v>
      </c>
      <c r="F3659" s="1">
        <v>19</v>
      </c>
      <c r="G3659" s="1">
        <v>505.26</v>
      </c>
      <c r="H3659" s="1" t="s">
        <v>8</v>
      </c>
      <c r="I3659" t="str">
        <f t="shared" si="57"/>
        <v>DOTTY PLACEMATS [84509c]</v>
      </c>
    </row>
    <row r="3660" spans="1:9" x14ac:dyDescent="0.3">
      <c r="A3660" s="1" t="s">
        <v>2042</v>
      </c>
      <c r="B3660" t="s">
        <v>2041</v>
      </c>
      <c r="C3660" s="1">
        <v>7.62</v>
      </c>
      <c r="D3660" s="1">
        <v>2</v>
      </c>
      <c r="E3660" s="1">
        <v>2</v>
      </c>
      <c r="F3660" s="1">
        <v>1</v>
      </c>
      <c r="G3660" s="1">
        <v>15.24</v>
      </c>
      <c r="H3660" s="1" t="s">
        <v>8</v>
      </c>
      <c r="I3660" t="str">
        <f t="shared" si="57"/>
        <v>SET OF 4 CAROUSEL PLACEMATS [84509e]</v>
      </c>
    </row>
    <row r="3661" spans="1:9" x14ac:dyDescent="0.3">
      <c r="A3661" s="1" t="s">
        <v>2040</v>
      </c>
      <c r="B3661" t="s">
        <v>2039</v>
      </c>
      <c r="C3661" s="1">
        <v>7.46</v>
      </c>
      <c r="D3661" s="1">
        <v>2</v>
      </c>
      <c r="E3661" s="1">
        <v>2</v>
      </c>
      <c r="F3661" s="1">
        <v>1</v>
      </c>
      <c r="G3661" s="1">
        <v>14.92</v>
      </c>
      <c r="H3661" s="1" t="s">
        <v>8</v>
      </c>
      <c r="I3661" t="str">
        <f t="shared" si="57"/>
        <v>SET OF 4 FAIRY CAKE PLACEMATS [84509g]</v>
      </c>
    </row>
    <row r="3662" spans="1:9" x14ac:dyDescent="0.3">
      <c r="A3662" s="1" t="s">
        <v>2038</v>
      </c>
      <c r="B3662" t="s">
        <v>2031</v>
      </c>
      <c r="C3662" s="1">
        <v>1.36</v>
      </c>
      <c r="D3662" s="1">
        <v>94</v>
      </c>
      <c r="E3662" s="1">
        <v>96.08</v>
      </c>
      <c r="F3662" s="1">
        <v>25</v>
      </c>
      <c r="G3662" s="1">
        <v>3254.14</v>
      </c>
      <c r="H3662" s="1" t="s">
        <v>10</v>
      </c>
      <c r="I3662" t="str">
        <f t="shared" si="57"/>
        <v>SET OF 4 ENGLISH ROSE COASTERS [84510A]</v>
      </c>
    </row>
    <row r="3663" spans="1:9" x14ac:dyDescent="0.3">
      <c r="A3663" s="1" t="s">
        <v>2037</v>
      </c>
      <c r="B3663" t="s">
        <v>2029</v>
      </c>
      <c r="C3663" s="1">
        <v>1.25</v>
      </c>
      <c r="D3663" s="1">
        <v>144</v>
      </c>
      <c r="E3663" s="1">
        <v>146.375</v>
      </c>
      <c r="F3663" s="1">
        <v>8</v>
      </c>
      <c r="G3663" s="1">
        <v>1481.05</v>
      </c>
      <c r="H3663" s="1" t="s">
        <v>10</v>
      </c>
      <c r="I3663" t="str">
        <f t="shared" si="57"/>
        <v>SET OF 4 FAIRY CAKES COASTERS [84510B]</v>
      </c>
    </row>
    <row r="3664" spans="1:9" x14ac:dyDescent="0.3">
      <c r="A3664" s="1" t="s">
        <v>2036</v>
      </c>
      <c r="B3664" t="s">
        <v>2027</v>
      </c>
      <c r="C3664" s="1">
        <v>1.5249999999999999</v>
      </c>
      <c r="D3664" s="1">
        <v>7</v>
      </c>
      <c r="E3664" s="2">
        <v>10.538461538461499</v>
      </c>
      <c r="F3664" s="1">
        <v>25</v>
      </c>
      <c r="G3664" s="2">
        <v>401.59</v>
      </c>
      <c r="H3664" s="1" t="s">
        <v>8</v>
      </c>
      <c r="I3664" t="str">
        <f t="shared" si="57"/>
        <v>SET OF 4 POLKADOTS COASTERS [84510C]</v>
      </c>
    </row>
    <row r="3665" spans="1:9" x14ac:dyDescent="0.3">
      <c r="A3665" s="1" t="s">
        <v>2035</v>
      </c>
      <c r="B3665" t="s">
        <v>2025</v>
      </c>
      <c r="C3665" s="1">
        <v>1.9350000000000001</v>
      </c>
      <c r="D3665" s="1">
        <v>2</v>
      </c>
      <c r="E3665" s="1">
        <v>2.6875</v>
      </c>
      <c r="F3665" s="1">
        <v>16</v>
      </c>
      <c r="G3665" s="1">
        <v>78.72</v>
      </c>
      <c r="H3665" s="1" t="s">
        <v>8</v>
      </c>
      <c r="I3665" t="str">
        <f t="shared" si="57"/>
        <v>SET OF 4 GREEN CAROUSEL COASTERS [84510E]</v>
      </c>
    </row>
    <row r="3666" spans="1:9" x14ac:dyDescent="0.3">
      <c r="A3666" s="1" t="s">
        <v>2034</v>
      </c>
      <c r="B3666" t="s">
        <v>2033</v>
      </c>
      <c r="C3666" s="1">
        <v>1.25</v>
      </c>
      <c r="D3666" s="1">
        <v>12</v>
      </c>
      <c r="E3666" s="2">
        <v>10.5555555555555</v>
      </c>
      <c r="F3666" s="1">
        <v>9</v>
      </c>
      <c r="G3666" s="2">
        <v>126.49</v>
      </c>
      <c r="H3666" s="1" t="s">
        <v>9</v>
      </c>
      <c r="I3666" t="str">
        <f t="shared" si="57"/>
        <v>SET OF 4 NEW ENGLAND COASTERS [84510F]</v>
      </c>
    </row>
    <row r="3667" spans="1:9" x14ac:dyDescent="0.3">
      <c r="A3667" s="1" t="s">
        <v>2032</v>
      </c>
      <c r="B3667" t="s">
        <v>2031</v>
      </c>
      <c r="C3667" s="1">
        <v>2.5099999999999998</v>
      </c>
      <c r="D3667" s="1">
        <v>3</v>
      </c>
      <c r="E3667" s="2">
        <v>5.7692307692307603</v>
      </c>
      <c r="F3667" s="1">
        <v>13</v>
      </c>
      <c r="G3667" s="1">
        <v>185.7</v>
      </c>
      <c r="H3667" s="1" t="s">
        <v>8</v>
      </c>
      <c r="I3667" t="str">
        <f t="shared" si="57"/>
        <v>SET OF 4 ENGLISH ROSE COASTERS [84510a]</v>
      </c>
    </row>
    <row r="3668" spans="1:9" x14ac:dyDescent="0.3">
      <c r="A3668" s="1" t="s">
        <v>2030</v>
      </c>
      <c r="B3668" t="s">
        <v>2029</v>
      </c>
      <c r="C3668" s="1">
        <v>2.15</v>
      </c>
      <c r="D3668" s="1">
        <v>1</v>
      </c>
      <c r="E3668" s="1">
        <v>1</v>
      </c>
      <c r="F3668" s="1">
        <v>1</v>
      </c>
      <c r="G3668" s="1">
        <v>2.15</v>
      </c>
      <c r="H3668" s="1" t="s">
        <v>8</v>
      </c>
      <c r="I3668" t="str">
        <f t="shared" si="57"/>
        <v>SET OF 4 FAIRY CAKES COASTERS [84510b]</v>
      </c>
    </row>
    <row r="3669" spans="1:9" x14ac:dyDescent="0.3">
      <c r="A3669" s="1" t="s">
        <v>2028</v>
      </c>
      <c r="B3669" t="s">
        <v>2027</v>
      </c>
      <c r="C3669" s="1">
        <v>2.46</v>
      </c>
      <c r="D3669" s="1">
        <v>3</v>
      </c>
      <c r="E3669" s="2">
        <v>4.3076923076923004</v>
      </c>
      <c r="F3669" s="1">
        <v>13</v>
      </c>
      <c r="G3669" s="2">
        <v>138.85999999999899</v>
      </c>
      <c r="H3669" s="1" t="s">
        <v>8</v>
      </c>
      <c r="I3669" t="str">
        <f t="shared" si="57"/>
        <v>SET OF 4 POLKADOTS COASTERS [84510c]</v>
      </c>
    </row>
    <row r="3670" spans="1:9" x14ac:dyDescent="0.3">
      <c r="A3670" s="1" t="s">
        <v>2026</v>
      </c>
      <c r="B3670" t="s">
        <v>2025</v>
      </c>
      <c r="C3670" s="1">
        <v>2.5099999999999998</v>
      </c>
      <c r="D3670" s="1">
        <v>1.5</v>
      </c>
      <c r="E3670" s="2">
        <v>2.3333333333333299</v>
      </c>
      <c r="F3670" s="1">
        <v>6</v>
      </c>
      <c r="G3670" s="1">
        <v>35.090000000000003</v>
      </c>
      <c r="H3670" s="1" t="s">
        <v>8</v>
      </c>
      <c r="I3670" t="str">
        <f t="shared" si="57"/>
        <v>SET OF 4 GREEN CAROUSEL COASTERS [84510e]</v>
      </c>
    </row>
    <row r="3671" spans="1:9" x14ac:dyDescent="0.3">
      <c r="A3671" s="1" t="s">
        <v>2024</v>
      </c>
      <c r="B3671" t="s">
        <v>2023</v>
      </c>
      <c r="C3671" s="1">
        <v>2.6</v>
      </c>
      <c r="D3671" s="1">
        <v>46</v>
      </c>
      <c r="E3671" s="1">
        <v>48</v>
      </c>
      <c r="F3671" s="1">
        <v>25</v>
      </c>
      <c r="G3671" s="1">
        <v>2788.45</v>
      </c>
      <c r="H3671" s="1" t="s">
        <v>9</v>
      </c>
      <c r="I3671" t="str">
        <f t="shared" si="57"/>
        <v>TOMATO CHARLIE+LOLA COASTER SET [84519A]</v>
      </c>
    </row>
    <row r="3672" spans="1:9" x14ac:dyDescent="0.3">
      <c r="A3672" s="1" t="s">
        <v>2022</v>
      </c>
      <c r="B3672" t="s">
        <v>2021</v>
      </c>
      <c r="C3672" s="1">
        <v>2.42</v>
      </c>
      <c r="D3672" s="1">
        <v>22.5</v>
      </c>
      <c r="E3672" s="2">
        <v>36.0416666666666</v>
      </c>
      <c r="F3672" s="1">
        <v>24</v>
      </c>
      <c r="G3672" s="1">
        <v>1883.79</v>
      </c>
      <c r="H3672" s="1" t="s">
        <v>9</v>
      </c>
      <c r="I3672" t="str">
        <f t="shared" si="57"/>
        <v>CARROT CHARLIE+LOLA COASTER SET [84519B]</v>
      </c>
    </row>
    <row r="3673" spans="1:9" x14ac:dyDescent="0.3">
      <c r="A3673" s="1" t="s">
        <v>2020</v>
      </c>
      <c r="B3673" t="s">
        <v>2016</v>
      </c>
      <c r="C3673" s="1">
        <v>0.88500000000000001</v>
      </c>
      <c r="D3673" s="1">
        <v>333.5</v>
      </c>
      <c r="E3673" s="1">
        <v>461.875</v>
      </c>
      <c r="F3673" s="1">
        <v>16</v>
      </c>
      <c r="G3673" s="1">
        <v>6321.62</v>
      </c>
      <c r="H3673" s="1" t="s">
        <v>10</v>
      </c>
      <c r="I3673" t="str">
        <f t="shared" si="57"/>
        <v>PACK 20 ENGLISH ROSE PAPER NAPKINS [84520B]</v>
      </c>
    </row>
    <row r="3674" spans="1:9" x14ac:dyDescent="0.3">
      <c r="A3674" s="1" t="s">
        <v>2019</v>
      </c>
      <c r="B3674" t="s">
        <v>2018</v>
      </c>
      <c r="C3674" s="1">
        <v>0.92</v>
      </c>
      <c r="D3674" s="1">
        <v>199</v>
      </c>
      <c r="E3674" s="1">
        <v>233</v>
      </c>
      <c r="F3674" s="1">
        <v>3</v>
      </c>
      <c r="G3674" s="1">
        <v>639.47</v>
      </c>
      <c r="H3674" s="1" t="s">
        <v>10</v>
      </c>
      <c r="I3674" t="str">
        <f t="shared" si="57"/>
        <v>PACK OF 20 FAIRY CAKE PAPER NAPKINS [84520D]</v>
      </c>
    </row>
    <row r="3675" spans="1:9" x14ac:dyDescent="0.3">
      <c r="A3675" s="1" t="s">
        <v>2017</v>
      </c>
      <c r="B3675" t="s">
        <v>2016</v>
      </c>
      <c r="C3675" s="1">
        <v>2.085</v>
      </c>
      <c r="D3675" s="1">
        <v>13.5</v>
      </c>
      <c r="E3675" s="1">
        <v>27.5</v>
      </c>
      <c r="F3675" s="1">
        <v>4</v>
      </c>
      <c r="G3675" s="1">
        <v>257.39999999999998</v>
      </c>
      <c r="H3675" s="1" t="s">
        <v>9</v>
      </c>
      <c r="I3675" t="str">
        <f t="shared" si="57"/>
        <v>PACK 20 ENGLISH ROSE PAPER NAPKINS [84520b]</v>
      </c>
    </row>
    <row r="3676" spans="1:9" x14ac:dyDescent="0.3">
      <c r="A3676" s="1">
        <v>84522</v>
      </c>
      <c r="B3676" t="s">
        <v>2015</v>
      </c>
      <c r="C3676" s="1">
        <v>1.95</v>
      </c>
      <c r="D3676" s="1">
        <v>3</v>
      </c>
      <c r="E3676" s="2">
        <v>10.9411764705882</v>
      </c>
      <c r="F3676" s="1">
        <v>17</v>
      </c>
      <c r="G3676" s="1">
        <v>311.86</v>
      </c>
      <c r="H3676" s="1" t="s">
        <v>8</v>
      </c>
      <c r="I3676" t="str">
        <f t="shared" si="57"/>
        <v>PINK PARTY SUNGLASSES [84522]</v>
      </c>
    </row>
    <row r="3677" spans="1:9" x14ac:dyDescent="0.3">
      <c r="A3677" s="1">
        <v>84526</v>
      </c>
      <c r="B3677" t="s">
        <v>2014</v>
      </c>
      <c r="C3677" s="1">
        <v>1.95</v>
      </c>
      <c r="D3677" s="1">
        <v>7</v>
      </c>
      <c r="E3677" s="2">
        <v>44.8333333333333</v>
      </c>
      <c r="F3677" s="1">
        <v>12</v>
      </c>
      <c r="G3677" s="2">
        <v>1503.6399999999901</v>
      </c>
      <c r="H3677" s="1" t="s">
        <v>8</v>
      </c>
      <c r="I3677" t="str">
        <f t="shared" si="57"/>
        <v>GIANT BLACK SUNGLASSES [84526]</v>
      </c>
    </row>
    <row r="3678" spans="1:9" x14ac:dyDescent="0.3">
      <c r="A3678" s="1">
        <v>84527</v>
      </c>
      <c r="B3678" t="s">
        <v>2013</v>
      </c>
      <c r="C3678" s="1">
        <v>1.95</v>
      </c>
      <c r="D3678" s="1">
        <v>2</v>
      </c>
      <c r="E3678" s="2">
        <v>5.9230769230769198</v>
      </c>
      <c r="F3678" s="1">
        <v>13</v>
      </c>
      <c r="G3678" s="2">
        <v>146.10999999999899</v>
      </c>
      <c r="H3678" s="1" t="s">
        <v>8</v>
      </c>
      <c r="I3678" t="str">
        <f t="shared" si="57"/>
        <v>FLAMES SUNGLASSES PINK LENSES [84527]</v>
      </c>
    </row>
    <row r="3679" spans="1:9" x14ac:dyDescent="0.3">
      <c r="A3679" s="1" t="s">
        <v>2012</v>
      </c>
      <c r="B3679" t="s">
        <v>2011</v>
      </c>
      <c r="C3679" s="1">
        <v>6.75</v>
      </c>
      <c r="D3679" s="1">
        <v>3</v>
      </c>
      <c r="E3679" s="1">
        <v>10</v>
      </c>
      <c r="F3679" s="1">
        <v>5</v>
      </c>
      <c r="G3679" s="2">
        <v>290.77999999999997</v>
      </c>
      <c r="H3679" s="1" t="s">
        <v>8</v>
      </c>
      <c r="I3679" t="str">
        <f t="shared" si="57"/>
        <v>PINK KNITTED KIDS RUCKSACK [84529A]</v>
      </c>
    </row>
    <row r="3680" spans="1:9" x14ac:dyDescent="0.3">
      <c r="A3680" s="1" t="s">
        <v>2010</v>
      </c>
      <c r="B3680" t="s">
        <v>2009</v>
      </c>
      <c r="C3680" s="1">
        <v>6.75</v>
      </c>
      <c r="D3680" s="1">
        <v>2</v>
      </c>
      <c r="E3680" s="2">
        <v>4.3333333333333304</v>
      </c>
      <c r="F3680" s="1">
        <v>3</v>
      </c>
      <c r="G3680" s="1">
        <v>62.35</v>
      </c>
      <c r="H3680" s="1" t="s">
        <v>8</v>
      </c>
      <c r="I3680" t="str">
        <f t="shared" si="57"/>
        <v>BLUE KNITTED KID'S RUCKSACK [84529B]</v>
      </c>
    </row>
    <row r="3681" spans="1:9" x14ac:dyDescent="0.3">
      <c r="A3681" s="1" t="s">
        <v>2008</v>
      </c>
      <c r="B3681" t="s">
        <v>2007</v>
      </c>
      <c r="C3681" s="2">
        <v>5.9049999999999896</v>
      </c>
      <c r="D3681" s="1">
        <v>11.5</v>
      </c>
      <c r="E3681" s="1">
        <v>13</v>
      </c>
      <c r="F3681" s="1">
        <v>6</v>
      </c>
      <c r="G3681" s="1">
        <v>414.74</v>
      </c>
      <c r="H3681" s="1" t="s">
        <v>9</v>
      </c>
      <c r="I3681" t="str">
        <f t="shared" si="57"/>
        <v>YELLOW KNITTED KIDS RUCKSACK [84529C]</v>
      </c>
    </row>
    <row r="3682" spans="1:9" x14ac:dyDescent="0.3">
      <c r="A3682" s="1" t="s">
        <v>2006</v>
      </c>
      <c r="B3682" t="s">
        <v>2005</v>
      </c>
      <c r="C3682" s="1">
        <v>1.95</v>
      </c>
      <c r="D3682" s="1">
        <v>4</v>
      </c>
      <c r="E3682" s="1">
        <v>5</v>
      </c>
      <c r="F3682" s="1">
        <v>11</v>
      </c>
      <c r="G3682" s="2">
        <v>114.119999999999</v>
      </c>
      <c r="H3682" s="1" t="s">
        <v>8</v>
      </c>
      <c r="I3682" t="str">
        <f t="shared" si="57"/>
        <v>PINK KNITTED EGG COSY [84531A]</v>
      </c>
    </row>
    <row r="3683" spans="1:9" x14ac:dyDescent="0.3">
      <c r="A3683" s="1" t="s">
        <v>2004</v>
      </c>
      <c r="B3683" t="s">
        <v>2003</v>
      </c>
      <c r="C3683" s="1">
        <v>1.95</v>
      </c>
      <c r="D3683" s="1">
        <v>3</v>
      </c>
      <c r="E3683" s="1">
        <v>4</v>
      </c>
      <c r="F3683" s="1">
        <v>12</v>
      </c>
      <c r="G3683" s="1">
        <v>95.95</v>
      </c>
      <c r="H3683" s="1" t="s">
        <v>8</v>
      </c>
      <c r="I3683" t="str">
        <f t="shared" si="57"/>
        <v>BLUE KNITTED EGG COSY [84531B]</v>
      </c>
    </row>
    <row r="3684" spans="1:9" x14ac:dyDescent="0.3">
      <c r="A3684" s="1" t="s">
        <v>2002</v>
      </c>
      <c r="B3684" t="s">
        <v>2001</v>
      </c>
      <c r="C3684" s="2">
        <v>7.8599999999999897</v>
      </c>
      <c r="D3684" s="1">
        <v>14</v>
      </c>
      <c r="E3684" s="1">
        <v>13.5</v>
      </c>
      <c r="F3684" s="1">
        <v>4</v>
      </c>
      <c r="G3684" s="2">
        <v>417.58</v>
      </c>
      <c r="H3684" s="1" t="s">
        <v>9</v>
      </c>
      <c r="I3684" t="str">
        <f t="shared" si="57"/>
        <v>FAIRY CAKES RECTANGLUAR BOXES [84532B]</v>
      </c>
    </row>
    <row r="3685" spans="1:9" x14ac:dyDescent="0.3">
      <c r="A3685" s="1" t="s">
        <v>2000</v>
      </c>
      <c r="B3685" t="s">
        <v>1999</v>
      </c>
      <c r="C3685" s="1">
        <v>6.7050000000000001</v>
      </c>
      <c r="D3685" s="1">
        <v>13.5</v>
      </c>
      <c r="E3685" s="1">
        <v>14.75</v>
      </c>
      <c r="F3685" s="1">
        <v>4</v>
      </c>
      <c r="G3685" s="1">
        <v>377.93</v>
      </c>
      <c r="H3685" s="1" t="s">
        <v>9</v>
      </c>
      <c r="I3685" t="str">
        <f t="shared" si="57"/>
        <v>FAIRY CAKES ROUND NESTING BOXES [84533B]</v>
      </c>
    </row>
    <row r="3686" spans="1:9" x14ac:dyDescent="0.3">
      <c r="A3686" s="1" t="s">
        <v>1998</v>
      </c>
      <c r="B3686" t="s">
        <v>1996</v>
      </c>
      <c r="C3686" s="1">
        <v>0.94</v>
      </c>
      <c r="D3686" s="1">
        <v>59</v>
      </c>
      <c r="E3686" s="2">
        <v>58.428571428571402</v>
      </c>
      <c r="F3686" s="1">
        <v>14</v>
      </c>
      <c r="G3686" s="1">
        <v>774.71</v>
      </c>
      <c r="H3686" s="1" t="s">
        <v>9</v>
      </c>
      <c r="I3686" t="str">
        <f t="shared" si="57"/>
        <v>FAIRY CAKE NOTEBOOK A5 SIZE [84534B]</v>
      </c>
    </row>
    <row r="3687" spans="1:9" x14ac:dyDescent="0.3">
      <c r="A3687" s="1" t="s">
        <v>1997</v>
      </c>
      <c r="B3687" t="s">
        <v>1996</v>
      </c>
      <c r="C3687" s="1">
        <v>1.66</v>
      </c>
      <c r="D3687" s="1">
        <v>2</v>
      </c>
      <c r="E3687" s="2">
        <v>1.6666666666666601</v>
      </c>
      <c r="F3687" s="1">
        <v>3</v>
      </c>
      <c r="G3687" s="2">
        <v>8.2999999999999901</v>
      </c>
      <c r="H3687" s="1" t="s">
        <v>8</v>
      </c>
      <c r="I3687" t="str">
        <f t="shared" si="57"/>
        <v>FAIRY CAKE NOTEBOOK A5 SIZE [84534b]</v>
      </c>
    </row>
    <row r="3688" spans="1:9" x14ac:dyDescent="0.3">
      <c r="A3688" s="1" t="s">
        <v>1995</v>
      </c>
      <c r="B3688" t="s">
        <v>1994</v>
      </c>
      <c r="C3688" s="1">
        <v>0.67500000000000004</v>
      </c>
      <c r="D3688" s="1">
        <v>40.5</v>
      </c>
      <c r="E3688" s="2">
        <v>101.166666666666</v>
      </c>
      <c r="F3688" s="1">
        <v>6</v>
      </c>
      <c r="G3688" s="1">
        <v>346.93</v>
      </c>
      <c r="H3688" s="1" t="s">
        <v>9</v>
      </c>
      <c r="I3688" t="str">
        <f t="shared" si="57"/>
        <v>ENGLISH ROSE NOTEBOOK A6 SIZE [84535A]</v>
      </c>
    </row>
    <row r="3689" spans="1:9" x14ac:dyDescent="0.3">
      <c r="A3689" s="1" t="s">
        <v>1993</v>
      </c>
      <c r="B3689" t="s">
        <v>1992</v>
      </c>
      <c r="C3689" s="1">
        <v>0.69</v>
      </c>
      <c r="D3689" s="1">
        <v>86</v>
      </c>
      <c r="E3689" s="1">
        <v>107.44</v>
      </c>
      <c r="F3689" s="1">
        <v>25</v>
      </c>
      <c r="G3689" s="1">
        <v>1747.76</v>
      </c>
      <c r="H3689" s="1" t="s">
        <v>10</v>
      </c>
      <c r="I3689" t="str">
        <f t="shared" si="57"/>
        <v>FAIRY CAKES NOTEBOOK A6 SIZE [84535B]</v>
      </c>
    </row>
    <row r="3690" spans="1:9" x14ac:dyDescent="0.3">
      <c r="A3690" s="1" t="s">
        <v>1991</v>
      </c>
      <c r="B3690" t="s">
        <v>1988</v>
      </c>
      <c r="C3690" s="1">
        <v>0.45</v>
      </c>
      <c r="D3690" s="1">
        <v>197</v>
      </c>
      <c r="E3690" s="1">
        <v>203.08</v>
      </c>
      <c r="F3690" s="1">
        <v>25</v>
      </c>
      <c r="G3690" s="1">
        <v>2289.73</v>
      </c>
      <c r="H3690" s="1" t="s">
        <v>10</v>
      </c>
      <c r="I3690" t="str">
        <f t="shared" si="57"/>
        <v>ENGLISH ROSE NOTEBOOK A7 SIZE [84536A]</v>
      </c>
    </row>
    <row r="3691" spans="1:9" x14ac:dyDescent="0.3">
      <c r="A3691" s="1" t="s">
        <v>1990</v>
      </c>
      <c r="B3691" t="s">
        <v>1986</v>
      </c>
      <c r="C3691" s="1">
        <v>0.46</v>
      </c>
      <c r="D3691" s="1">
        <v>113</v>
      </c>
      <c r="E3691" s="1">
        <v>140.16</v>
      </c>
      <c r="F3691" s="1">
        <v>25</v>
      </c>
      <c r="G3691" s="1">
        <v>1561.49</v>
      </c>
      <c r="H3691" s="1" t="s">
        <v>10</v>
      </c>
      <c r="I3691" t="str">
        <f t="shared" si="57"/>
        <v>FAIRY CAKES NOTEBOOK A7 SIZE [84536B]</v>
      </c>
    </row>
    <row r="3692" spans="1:9" x14ac:dyDescent="0.3">
      <c r="A3692" s="1" t="s">
        <v>1989</v>
      </c>
      <c r="B3692" t="s">
        <v>1988</v>
      </c>
      <c r="C3692" s="1">
        <v>0.81</v>
      </c>
      <c r="D3692" s="1">
        <v>1</v>
      </c>
      <c r="E3692" s="2">
        <v>2.7777777777777701</v>
      </c>
      <c r="F3692" s="1">
        <v>9</v>
      </c>
      <c r="G3692" s="2">
        <v>19.97</v>
      </c>
      <c r="H3692" s="1" t="s">
        <v>8</v>
      </c>
      <c r="I3692" t="str">
        <f t="shared" si="57"/>
        <v>ENGLISH ROSE NOTEBOOK A7 SIZE [84536a]</v>
      </c>
    </row>
    <row r="3693" spans="1:9" x14ac:dyDescent="0.3">
      <c r="A3693" s="1" t="s">
        <v>1987</v>
      </c>
      <c r="B3693" t="s">
        <v>1986</v>
      </c>
      <c r="C3693" s="1">
        <v>0.81</v>
      </c>
      <c r="D3693" s="1">
        <v>1</v>
      </c>
      <c r="E3693" s="1">
        <v>2</v>
      </c>
      <c r="F3693" s="1">
        <v>4</v>
      </c>
      <c r="G3693" s="1">
        <v>6.48</v>
      </c>
      <c r="H3693" s="1" t="s">
        <v>8</v>
      </c>
      <c r="I3693" t="str">
        <f t="shared" si="57"/>
        <v>FAIRY CAKES NOTEBOOK A7 SIZE [84536b]</v>
      </c>
    </row>
    <row r="3694" spans="1:9" x14ac:dyDescent="0.3">
      <c r="A3694" s="1" t="s">
        <v>1985</v>
      </c>
      <c r="B3694" t="s">
        <v>1984</v>
      </c>
      <c r="C3694" s="1">
        <v>0.42</v>
      </c>
      <c r="D3694" s="1">
        <v>26</v>
      </c>
      <c r="E3694" s="1">
        <v>29.25</v>
      </c>
      <c r="F3694" s="1">
        <v>4</v>
      </c>
      <c r="G3694" s="1">
        <v>49.14</v>
      </c>
      <c r="H3694" s="1" t="s">
        <v>9</v>
      </c>
      <c r="I3694" t="str">
        <f t="shared" si="57"/>
        <v>FAIRY CAKES GIFT BAG [84537B]</v>
      </c>
    </row>
    <row r="3695" spans="1:9" x14ac:dyDescent="0.3">
      <c r="A3695" s="1">
        <v>84539</v>
      </c>
      <c r="B3695" t="s">
        <v>1983</v>
      </c>
      <c r="C3695" s="1">
        <v>1.65</v>
      </c>
      <c r="D3695" s="1">
        <v>3</v>
      </c>
      <c r="E3695" s="2">
        <v>6.1111111111111098</v>
      </c>
      <c r="F3695" s="1">
        <v>9</v>
      </c>
      <c r="G3695" s="1">
        <v>90.75</v>
      </c>
      <c r="H3695" s="1" t="s">
        <v>8</v>
      </c>
      <c r="I3695" t="str">
        <f t="shared" si="57"/>
        <v>KNITTED RABBIT DOLL [84539]</v>
      </c>
    </row>
    <row r="3696" spans="1:9" x14ac:dyDescent="0.3">
      <c r="A3696" s="1">
        <v>84546</v>
      </c>
      <c r="B3696" t="s">
        <v>1982</v>
      </c>
      <c r="C3696" s="1">
        <v>1.65</v>
      </c>
      <c r="D3696" s="1">
        <v>6</v>
      </c>
      <c r="E3696" s="1">
        <v>7</v>
      </c>
      <c r="F3696" s="1">
        <v>3</v>
      </c>
      <c r="G3696" s="1">
        <v>34.65</v>
      </c>
      <c r="H3696" s="1" t="s">
        <v>8</v>
      </c>
      <c r="I3696" t="str">
        <f t="shared" si="57"/>
        <v>CROCHET POODLE KEYRING [84546]</v>
      </c>
    </row>
    <row r="3697" spans="1:9" x14ac:dyDescent="0.3">
      <c r="A3697" s="1">
        <v>84548</v>
      </c>
      <c r="B3697" t="s">
        <v>1981</v>
      </c>
      <c r="C3697" s="1">
        <v>1.65</v>
      </c>
      <c r="D3697" s="1">
        <v>4</v>
      </c>
      <c r="E3697" s="2">
        <v>5.3333333333333304</v>
      </c>
      <c r="F3697" s="1">
        <v>9</v>
      </c>
      <c r="G3697" s="1">
        <v>79.2</v>
      </c>
      <c r="H3697" s="1" t="s">
        <v>8</v>
      </c>
      <c r="I3697" t="str">
        <f t="shared" si="57"/>
        <v>CROCHET BEAR RED/BLUE  KEYRING [84548]</v>
      </c>
    </row>
    <row r="3698" spans="1:9" x14ac:dyDescent="0.3">
      <c r="A3698" s="1">
        <v>84549</v>
      </c>
      <c r="B3698" t="s">
        <v>1980</v>
      </c>
      <c r="C3698" s="1">
        <v>1.855</v>
      </c>
      <c r="D3698" s="1">
        <v>4</v>
      </c>
      <c r="E3698" s="1">
        <v>6.25</v>
      </c>
      <c r="F3698" s="1">
        <v>12</v>
      </c>
      <c r="G3698" s="1">
        <v>137.27000000000001</v>
      </c>
      <c r="H3698" s="1" t="s">
        <v>8</v>
      </c>
      <c r="I3698" t="str">
        <f t="shared" si="57"/>
        <v>CROCHET WHITE RABBIT KEYRING [84549]</v>
      </c>
    </row>
    <row r="3699" spans="1:9" x14ac:dyDescent="0.3">
      <c r="A3699" s="1">
        <v>84550</v>
      </c>
      <c r="B3699" t="s">
        <v>1979</v>
      </c>
      <c r="C3699" s="1">
        <v>1.65</v>
      </c>
      <c r="D3699" s="1">
        <v>2</v>
      </c>
      <c r="E3699" s="1">
        <v>3</v>
      </c>
      <c r="F3699" s="1">
        <v>5</v>
      </c>
      <c r="G3699" s="1">
        <v>24.75</v>
      </c>
      <c r="H3699" s="1" t="s">
        <v>8</v>
      </c>
      <c r="I3699" t="str">
        <f t="shared" si="57"/>
        <v>CROCHET LILAC/RED BEAR KEYRING [84550]</v>
      </c>
    </row>
    <row r="3700" spans="1:9" x14ac:dyDescent="0.3">
      <c r="A3700" s="1">
        <v>84551</v>
      </c>
      <c r="B3700" t="s">
        <v>1978</v>
      </c>
      <c r="C3700" s="1">
        <v>1.65</v>
      </c>
      <c r="D3700" s="1">
        <v>5</v>
      </c>
      <c r="E3700" s="1">
        <v>6.5</v>
      </c>
      <c r="F3700" s="1">
        <v>6</v>
      </c>
      <c r="G3700" s="2">
        <v>64.349999999999994</v>
      </c>
      <c r="H3700" s="1" t="s">
        <v>8</v>
      </c>
      <c r="I3700" t="str">
        <f t="shared" si="57"/>
        <v>CROCHET DOG KEYRING [84551]</v>
      </c>
    </row>
    <row r="3701" spans="1:9" x14ac:dyDescent="0.3">
      <c r="A3701" s="1" t="s">
        <v>1977</v>
      </c>
      <c r="B3701" t="s">
        <v>1976</v>
      </c>
      <c r="C3701" s="1">
        <v>2.95</v>
      </c>
      <c r="D3701" s="1">
        <v>6</v>
      </c>
      <c r="E3701" s="1">
        <v>9.4</v>
      </c>
      <c r="F3701" s="1">
        <v>5</v>
      </c>
      <c r="G3701" s="1">
        <v>133.85</v>
      </c>
      <c r="H3701" s="1" t="s">
        <v>8</v>
      </c>
      <c r="I3701" t="str">
        <f t="shared" si="57"/>
        <v>YELLOW VW BEETLE CERAMIC MONEY BOX [84555A]</v>
      </c>
    </row>
    <row r="3702" spans="1:9" x14ac:dyDescent="0.3">
      <c r="A3702" s="1" t="s">
        <v>1975</v>
      </c>
      <c r="B3702" t="s">
        <v>1973</v>
      </c>
      <c r="C3702" s="1">
        <v>2.95</v>
      </c>
      <c r="D3702" s="1">
        <v>27</v>
      </c>
      <c r="E3702" s="2">
        <v>52.4583333333333</v>
      </c>
      <c r="F3702" s="1">
        <v>24</v>
      </c>
      <c r="G3702" s="1">
        <v>3628.11</v>
      </c>
      <c r="H3702" s="1" t="s">
        <v>9</v>
      </c>
      <c r="I3702" t="str">
        <f t="shared" si="57"/>
        <v>3D DOG PICTURE PLAYING CARDS [84558A]</v>
      </c>
    </row>
    <row r="3703" spans="1:9" x14ac:dyDescent="0.3">
      <c r="A3703" s="1" t="s">
        <v>1974</v>
      </c>
      <c r="B3703" t="s">
        <v>1973</v>
      </c>
      <c r="C3703" s="1">
        <v>5.91</v>
      </c>
      <c r="D3703" s="1">
        <v>1.5</v>
      </c>
      <c r="E3703" s="1">
        <v>2.625</v>
      </c>
      <c r="F3703" s="1">
        <v>8</v>
      </c>
      <c r="G3703" s="1">
        <v>125.17</v>
      </c>
      <c r="H3703" s="1" t="s">
        <v>8</v>
      </c>
      <c r="I3703" t="str">
        <f t="shared" si="57"/>
        <v>3D DOG PICTURE PLAYING CARDS [84558a]</v>
      </c>
    </row>
    <row r="3704" spans="1:9" x14ac:dyDescent="0.3">
      <c r="A3704" s="1" t="s">
        <v>1972</v>
      </c>
      <c r="B3704" t="s">
        <v>1968</v>
      </c>
      <c r="C3704" s="1">
        <v>0.88</v>
      </c>
      <c r="D3704" s="1">
        <v>40</v>
      </c>
      <c r="E3704" s="1">
        <v>52.84</v>
      </c>
      <c r="F3704" s="1">
        <v>25</v>
      </c>
      <c r="G3704" s="1">
        <v>1190.17</v>
      </c>
      <c r="H3704" s="1" t="s">
        <v>9</v>
      </c>
      <c r="I3704" t="str">
        <f t="shared" si="57"/>
        <v>3D SHEET OF DOG STICKERS [84559A]</v>
      </c>
    </row>
    <row r="3705" spans="1:9" x14ac:dyDescent="0.3">
      <c r="A3705" s="1" t="s">
        <v>1971</v>
      </c>
      <c r="B3705" t="s">
        <v>1966</v>
      </c>
      <c r="C3705" s="1">
        <v>0.86</v>
      </c>
      <c r="D3705" s="1">
        <v>41</v>
      </c>
      <c r="E3705" s="2">
        <v>49.9583333333333</v>
      </c>
      <c r="F3705" s="1">
        <v>24</v>
      </c>
      <c r="G3705" s="1">
        <v>1065.55</v>
      </c>
      <c r="H3705" s="1" t="s">
        <v>9</v>
      </c>
      <c r="I3705" t="str">
        <f t="shared" si="57"/>
        <v>3D SHEET OF CAT STICKERS [84559B]</v>
      </c>
    </row>
    <row r="3706" spans="1:9" x14ac:dyDescent="0.3">
      <c r="A3706" s="1" t="s">
        <v>1970</v>
      </c>
      <c r="B3706" t="s">
        <v>1964</v>
      </c>
      <c r="C3706" s="1">
        <v>0.85</v>
      </c>
      <c r="D3706" s="1">
        <v>11</v>
      </c>
      <c r="E3706" s="1">
        <v>14.7</v>
      </c>
      <c r="F3706" s="1">
        <v>10</v>
      </c>
      <c r="G3706" s="1">
        <v>126.71</v>
      </c>
      <c r="H3706" s="1" t="s">
        <v>9</v>
      </c>
      <c r="I3706" t="str">
        <f t="shared" si="57"/>
        <v>3D SHEET OF SEA WORLD STICKERS [84559D]</v>
      </c>
    </row>
    <row r="3707" spans="1:9" x14ac:dyDescent="0.3">
      <c r="A3707" s="1" t="s">
        <v>1969</v>
      </c>
      <c r="B3707" t="s">
        <v>1968</v>
      </c>
      <c r="C3707" s="1">
        <v>1.69</v>
      </c>
      <c r="D3707" s="1">
        <v>3</v>
      </c>
      <c r="E3707" s="2">
        <v>4.3846153846153797</v>
      </c>
      <c r="F3707" s="1">
        <v>13</v>
      </c>
      <c r="G3707" s="1">
        <v>95.7</v>
      </c>
      <c r="H3707" s="1" t="s">
        <v>8</v>
      </c>
      <c r="I3707" t="str">
        <f t="shared" si="57"/>
        <v>3D SHEET OF DOG STICKERS [84559a]</v>
      </c>
    </row>
    <row r="3708" spans="1:9" x14ac:dyDescent="0.3">
      <c r="A3708" s="1" t="s">
        <v>1967</v>
      </c>
      <c r="B3708" t="s">
        <v>1966</v>
      </c>
      <c r="C3708" s="1">
        <v>1.66</v>
      </c>
      <c r="D3708" s="1">
        <v>2</v>
      </c>
      <c r="E3708" s="2">
        <v>2.9090909090908998</v>
      </c>
      <c r="F3708" s="1">
        <v>11</v>
      </c>
      <c r="G3708" s="1">
        <v>53.54</v>
      </c>
      <c r="H3708" s="1" t="s">
        <v>8</v>
      </c>
      <c r="I3708" t="str">
        <f t="shared" si="57"/>
        <v>3D SHEET OF CAT STICKERS [84559b]</v>
      </c>
    </row>
    <row r="3709" spans="1:9" x14ac:dyDescent="0.3">
      <c r="A3709" s="1" t="s">
        <v>1965</v>
      </c>
      <c r="B3709" t="s">
        <v>1964</v>
      </c>
      <c r="C3709" s="1">
        <v>1.69</v>
      </c>
      <c r="D3709" s="1">
        <v>2</v>
      </c>
      <c r="E3709" s="1">
        <v>2</v>
      </c>
      <c r="F3709" s="1">
        <v>1</v>
      </c>
      <c r="G3709" s="1">
        <v>3.38</v>
      </c>
      <c r="H3709" s="1" t="s">
        <v>8</v>
      </c>
      <c r="I3709" t="str">
        <f t="shared" si="57"/>
        <v>3D SHEET OF SEA WORLD STICKERS [84559d]</v>
      </c>
    </row>
    <row r="3710" spans="1:9" x14ac:dyDescent="0.3">
      <c r="A3710" s="1" t="s">
        <v>1963</v>
      </c>
      <c r="B3710" t="s">
        <v>1962</v>
      </c>
      <c r="C3710" s="1">
        <v>7.95</v>
      </c>
      <c r="D3710" s="1">
        <v>9</v>
      </c>
      <c r="E3710" s="1">
        <v>13</v>
      </c>
      <c r="F3710" s="1">
        <v>13</v>
      </c>
      <c r="G3710" s="1">
        <v>1378.26</v>
      </c>
      <c r="H3710" s="1" t="s">
        <v>8</v>
      </c>
      <c r="I3710" t="str">
        <f t="shared" si="57"/>
        <v>PINK/WHITE RIBBED MELAMINE JUG [84562A]</v>
      </c>
    </row>
    <row r="3711" spans="1:9" x14ac:dyDescent="0.3">
      <c r="A3711" s="1" t="s">
        <v>1961</v>
      </c>
      <c r="B3711" t="s">
        <v>1960</v>
      </c>
      <c r="C3711" s="1">
        <v>10.66</v>
      </c>
      <c r="D3711" s="1">
        <v>5</v>
      </c>
      <c r="E3711" s="1">
        <v>5</v>
      </c>
      <c r="F3711" s="1">
        <v>2</v>
      </c>
      <c r="G3711" s="1">
        <v>106.59</v>
      </c>
      <c r="H3711" s="1" t="s">
        <v>8</v>
      </c>
      <c r="I3711" t="str">
        <f t="shared" si="57"/>
        <v>BLUE/WHITE RIBBED MELAMINE JUG [84562B]</v>
      </c>
    </row>
    <row r="3712" spans="1:9" x14ac:dyDescent="0.3">
      <c r="A3712" s="1" t="s">
        <v>1959</v>
      </c>
      <c r="B3712" t="s">
        <v>1958</v>
      </c>
      <c r="C3712" s="1">
        <v>6.4450000000000003</v>
      </c>
      <c r="D3712" s="1">
        <v>4</v>
      </c>
      <c r="E3712" s="2">
        <v>7.7222222222222197</v>
      </c>
      <c r="F3712" s="1">
        <v>18</v>
      </c>
      <c r="G3712" s="1">
        <v>685.15</v>
      </c>
      <c r="H3712" s="1" t="s">
        <v>8</v>
      </c>
      <c r="I3712" t="str">
        <f t="shared" si="57"/>
        <v>PINK &amp; WHITE BREAKFAST TRAY [84563A]</v>
      </c>
    </row>
    <row r="3713" spans="1:9" x14ac:dyDescent="0.3">
      <c r="A3713" s="1" t="s">
        <v>1957</v>
      </c>
      <c r="B3713" t="s">
        <v>1956</v>
      </c>
      <c r="C3713" s="1">
        <v>5.95</v>
      </c>
      <c r="D3713" s="1">
        <v>6</v>
      </c>
      <c r="E3713" s="1">
        <v>8</v>
      </c>
      <c r="F3713" s="1">
        <v>16</v>
      </c>
      <c r="G3713" s="1">
        <v>590.04</v>
      </c>
      <c r="H3713" s="1" t="s">
        <v>8</v>
      </c>
      <c r="I3713" t="str">
        <f t="shared" si="57"/>
        <v>BLUE &amp; WHITE BREAKFAST TRAY [84563B]</v>
      </c>
    </row>
    <row r="3714" spans="1:9" x14ac:dyDescent="0.3">
      <c r="A3714" s="1">
        <v>84564</v>
      </c>
      <c r="B3714" t="s">
        <v>1955</v>
      </c>
      <c r="C3714" s="1">
        <v>7.95</v>
      </c>
      <c r="D3714" s="1">
        <v>2</v>
      </c>
      <c r="E3714" s="1">
        <v>3.5</v>
      </c>
      <c r="F3714" s="1">
        <v>6</v>
      </c>
      <c r="G3714" s="1">
        <v>175.48</v>
      </c>
      <c r="H3714" s="1" t="s">
        <v>8</v>
      </c>
      <c r="I3714" t="str">
        <f t="shared" si="57"/>
        <v>6 SEGMENT COLOURED SNACK BOWL [84564]</v>
      </c>
    </row>
    <row r="3715" spans="1:9" x14ac:dyDescent="0.3">
      <c r="A3715" s="1">
        <v>84567</v>
      </c>
      <c r="B3715" t="s">
        <v>1954</v>
      </c>
      <c r="C3715" s="1">
        <v>1.65</v>
      </c>
      <c r="D3715" s="1">
        <v>9</v>
      </c>
      <c r="E3715" s="1">
        <v>9</v>
      </c>
      <c r="F3715" s="1">
        <v>1</v>
      </c>
      <c r="G3715" s="1">
        <v>14.85</v>
      </c>
      <c r="H3715" s="1" t="s">
        <v>8</v>
      </c>
      <c r="I3715" t="str">
        <f t="shared" ref="I3715:I3778" si="58">B3715&amp;" ["&amp;A3715&amp;"]"</f>
        <v>FROSTED GLASS WITH SILVER SURROUND [84567]</v>
      </c>
    </row>
    <row r="3716" spans="1:9" x14ac:dyDescent="0.3">
      <c r="A3716" s="1">
        <v>84568</v>
      </c>
      <c r="B3716" t="s">
        <v>1953</v>
      </c>
      <c r="C3716" s="1">
        <v>0.23</v>
      </c>
      <c r="D3716" s="1">
        <v>1193</v>
      </c>
      <c r="E3716" s="1">
        <v>1482.64</v>
      </c>
      <c r="F3716" s="1">
        <v>25</v>
      </c>
      <c r="G3716" s="1">
        <v>7788.67</v>
      </c>
      <c r="H3716" s="1" t="s">
        <v>10</v>
      </c>
      <c r="I3716" t="str">
        <f t="shared" si="58"/>
        <v>GIRLS ALPHABET IRON ON PATCHES [84568]</v>
      </c>
    </row>
    <row r="3717" spans="1:9" x14ac:dyDescent="0.3">
      <c r="A3717" s="1" t="s">
        <v>1952</v>
      </c>
      <c r="B3717" t="s">
        <v>1951</v>
      </c>
      <c r="C3717" s="1">
        <v>1.25</v>
      </c>
      <c r="D3717" s="1">
        <v>24.5</v>
      </c>
      <c r="E3717" s="2">
        <v>23.4166666666666</v>
      </c>
      <c r="F3717" s="1">
        <v>24</v>
      </c>
      <c r="G3717" s="1">
        <v>702.42</v>
      </c>
      <c r="H3717" s="1" t="s">
        <v>9</v>
      </c>
      <c r="I3717" t="str">
        <f t="shared" si="58"/>
        <v>PACK 3 IRON ON DOG PATCHES [84569A]</v>
      </c>
    </row>
    <row r="3718" spans="1:9" x14ac:dyDescent="0.3">
      <c r="A3718" s="1" t="s">
        <v>1950</v>
      </c>
      <c r="B3718" t="s">
        <v>1949</v>
      </c>
      <c r="C3718" s="1">
        <v>1.25</v>
      </c>
      <c r="D3718" s="1">
        <v>25</v>
      </c>
      <c r="E3718" s="1">
        <v>27.0625</v>
      </c>
      <c r="F3718" s="1">
        <v>16</v>
      </c>
      <c r="G3718" s="1">
        <v>557.17999999999995</v>
      </c>
      <c r="H3718" s="1" t="s">
        <v>9</v>
      </c>
      <c r="I3718" t="str">
        <f t="shared" si="58"/>
        <v>PACK 3 FIRE ENGINE/CAR PATCHES [84569B]</v>
      </c>
    </row>
    <row r="3719" spans="1:9" x14ac:dyDescent="0.3">
      <c r="A3719" s="1" t="s">
        <v>1948</v>
      </c>
      <c r="B3719" t="s">
        <v>1947</v>
      </c>
      <c r="C3719" s="1">
        <v>1.32</v>
      </c>
      <c r="D3719" s="1">
        <v>34</v>
      </c>
      <c r="E3719" s="2">
        <v>31.923076923076898</v>
      </c>
      <c r="F3719" s="1">
        <v>13</v>
      </c>
      <c r="G3719" s="1">
        <v>584.92999999999995</v>
      </c>
      <c r="H3719" s="1" t="s">
        <v>9</v>
      </c>
      <c r="I3719" t="str">
        <f t="shared" si="58"/>
        <v>PACK 4 FLOWER/BUTTERFLY PATCHES [84569C]</v>
      </c>
    </row>
    <row r="3720" spans="1:9" x14ac:dyDescent="0.3">
      <c r="A3720" s="1" t="s">
        <v>1946</v>
      </c>
      <c r="B3720" t="s">
        <v>1945</v>
      </c>
      <c r="C3720" s="1">
        <v>1.31</v>
      </c>
      <c r="D3720" s="1">
        <v>43</v>
      </c>
      <c r="E3720" s="1">
        <v>40.92</v>
      </c>
      <c r="F3720" s="1">
        <v>25</v>
      </c>
      <c r="G3720" s="1">
        <v>1287.54</v>
      </c>
      <c r="H3720" s="1" t="s">
        <v>9</v>
      </c>
      <c r="I3720" t="str">
        <f t="shared" si="58"/>
        <v>PACK 6 HEART/ICE-CREAM PATCHES [84569D]</v>
      </c>
    </row>
    <row r="3721" spans="1:9" x14ac:dyDescent="0.3">
      <c r="A3721" s="1" t="s">
        <v>1944</v>
      </c>
      <c r="B3721" t="s">
        <v>1943</v>
      </c>
      <c r="C3721" s="1">
        <v>4.95</v>
      </c>
      <c r="D3721" s="1">
        <v>2</v>
      </c>
      <c r="E3721" s="1">
        <v>2</v>
      </c>
      <c r="F3721" s="1">
        <v>2</v>
      </c>
      <c r="G3721" s="1">
        <v>19.8</v>
      </c>
      <c r="H3721" s="1" t="s">
        <v>8</v>
      </c>
      <c r="I3721" t="str">
        <f t="shared" si="58"/>
        <v>WHITE SATIN DRESS JEWEL STAND [84570B]</v>
      </c>
    </row>
    <row r="3722" spans="1:9" x14ac:dyDescent="0.3">
      <c r="A3722" s="1">
        <v>84572</v>
      </c>
      <c r="B3722" t="s">
        <v>1942</v>
      </c>
      <c r="C3722" s="1">
        <v>8.49</v>
      </c>
      <c r="D3722" s="1">
        <v>1</v>
      </c>
      <c r="E3722" s="1">
        <v>1</v>
      </c>
      <c r="F3722" s="1">
        <v>1</v>
      </c>
      <c r="G3722" s="1">
        <v>8.49</v>
      </c>
      <c r="H3722" s="1" t="s">
        <v>8</v>
      </c>
      <c r="I3722" t="str">
        <f t="shared" si="58"/>
        <v>6 HOOK JEWEL STAND LILAC DRESS [84572]</v>
      </c>
    </row>
    <row r="3723" spans="1:9" x14ac:dyDescent="0.3">
      <c r="A3723" s="1" t="s">
        <v>1941</v>
      </c>
      <c r="B3723" t="s">
        <v>1940</v>
      </c>
      <c r="C3723" s="1">
        <v>5.95</v>
      </c>
      <c r="D3723" s="1">
        <v>1</v>
      </c>
      <c r="E3723" s="1">
        <v>2.4</v>
      </c>
      <c r="F3723" s="1">
        <v>10</v>
      </c>
      <c r="G3723" s="1">
        <v>98.8</v>
      </c>
      <c r="H3723" s="1" t="s">
        <v>8</v>
      </c>
      <c r="I3723" t="str">
        <f t="shared" si="58"/>
        <v>PINK DOG CANNISTER [84575A]</v>
      </c>
    </row>
    <row r="3724" spans="1:9" x14ac:dyDescent="0.3">
      <c r="A3724" s="1" t="s">
        <v>1939</v>
      </c>
      <c r="B3724" t="s">
        <v>1938</v>
      </c>
      <c r="C3724" s="1">
        <v>5.95</v>
      </c>
      <c r="D3724" s="1">
        <v>1</v>
      </c>
      <c r="E3724" s="2">
        <v>1.3333333333333299</v>
      </c>
      <c r="F3724" s="1">
        <v>3</v>
      </c>
      <c r="G3724" s="1">
        <v>23.8</v>
      </c>
      <c r="H3724" s="1" t="s">
        <v>8</v>
      </c>
      <c r="I3724" t="str">
        <f t="shared" si="58"/>
        <v>BROWN DOG CANNISTER W BONE [84575B]</v>
      </c>
    </row>
    <row r="3725" spans="1:9" x14ac:dyDescent="0.3">
      <c r="A3725" s="1">
        <v>84576</v>
      </c>
      <c r="B3725" t="s">
        <v>1937</v>
      </c>
      <c r="C3725" s="1">
        <v>5.95</v>
      </c>
      <c r="D3725" s="1">
        <v>3.5</v>
      </c>
      <c r="E3725" s="1">
        <v>8</v>
      </c>
      <c r="F3725" s="1">
        <v>12</v>
      </c>
      <c r="G3725" s="1">
        <v>337.04</v>
      </c>
      <c r="H3725" s="1" t="s">
        <v>8</v>
      </c>
      <c r="I3725" t="str">
        <f t="shared" si="58"/>
        <v>BLUE CAT BISCUIT BARREL PINK HEART [84576]</v>
      </c>
    </row>
    <row r="3726" spans="1:9" x14ac:dyDescent="0.3">
      <c r="A3726" s="1">
        <v>84578</v>
      </c>
      <c r="B3726" t="s">
        <v>1936</v>
      </c>
      <c r="C3726" s="1">
        <v>3.82</v>
      </c>
      <c r="D3726" s="1">
        <v>43</v>
      </c>
      <c r="E3726" s="1">
        <v>44.4</v>
      </c>
      <c r="F3726" s="1">
        <v>5</v>
      </c>
      <c r="G3726" s="2">
        <v>854.91</v>
      </c>
      <c r="H3726" s="1" t="s">
        <v>9</v>
      </c>
      <c r="I3726" t="str">
        <f t="shared" si="58"/>
        <v>ELEPHANT TOY WITH BLUE T-SHIRT [84578]</v>
      </c>
    </row>
    <row r="3727" spans="1:9" x14ac:dyDescent="0.3">
      <c r="A3727" s="1">
        <v>84580</v>
      </c>
      <c r="B3727" t="s">
        <v>1935</v>
      </c>
      <c r="C3727" s="1">
        <v>3.81</v>
      </c>
      <c r="D3727" s="1">
        <v>38</v>
      </c>
      <c r="E3727" s="1">
        <v>42.28</v>
      </c>
      <c r="F3727" s="1">
        <v>25</v>
      </c>
      <c r="G3727" s="1">
        <v>4051.94</v>
      </c>
      <c r="H3727" s="1" t="s">
        <v>9</v>
      </c>
      <c r="I3727" t="str">
        <f t="shared" si="58"/>
        <v>MOUSE TOY WITH PINK T-SHIRT [84580]</v>
      </c>
    </row>
    <row r="3728" spans="1:9" x14ac:dyDescent="0.3">
      <c r="A3728" s="1">
        <v>84581</v>
      </c>
      <c r="B3728" t="s">
        <v>1934</v>
      </c>
      <c r="C3728" s="1">
        <v>3.79</v>
      </c>
      <c r="D3728" s="1">
        <v>21</v>
      </c>
      <c r="E3728" s="1">
        <v>20.239999999999998</v>
      </c>
      <c r="F3728" s="1">
        <v>25</v>
      </c>
      <c r="G3728" s="1">
        <v>1920.02</v>
      </c>
      <c r="H3728" s="1" t="s">
        <v>9</v>
      </c>
      <c r="I3728" t="str">
        <f t="shared" si="58"/>
        <v>DOG TOY WITH PINK CROCHET SKIRT [84581]</v>
      </c>
    </row>
    <row r="3729" spans="1:9" x14ac:dyDescent="0.3">
      <c r="A3729" s="1">
        <v>84582</v>
      </c>
      <c r="B3729" t="s">
        <v>1933</v>
      </c>
      <c r="C3729" s="1">
        <v>4.25</v>
      </c>
      <c r="D3729" s="1">
        <v>3</v>
      </c>
      <c r="E3729" s="1">
        <v>3.5</v>
      </c>
      <c r="F3729" s="1">
        <v>4</v>
      </c>
      <c r="G3729" s="1">
        <v>59.5</v>
      </c>
      <c r="H3729" s="1" t="s">
        <v>8</v>
      </c>
      <c r="I3729" t="str">
        <f t="shared" si="58"/>
        <v>PINK CROCHET CAT WITH SCARF [84582]</v>
      </c>
    </row>
    <row r="3730" spans="1:9" x14ac:dyDescent="0.3">
      <c r="A3730" s="1">
        <v>84584</v>
      </c>
      <c r="B3730" t="s">
        <v>1932</v>
      </c>
      <c r="C3730" s="1">
        <v>2.5499999999999998</v>
      </c>
      <c r="D3730" s="1">
        <v>13</v>
      </c>
      <c r="E3730" s="2">
        <v>14.8421052631578</v>
      </c>
      <c r="F3730" s="1">
        <v>19</v>
      </c>
      <c r="G3730" s="1">
        <v>696.75</v>
      </c>
      <c r="H3730" s="1" t="s">
        <v>9</v>
      </c>
      <c r="I3730" t="str">
        <f t="shared" si="58"/>
        <v>PINK GINGHAM CAT WITH SCARF [84584]</v>
      </c>
    </row>
    <row r="3731" spans="1:9" x14ac:dyDescent="0.3">
      <c r="A3731" s="1" t="s">
        <v>1931</v>
      </c>
      <c r="B3731" t="s">
        <v>1930</v>
      </c>
      <c r="C3731" s="1">
        <v>2.95</v>
      </c>
      <c r="D3731" s="1">
        <v>7.5</v>
      </c>
      <c r="E3731" s="1">
        <v>7.5</v>
      </c>
      <c r="F3731" s="1">
        <v>2</v>
      </c>
      <c r="G3731" s="1">
        <v>44.25</v>
      </c>
      <c r="H3731" s="1" t="s">
        <v>8</v>
      </c>
      <c r="I3731" t="str">
        <f t="shared" si="58"/>
        <v>PINK ROSES/GINGHAM PATCH RABBIT 8" [84586L]</v>
      </c>
    </row>
    <row r="3732" spans="1:9" x14ac:dyDescent="0.3">
      <c r="A3732" s="1">
        <v>84592</v>
      </c>
      <c r="B3732" t="s">
        <v>1929</v>
      </c>
      <c r="C3732" s="1">
        <v>2.95</v>
      </c>
      <c r="D3732" s="1">
        <v>10</v>
      </c>
      <c r="E3732" s="2">
        <v>9.1052631578947292</v>
      </c>
      <c r="F3732" s="1">
        <v>19</v>
      </c>
      <c r="G3732" s="1">
        <v>536.4</v>
      </c>
      <c r="H3732" s="1" t="s">
        <v>9</v>
      </c>
      <c r="I3732" t="str">
        <f t="shared" si="58"/>
        <v>CROCHET ROSE PURSE WITH SUEDE BACK [84592]</v>
      </c>
    </row>
    <row r="3733" spans="1:9" x14ac:dyDescent="0.3">
      <c r="A3733" s="1">
        <v>84593</v>
      </c>
      <c r="B3733" t="s">
        <v>1928</v>
      </c>
      <c r="C3733" s="1">
        <v>2.95</v>
      </c>
      <c r="D3733" s="1">
        <v>5</v>
      </c>
      <c r="E3733" s="1">
        <v>5</v>
      </c>
      <c r="F3733" s="1">
        <v>5</v>
      </c>
      <c r="G3733" s="1">
        <v>73.75</v>
      </c>
      <c r="H3733" s="1" t="s">
        <v>8</v>
      </c>
      <c r="I3733" t="str">
        <f t="shared" si="58"/>
        <v>CROCHET ROSE DES CLOTHES HANGER [84593]</v>
      </c>
    </row>
    <row r="3734" spans="1:9" x14ac:dyDescent="0.3">
      <c r="A3734" s="1" t="s">
        <v>1927</v>
      </c>
      <c r="B3734" t="s">
        <v>1926</v>
      </c>
      <c r="C3734" s="1">
        <v>3.75</v>
      </c>
      <c r="D3734" s="1">
        <v>3</v>
      </c>
      <c r="E3734" s="2">
        <v>32.857142857142797</v>
      </c>
      <c r="F3734" s="1">
        <v>7</v>
      </c>
      <c r="G3734" s="1">
        <v>408.9</v>
      </c>
      <c r="H3734" s="1" t="s">
        <v>8</v>
      </c>
      <c r="I3734" t="str">
        <f t="shared" si="58"/>
        <v>LARGE TRIFLE DESIGN L BLUE BOWL [84595B]</v>
      </c>
    </row>
    <row r="3735" spans="1:9" x14ac:dyDescent="0.3">
      <c r="A3735" s="1" t="s">
        <v>1925</v>
      </c>
      <c r="B3735" t="s">
        <v>1924</v>
      </c>
      <c r="C3735" s="1">
        <v>3.3650000000000002</v>
      </c>
      <c r="D3735" s="1">
        <v>6.5</v>
      </c>
      <c r="E3735" s="2">
        <v>20.3333333333333</v>
      </c>
      <c r="F3735" s="1">
        <v>18</v>
      </c>
      <c r="G3735" s="1">
        <v>715.1</v>
      </c>
      <c r="H3735" s="1" t="s">
        <v>8</v>
      </c>
      <c r="I3735" t="str">
        <f t="shared" si="58"/>
        <v>LARGE TORTILLA DESIGN RED BOWL [84595E]</v>
      </c>
    </row>
    <row r="3736" spans="1:9" x14ac:dyDescent="0.3">
      <c r="A3736" s="1" t="s">
        <v>1923</v>
      </c>
      <c r="B3736" t="s">
        <v>1912</v>
      </c>
      <c r="C3736" s="1">
        <v>1.1399999999999999</v>
      </c>
      <c r="D3736" s="1">
        <v>146</v>
      </c>
      <c r="E3736" s="1">
        <v>248.84</v>
      </c>
      <c r="F3736" s="1">
        <v>25</v>
      </c>
      <c r="G3736" s="1">
        <v>4074.67</v>
      </c>
      <c r="H3736" s="1" t="s">
        <v>10</v>
      </c>
      <c r="I3736" t="str">
        <f t="shared" si="58"/>
        <v>SMALL DOLLY MIX DESIGN ORANGE BOWL [84596B]</v>
      </c>
    </row>
    <row r="3737" spans="1:9" x14ac:dyDescent="0.3">
      <c r="A3737" s="1" t="s">
        <v>1922</v>
      </c>
      <c r="B3737" t="s">
        <v>1910</v>
      </c>
      <c r="C3737" s="1">
        <v>1.25</v>
      </c>
      <c r="D3737" s="1">
        <v>52</v>
      </c>
      <c r="E3737" s="2">
        <v>66.294117647058798</v>
      </c>
      <c r="F3737" s="1">
        <v>17</v>
      </c>
      <c r="G3737" s="1">
        <v>1137.8399999999999</v>
      </c>
      <c r="H3737" s="1" t="s">
        <v>9</v>
      </c>
      <c r="I3737" t="str">
        <f t="shared" si="58"/>
        <v>SMALL LICORICE DES PINK BOWL [84596E]</v>
      </c>
    </row>
    <row r="3738" spans="1:9" x14ac:dyDescent="0.3">
      <c r="A3738" s="1" t="s">
        <v>1921</v>
      </c>
      <c r="B3738" t="s">
        <v>1908</v>
      </c>
      <c r="C3738" s="1">
        <v>1.1399999999999999</v>
      </c>
      <c r="D3738" s="1">
        <v>135</v>
      </c>
      <c r="E3738" s="1">
        <v>188.8</v>
      </c>
      <c r="F3738" s="1">
        <v>25</v>
      </c>
      <c r="G3738" s="1">
        <v>3196.43</v>
      </c>
      <c r="H3738" s="1" t="s">
        <v>10</v>
      </c>
      <c r="I3738" t="str">
        <f t="shared" si="58"/>
        <v>SMALL MARSHMALLOWS PINK BOWL [84596F]</v>
      </c>
    </row>
    <row r="3739" spans="1:9" x14ac:dyDescent="0.3">
      <c r="A3739" s="1" t="s">
        <v>1920</v>
      </c>
      <c r="B3739" t="s">
        <v>1906</v>
      </c>
      <c r="C3739" s="1">
        <v>1.26</v>
      </c>
      <c r="D3739" s="1">
        <v>52</v>
      </c>
      <c r="E3739" s="1">
        <v>89.04</v>
      </c>
      <c r="F3739" s="1">
        <v>25</v>
      </c>
      <c r="G3739" s="1">
        <v>1440.76</v>
      </c>
      <c r="H3739" s="1" t="s">
        <v>9</v>
      </c>
      <c r="I3739" t="str">
        <f t="shared" si="58"/>
        <v>SMALL CHOCOLATES PINK BOWL [84596G]</v>
      </c>
    </row>
    <row r="3740" spans="1:9" x14ac:dyDescent="0.3">
      <c r="A3740" s="1" t="s">
        <v>1919</v>
      </c>
      <c r="B3740" t="s">
        <v>1918</v>
      </c>
      <c r="C3740" s="1">
        <v>1.25</v>
      </c>
      <c r="D3740" s="1">
        <v>2</v>
      </c>
      <c r="E3740" s="1">
        <v>24</v>
      </c>
      <c r="F3740" s="1">
        <v>3</v>
      </c>
      <c r="G3740" s="1">
        <v>80.62</v>
      </c>
      <c r="H3740" s="1" t="s">
        <v>8</v>
      </c>
      <c r="I3740" t="str">
        <f t="shared" si="58"/>
        <v>WRAP SWEETS LIGHT PINK SMALL BOWL [84596I]</v>
      </c>
    </row>
    <row r="3741" spans="1:9" x14ac:dyDescent="0.3">
      <c r="A3741" s="1" t="s">
        <v>1917</v>
      </c>
      <c r="B3741" t="s">
        <v>1904</v>
      </c>
      <c r="C3741" s="2">
        <v>1.3049999999999999</v>
      </c>
      <c r="D3741" s="1">
        <v>21.5</v>
      </c>
      <c r="E3741" s="1">
        <v>45</v>
      </c>
      <c r="F3741" s="1">
        <v>18</v>
      </c>
      <c r="G3741" s="1">
        <v>621.74</v>
      </c>
      <c r="H3741" s="1" t="s">
        <v>9</v>
      </c>
      <c r="I3741" t="str">
        <f t="shared" si="58"/>
        <v>MIXED NUTS LIGHT GREEN BOWL [84596J]</v>
      </c>
    </row>
    <row r="3742" spans="1:9" x14ac:dyDescent="0.3">
      <c r="A3742" s="1" t="s">
        <v>1916</v>
      </c>
      <c r="B3742" t="s">
        <v>1915</v>
      </c>
      <c r="C3742" s="1">
        <v>1.25</v>
      </c>
      <c r="D3742" s="1">
        <v>21.5</v>
      </c>
      <c r="E3742" s="2">
        <v>35.6666666666666</v>
      </c>
      <c r="F3742" s="1">
        <v>12</v>
      </c>
      <c r="G3742" s="1">
        <v>543.41</v>
      </c>
      <c r="H3742" s="1" t="s">
        <v>9</v>
      </c>
      <c r="I3742" t="str">
        <f t="shared" si="58"/>
        <v>JELLY BABIES YELLOW SMALL BOWL [84596K]</v>
      </c>
    </row>
    <row r="3743" spans="1:9" x14ac:dyDescent="0.3">
      <c r="A3743" s="1" t="s">
        <v>1914</v>
      </c>
      <c r="B3743" t="s">
        <v>1902</v>
      </c>
      <c r="C3743" s="1">
        <v>1.25</v>
      </c>
      <c r="D3743" s="1">
        <v>29.5</v>
      </c>
      <c r="E3743" s="2">
        <v>69.818181818181799</v>
      </c>
      <c r="F3743" s="1">
        <v>22</v>
      </c>
      <c r="G3743" s="1">
        <v>1013.96</v>
      </c>
      <c r="H3743" s="1" t="s">
        <v>9</v>
      </c>
      <c r="I3743" t="str">
        <f t="shared" si="58"/>
        <v>BISCUITS SMALL BOWL LIGHT BLUE [84596L]</v>
      </c>
    </row>
    <row r="3744" spans="1:9" x14ac:dyDescent="0.3">
      <c r="A3744" s="1" t="s">
        <v>1913</v>
      </c>
      <c r="B3744" t="s">
        <v>1912</v>
      </c>
      <c r="C3744" s="1">
        <v>2.5099999999999998</v>
      </c>
      <c r="D3744" s="1">
        <v>1</v>
      </c>
      <c r="E3744" s="1">
        <v>2.5</v>
      </c>
      <c r="F3744" s="1">
        <v>4</v>
      </c>
      <c r="G3744" s="1">
        <v>25.1</v>
      </c>
      <c r="H3744" s="1" t="s">
        <v>8</v>
      </c>
      <c r="I3744" t="str">
        <f t="shared" si="58"/>
        <v>SMALL DOLLY MIX DESIGN ORANGE BOWL [84596b]</v>
      </c>
    </row>
    <row r="3745" spans="1:9" x14ac:dyDescent="0.3">
      <c r="A3745" s="1" t="s">
        <v>1911</v>
      </c>
      <c r="B3745" t="s">
        <v>1910</v>
      </c>
      <c r="C3745" s="1">
        <v>2.5099999999999998</v>
      </c>
      <c r="D3745" s="1">
        <v>3</v>
      </c>
      <c r="E3745" s="2">
        <v>3.8571428571428501</v>
      </c>
      <c r="F3745" s="1">
        <v>7</v>
      </c>
      <c r="G3745" s="1">
        <v>67.77</v>
      </c>
      <c r="H3745" s="1" t="s">
        <v>8</v>
      </c>
      <c r="I3745" t="str">
        <f t="shared" si="58"/>
        <v>SMALL LICORICE DES PINK BOWL [84596e]</v>
      </c>
    </row>
    <row r="3746" spans="1:9" x14ac:dyDescent="0.3">
      <c r="A3746" s="1" t="s">
        <v>1909</v>
      </c>
      <c r="B3746" t="s">
        <v>1908</v>
      </c>
      <c r="C3746" s="1">
        <v>2.46</v>
      </c>
      <c r="D3746" s="1">
        <v>2.5</v>
      </c>
      <c r="E3746" s="1">
        <v>2.375</v>
      </c>
      <c r="F3746" s="1">
        <v>8</v>
      </c>
      <c r="G3746" s="1">
        <v>46.89</v>
      </c>
      <c r="H3746" s="1" t="s">
        <v>8</v>
      </c>
      <c r="I3746" t="str">
        <f t="shared" si="58"/>
        <v>SMALL MARSHMALLOWS PINK BOWL [84596f]</v>
      </c>
    </row>
    <row r="3747" spans="1:9" x14ac:dyDescent="0.3">
      <c r="A3747" s="1" t="s">
        <v>1907</v>
      </c>
      <c r="B3747" t="s">
        <v>1906</v>
      </c>
      <c r="C3747" s="1">
        <v>2.4849999999999999</v>
      </c>
      <c r="D3747" s="1">
        <v>2.5</v>
      </c>
      <c r="E3747" s="1">
        <v>2.5</v>
      </c>
      <c r="F3747" s="1">
        <v>2</v>
      </c>
      <c r="G3747" s="2">
        <v>12.399999999999901</v>
      </c>
      <c r="H3747" s="1" t="s">
        <v>8</v>
      </c>
      <c r="I3747" t="str">
        <f t="shared" si="58"/>
        <v>SMALL CHOCOLATES PINK BOWL [84596g]</v>
      </c>
    </row>
    <row r="3748" spans="1:9" x14ac:dyDescent="0.3">
      <c r="A3748" s="1" t="s">
        <v>1905</v>
      </c>
      <c r="B3748" t="s">
        <v>1904</v>
      </c>
      <c r="C3748" s="1">
        <v>2.5099999999999998</v>
      </c>
      <c r="D3748" s="1">
        <v>1</v>
      </c>
      <c r="E3748" s="1">
        <v>1</v>
      </c>
      <c r="F3748" s="1">
        <v>2</v>
      </c>
      <c r="G3748" s="1">
        <v>5.0199999999999996</v>
      </c>
      <c r="H3748" s="1" t="s">
        <v>8</v>
      </c>
      <c r="I3748" t="str">
        <f t="shared" si="58"/>
        <v>MIXED NUTS LIGHT GREEN BOWL [84596j]</v>
      </c>
    </row>
    <row r="3749" spans="1:9" x14ac:dyDescent="0.3">
      <c r="A3749" s="1" t="s">
        <v>1903</v>
      </c>
      <c r="B3749" t="s">
        <v>1902</v>
      </c>
      <c r="C3749" s="1">
        <v>2.46</v>
      </c>
      <c r="D3749" s="1">
        <v>1</v>
      </c>
      <c r="E3749" s="1">
        <v>1</v>
      </c>
      <c r="F3749" s="1">
        <v>1</v>
      </c>
      <c r="G3749" s="1">
        <v>2.46</v>
      </c>
      <c r="H3749" s="1" t="s">
        <v>8</v>
      </c>
      <c r="I3749" t="str">
        <f t="shared" si="58"/>
        <v>BISCUITS SMALL BOWL LIGHT BLUE [84596l]</v>
      </c>
    </row>
    <row r="3750" spans="1:9" x14ac:dyDescent="0.3">
      <c r="A3750" s="1" t="s">
        <v>1901</v>
      </c>
      <c r="B3750" t="s">
        <v>1900</v>
      </c>
      <c r="C3750" s="1">
        <v>1.25</v>
      </c>
      <c r="D3750" s="1">
        <v>12</v>
      </c>
      <c r="E3750" s="2">
        <v>15.769230769230701</v>
      </c>
      <c r="F3750" s="1">
        <v>13</v>
      </c>
      <c r="G3750" s="1">
        <v>259.37</v>
      </c>
      <c r="H3750" s="1" t="s">
        <v>9</v>
      </c>
      <c r="I3750" t="str">
        <f t="shared" si="58"/>
        <v>RETRO BROWN BALL ASHTRAY [84597B]</v>
      </c>
    </row>
    <row r="3751" spans="1:9" x14ac:dyDescent="0.3">
      <c r="A3751" s="1" t="s">
        <v>1899</v>
      </c>
      <c r="B3751" t="s">
        <v>1898</v>
      </c>
      <c r="C3751" s="1">
        <v>1.25</v>
      </c>
      <c r="D3751" s="1">
        <v>17.5</v>
      </c>
      <c r="E3751" s="2">
        <v>20.2222222222222</v>
      </c>
      <c r="F3751" s="1">
        <v>18</v>
      </c>
      <c r="G3751" s="1">
        <v>450.98</v>
      </c>
      <c r="H3751" s="1" t="s">
        <v>9</v>
      </c>
      <c r="I3751" t="str">
        <f t="shared" si="58"/>
        <v>RETRO PINK BALL ASHTRAY [84597C]</v>
      </c>
    </row>
    <row r="3752" spans="1:9" x14ac:dyDescent="0.3">
      <c r="A3752" s="1">
        <v>84598</v>
      </c>
      <c r="B3752" t="s">
        <v>1897</v>
      </c>
      <c r="C3752" s="1">
        <v>0.23</v>
      </c>
      <c r="D3752" s="1">
        <v>313</v>
      </c>
      <c r="E3752" s="1">
        <v>831</v>
      </c>
      <c r="F3752" s="1">
        <v>25</v>
      </c>
      <c r="G3752" s="1">
        <v>4350.1400000000003</v>
      </c>
      <c r="H3752" s="1" t="s">
        <v>10</v>
      </c>
      <c r="I3752" t="str">
        <f t="shared" si="58"/>
        <v>BOYS ALPHABET IRON ON PATCHES [84598]</v>
      </c>
    </row>
    <row r="3753" spans="1:9" x14ac:dyDescent="0.3">
      <c r="A3753" s="1">
        <v>84599</v>
      </c>
      <c r="B3753" t="s">
        <v>1896</v>
      </c>
      <c r="C3753" s="1">
        <v>7.95</v>
      </c>
      <c r="D3753" s="1">
        <v>4</v>
      </c>
      <c r="E3753" s="1">
        <v>3.75</v>
      </c>
      <c r="F3753" s="1">
        <v>4</v>
      </c>
      <c r="G3753" s="1">
        <v>160.15</v>
      </c>
      <c r="H3753" s="1" t="s">
        <v>8</v>
      </c>
      <c r="I3753" t="str">
        <f t="shared" si="58"/>
        <v>CANDY STRIPE ROSE FLOOR CUSHION [84599]</v>
      </c>
    </row>
    <row r="3754" spans="1:9" x14ac:dyDescent="0.3">
      <c r="A3754" s="1">
        <v>84600</v>
      </c>
      <c r="B3754" t="s">
        <v>1895</v>
      </c>
      <c r="C3754" s="1">
        <v>7.95</v>
      </c>
      <c r="D3754" s="1">
        <v>3</v>
      </c>
      <c r="E3754" s="2">
        <v>5.1428571428571397</v>
      </c>
      <c r="F3754" s="1">
        <v>21</v>
      </c>
      <c r="G3754" s="1">
        <v>918.27</v>
      </c>
      <c r="H3754" s="1" t="s">
        <v>8</v>
      </c>
      <c r="I3754" t="str">
        <f t="shared" si="58"/>
        <v>NEW BAROQUE JEWELLERY BOX [84600]</v>
      </c>
    </row>
    <row r="3755" spans="1:9" x14ac:dyDescent="0.3">
      <c r="A3755" s="1" t="s">
        <v>1894</v>
      </c>
      <c r="B3755" t="s">
        <v>1893</v>
      </c>
      <c r="C3755" s="1">
        <v>2.95</v>
      </c>
      <c r="D3755" s="1">
        <v>11.5</v>
      </c>
      <c r="E3755" s="1">
        <v>32.5</v>
      </c>
      <c r="F3755" s="1">
        <v>8</v>
      </c>
      <c r="G3755" s="1">
        <v>638.34</v>
      </c>
      <c r="H3755" s="1" t="s">
        <v>9</v>
      </c>
      <c r="I3755" t="str">
        <f t="shared" si="58"/>
        <v>NEW BAROQUE IVORY CUSHION COVER [84601A]</v>
      </c>
    </row>
    <row r="3756" spans="1:9" x14ac:dyDescent="0.3">
      <c r="A3756" s="1">
        <v>84608</v>
      </c>
      <c r="B3756" t="s">
        <v>1892</v>
      </c>
      <c r="C3756" s="1">
        <v>7.95</v>
      </c>
      <c r="D3756" s="1">
        <v>3</v>
      </c>
      <c r="E3756" s="1">
        <v>3</v>
      </c>
      <c r="F3756" s="1">
        <v>2</v>
      </c>
      <c r="G3756" s="1">
        <v>47.7</v>
      </c>
      <c r="H3756" s="1" t="s">
        <v>8</v>
      </c>
      <c r="I3756" t="str">
        <f t="shared" si="58"/>
        <v>ORNATE EDWARDIAN CANDLE HOLDER [84608]</v>
      </c>
    </row>
    <row r="3757" spans="1:9" x14ac:dyDescent="0.3">
      <c r="A3757" s="1">
        <v>84609</v>
      </c>
      <c r="B3757" t="s">
        <v>1891</v>
      </c>
      <c r="C3757" s="1">
        <v>8.5</v>
      </c>
      <c r="D3757" s="1">
        <v>4.5</v>
      </c>
      <c r="E3757" s="2">
        <v>7.9444444444444402</v>
      </c>
      <c r="F3757" s="1">
        <v>18</v>
      </c>
      <c r="G3757" s="1">
        <v>1289.24</v>
      </c>
      <c r="H3757" s="1" t="s">
        <v>8</v>
      </c>
      <c r="I3757" t="str">
        <f t="shared" si="58"/>
        <v>TALL ROCOCO CANDLE HOLDER [84609]</v>
      </c>
    </row>
    <row r="3758" spans="1:9" x14ac:dyDescent="0.3">
      <c r="A3758" s="1" t="s">
        <v>1890</v>
      </c>
      <c r="B3758" t="s">
        <v>1889</v>
      </c>
      <c r="C3758" s="1">
        <v>5.95</v>
      </c>
      <c r="D3758" s="1">
        <v>2</v>
      </c>
      <c r="E3758" s="1">
        <v>1.75</v>
      </c>
      <c r="F3758" s="1">
        <v>4</v>
      </c>
      <c r="G3758" s="1">
        <v>41.65</v>
      </c>
      <c r="H3758" s="1" t="s">
        <v>8</v>
      </c>
      <c r="I3758" t="str">
        <f t="shared" si="58"/>
        <v>BLACK NEW BAROQUE FLOCK BOX [84611B]</v>
      </c>
    </row>
    <row r="3759" spans="1:9" x14ac:dyDescent="0.3">
      <c r="A3759" s="1" t="s">
        <v>1888</v>
      </c>
      <c r="B3759" t="s">
        <v>1887</v>
      </c>
      <c r="C3759" s="1">
        <v>2.5499999999999998</v>
      </c>
      <c r="D3759" s="1">
        <v>6</v>
      </c>
      <c r="E3759" s="2">
        <v>6.6666666666666599</v>
      </c>
      <c r="F3759" s="1">
        <v>3</v>
      </c>
      <c r="G3759" s="1">
        <v>51</v>
      </c>
      <c r="H3759" s="1" t="s">
        <v>8</v>
      </c>
      <c r="I3759" t="str">
        <f t="shared" si="58"/>
        <v>SET/4 BLACK  BAROQUE FLOCK COASTER [84612B]</v>
      </c>
    </row>
    <row r="3760" spans="1:9" x14ac:dyDescent="0.3">
      <c r="A3760" s="1" t="s">
        <v>1886</v>
      </c>
      <c r="B3760" t="s">
        <v>1885</v>
      </c>
      <c r="C3760" s="1">
        <v>4.6500000000000004</v>
      </c>
      <c r="D3760" s="1">
        <v>3</v>
      </c>
      <c r="E3760" s="2">
        <v>2.4444444444444402</v>
      </c>
      <c r="F3760" s="1">
        <v>9</v>
      </c>
      <c r="G3760" s="1">
        <v>102.3</v>
      </c>
      <c r="H3760" s="1" t="s">
        <v>8</v>
      </c>
      <c r="I3760" t="str">
        <f t="shared" si="58"/>
        <v>PINK NEW BAROQUE FLOCK CANDLESTICK [84613A]</v>
      </c>
    </row>
    <row r="3761" spans="1:9" x14ac:dyDescent="0.3">
      <c r="A3761" s="1" t="s">
        <v>1884</v>
      </c>
      <c r="B3761" t="s">
        <v>1883</v>
      </c>
      <c r="C3761" s="1">
        <v>4.6500000000000004</v>
      </c>
      <c r="D3761" s="1">
        <v>4.5</v>
      </c>
      <c r="E3761" s="1">
        <v>7.75</v>
      </c>
      <c r="F3761" s="1">
        <v>8</v>
      </c>
      <c r="G3761" s="1">
        <v>258.06</v>
      </c>
      <c r="H3761" s="1" t="s">
        <v>8</v>
      </c>
      <c r="I3761" t="str">
        <f t="shared" si="58"/>
        <v>BLUE NEW BAROQUE FLOCK CANDLESTICK [84613C]</v>
      </c>
    </row>
    <row r="3762" spans="1:9" x14ac:dyDescent="0.3">
      <c r="A3762" s="1" t="s">
        <v>1882</v>
      </c>
      <c r="B3762" t="s">
        <v>1881</v>
      </c>
      <c r="C3762" s="1">
        <v>5.95</v>
      </c>
      <c r="D3762" s="1">
        <v>2</v>
      </c>
      <c r="E3762" s="2">
        <v>1.88888888888888</v>
      </c>
      <c r="F3762" s="1">
        <v>9</v>
      </c>
      <c r="G3762" s="1">
        <v>124.83</v>
      </c>
      <c r="H3762" s="1" t="s">
        <v>8</v>
      </c>
      <c r="I3762" t="str">
        <f t="shared" si="58"/>
        <v>PINK BAROQUE FLOCK CANDLE HOLDER [84614A]</v>
      </c>
    </row>
    <row r="3763" spans="1:9" x14ac:dyDescent="0.3">
      <c r="A3763" s="1" t="s">
        <v>1880</v>
      </c>
      <c r="B3763" t="s">
        <v>1879</v>
      </c>
      <c r="C3763" s="1">
        <v>5.95</v>
      </c>
      <c r="D3763" s="1">
        <v>3</v>
      </c>
      <c r="E3763" s="1">
        <v>3</v>
      </c>
      <c r="F3763" s="1">
        <v>1</v>
      </c>
      <c r="G3763" s="1">
        <v>17.850000000000001</v>
      </c>
      <c r="H3763" s="1" t="s">
        <v>8</v>
      </c>
      <c r="I3763" t="str">
        <f t="shared" si="58"/>
        <v>BLUE BAROQUE FLOCK CANDLE HOLDER [84614C]</v>
      </c>
    </row>
    <row r="3764" spans="1:9" x14ac:dyDescent="0.3">
      <c r="A3764" s="1">
        <v>84615</v>
      </c>
      <c r="B3764" t="s">
        <v>1878</v>
      </c>
      <c r="C3764" s="1">
        <v>7.95</v>
      </c>
      <c r="D3764" s="1">
        <v>4</v>
      </c>
      <c r="E3764" s="1">
        <v>48</v>
      </c>
      <c r="F3764" s="1">
        <v>5</v>
      </c>
      <c r="G3764" s="1">
        <v>748.48</v>
      </c>
      <c r="H3764" s="1" t="s">
        <v>8</v>
      </c>
      <c r="I3764" t="str">
        <f t="shared" si="58"/>
        <v>PINK ROUND BUTTERFLY MIRROR [84615]</v>
      </c>
    </row>
    <row r="3765" spans="1:9" x14ac:dyDescent="0.3">
      <c r="A3765" s="1">
        <v>84616</v>
      </c>
      <c r="B3765" t="s">
        <v>1877</v>
      </c>
      <c r="C3765" s="1">
        <v>29.95</v>
      </c>
      <c r="D3765" s="1">
        <v>2</v>
      </c>
      <c r="E3765" s="2">
        <v>5.1428571428571397</v>
      </c>
      <c r="F3765" s="1">
        <v>14</v>
      </c>
      <c r="G3765" s="1">
        <v>1472.62</v>
      </c>
      <c r="H3765" s="1" t="s">
        <v>8</v>
      </c>
      <c r="I3765" t="str">
        <f t="shared" si="58"/>
        <v>SILVER ROCCOCO CHANDELIER [84616]</v>
      </c>
    </row>
    <row r="3766" spans="1:9" x14ac:dyDescent="0.3">
      <c r="A3766" s="1">
        <v>84617</v>
      </c>
      <c r="B3766" t="s">
        <v>1876</v>
      </c>
      <c r="C3766" s="1">
        <v>12.75</v>
      </c>
      <c r="D3766" s="1">
        <v>1.5</v>
      </c>
      <c r="E3766" s="2">
        <v>1.8333333333333299</v>
      </c>
      <c r="F3766" s="1">
        <v>6</v>
      </c>
      <c r="G3766" s="1">
        <v>140.25</v>
      </c>
      <c r="H3766" s="1" t="s">
        <v>8</v>
      </c>
      <c r="I3766" t="str">
        <f t="shared" si="58"/>
        <v>NEW BAROQUE BLACK BOXES [84617]</v>
      </c>
    </row>
    <row r="3767" spans="1:9" x14ac:dyDescent="0.3">
      <c r="A3767" s="1">
        <v>84619</v>
      </c>
      <c r="B3767" t="s">
        <v>1875</v>
      </c>
      <c r="C3767" s="1">
        <v>33.72</v>
      </c>
      <c r="D3767" s="1">
        <v>13.5</v>
      </c>
      <c r="E3767" s="1">
        <v>18</v>
      </c>
      <c r="F3767" s="1">
        <v>4</v>
      </c>
      <c r="G3767" s="1">
        <v>1622.96</v>
      </c>
      <c r="H3767" s="1" t="s">
        <v>9</v>
      </c>
      <c r="I3767" t="str">
        <f t="shared" si="58"/>
        <v>BLUE GINGHAM ROSE QUILT [84619]</v>
      </c>
    </row>
    <row r="3768" spans="1:9" x14ac:dyDescent="0.3">
      <c r="A3768" s="1">
        <v>84620</v>
      </c>
      <c r="B3768" t="s">
        <v>1874</v>
      </c>
      <c r="C3768" s="1">
        <v>5.95</v>
      </c>
      <c r="D3768" s="1">
        <v>7</v>
      </c>
      <c r="E3768" s="2">
        <v>9.3076923076922995</v>
      </c>
      <c r="F3768" s="1">
        <v>13</v>
      </c>
      <c r="G3768" s="1">
        <v>746.61</v>
      </c>
      <c r="H3768" s="1" t="s">
        <v>8</v>
      </c>
      <c r="I3768" t="str">
        <f t="shared" si="58"/>
        <v>BLUE GINGHAM ROSE CUSHION COVER [84620]</v>
      </c>
    </row>
    <row r="3769" spans="1:9" x14ac:dyDescent="0.3">
      <c r="A3769" s="1">
        <v>84621</v>
      </c>
      <c r="B3769" t="s">
        <v>1873</v>
      </c>
      <c r="C3769" s="1">
        <v>7.95</v>
      </c>
      <c r="D3769" s="1">
        <v>4</v>
      </c>
      <c r="E3769" s="1">
        <v>5.8</v>
      </c>
      <c r="F3769" s="1">
        <v>5</v>
      </c>
      <c r="G3769" s="1">
        <v>247.26</v>
      </c>
      <c r="H3769" s="1" t="s">
        <v>8</v>
      </c>
      <c r="I3769" t="str">
        <f t="shared" si="58"/>
        <v>BLUE GINGHAM ROSE FLOOR CUSHION [84621]</v>
      </c>
    </row>
    <row r="3770" spans="1:9" x14ac:dyDescent="0.3">
      <c r="A3770" s="1">
        <v>84622</v>
      </c>
      <c r="B3770" t="s">
        <v>1872</v>
      </c>
      <c r="C3770" s="1">
        <v>5.95</v>
      </c>
      <c r="D3770" s="1">
        <v>7</v>
      </c>
      <c r="E3770" s="2">
        <v>7.6666666666666599</v>
      </c>
      <c r="F3770" s="1">
        <v>3</v>
      </c>
      <c r="G3770" s="1">
        <v>152.6</v>
      </c>
      <c r="H3770" s="1" t="s">
        <v>8</v>
      </c>
      <c r="I3770" t="str">
        <f t="shared" si="58"/>
        <v>PINK GINGHAM ROSE CUSHION COVER [84622]</v>
      </c>
    </row>
    <row r="3771" spans="1:9" x14ac:dyDescent="0.3">
      <c r="A3771" s="1">
        <v>84623</v>
      </c>
      <c r="B3771" t="s">
        <v>1871</v>
      </c>
      <c r="C3771" s="1">
        <v>8.66</v>
      </c>
      <c r="D3771" s="1">
        <v>10</v>
      </c>
      <c r="E3771" s="1">
        <v>14</v>
      </c>
      <c r="F3771" s="1">
        <v>4</v>
      </c>
      <c r="G3771" s="1">
        <v>310.44</v>
      </c>
      <c r="H3771" s="1" t="s">
        <v>9</v>
      </c>
      <c r="I3771" t="str">
        <f t="shared" si="58"/>
        <v>PINK GINGHAM ROSE FLOOR CUSHION [84623]</v>
      </c>
    </row>
    <row r="3772" spans="1:9" x14ac:dyDescent="0.3">
      <c r="A3772" s="1" t="s">
        <v>1870</v>
      </c>
      <c r="B3772" t="s">
        <v>1869</v>
      </c>
      <c r="C3772" s="1">
        <v>1.04</v>
      </c>
      <c r="D3772" s="1">
        <v>31.5</v>
      </c>
      <c r="E3772" s="2">
        <v>40.5555555555555</v>
      </c>
      <c r="F3772" s="1">
        <v>18</v>
      </c>
      <c r="G3772" s="1">
        <v>892.56</v>
      </c>
      <c r="H3772" s="1" t="s">
        <v>9</v>
      </c>
      <c r="I3772" t="str">
        <f t="shared" si="58"/>
        <v>PINK NEW BAROQUECANDLESTICK CANDLE [84625A]</v>
      </c>
    </row>
    <row r="3773" spans="1:9" x14ac:dyDescent="0.3">
      <c r="A3773" s="1" t="s">
        <v>1868</v>
      </c>
      <c r="B3773" t="s">
        <v>1867</v>
      </c>
      <c r="C3773" s="1">
        <v>1.47</v>
      </c>
      <c r="D3773" s="1">
        <v>43</v>
      </c>
      <c r="E3773" s="1">
        <v>45</v>
      </c>
      <c r="F3773" s="1">
        <v>4</v>
      </c>
      <c r="G3773" s="1">
        <v>279</v>
      </c>
      <c r="H3773" s="1" t="s">
        <v>9</v>
      </c>
      <c r="I3773" t="str">
        <f t="shared" si="58"/>
        <v>BLCK NEW BAROQUE CANDLESTICK CANDLE [84625B]</v>
      </c>
    </row>
    <row r="3774" spans="1:9" x14ac:dyDescent="0.3">
      <c r="A3774" s="1" t="s">
        <v>1866</v>
      </c>
      <c r="B3774" t="s">
        <v>1865</v>
      </c>
      <c r="C3774" s="2">
        <v>1.075</v>
      </c>
      <c r="D3774" s="1">
        <v>49.5</v>
      </c>
      <c r="E3774" s="2">
        <v>52.071428571428498</v>
      </c>
      <c r="F3774" s="1">
        <v>14</v>
      </c>
      <c r="G3774" s="2">
        <v>891.08999999999901</v>
      </c>
      <c r="H3774" s="1" t="s">
        <v>9</v>
      </c>
      <c r="I3774" t="str">
        <f t="shared" si="58"/>
        <v>BLUE NEW BAROQUE CANDLESTICK CANDLE [84625C]</v>
      </c>
    </row>
    <row r="3775" spans="1:9" x14ac:dyDescent="0.3">
      <c r="A3775" s="1" t="s">
        <v>1864</v>
      </c>
      <c r="B3775" t="s">
        <v>1863</v>
      </c>
      <c r="C3775" s="1">
        <v>1.085</v>
      </c>
      <c r="D3775" s="1">
        <v>50</v>
      </c>
      <c r="E3775" s="1">
        <v>64.7</v>
      </c>
      <c r="F3775" s="1">
        <v>10</v>
      </c>
      <c r="G3775" s="1">
        <v>784.49</v>
      </c>
      <c r="H3775" s="1" t="s">
        <v>9</v>
      </c>
      <c r="I3775" t="str">
        <f t="shared" si="58"/>
        <v>WHITE NEWBAROQUE CANDLESTICK CANDLE [84625D]</v>
      </c>
    </row>
    <row r="3776" spans="1:9" x14ac:dyDescent="0.3">
      <c r="A3776" s="1">
        <v>84626</v>
      </c>
      <c r="B3776" t="s">
        <v>1862</v>
      </c>
      <c r="C3776" s="1">
        <v>45.95</v>
      </c>
      <c r="D3776" s="1">
        <v>1</v>
      </c>
      <c r="E3776" s="1">
        <v>1</v>
      </c>
      <c r="F3776" s="1">
        <v>1</v>
      </c>
      <c r="G3776" s="1">
        <v>45.95</v>
      </c>
      <c r="H3776" s="1" t="s">
        <v>8</v>
      </c>
      <c r="I3776" t="str">
        <f t="shared" si="58"/>
        <v>CANDY STRIPE ROSE QUILT [84626]</v>
      </c>
    </row>
    <row r="3777" spans="1:9" x14ac:dyDescent="0.3">
      <c r="A3777" s="1">
        <v>84627</v>
      </c>
      <c r="B3777" t="s">
        <v>1861</v>
      </c>
      <c r="C3777" s="1">
        <v>5.95</v>
      </c>
      <c r="D3777" s="1">
        <v>4</v>
      </c>
      <c r="E3777" s="1">
        <v>6.25</v>
      </c>
      <c r="F3777" s="1">
        <v>8</v>
      </c>
      <c r="G3777" s="1">
        <v>297.5</v>
      </c>
      <c r="H3777" s="1" t="s">
        <v>8</v>
      </c>
      <c r="I3777" t="str">
        <f t="shared" si="58"/>
        <v>CANDY STRIPE ROSE C/COVER [84627]</v>
      </c>
    </row>
    <row r="3778" spans="1:9" x14ac:dyDescent="0.3">
      <c r="A3778" s="1">
        <v>84629</v>
      </c>
      <c r="B3778" t="s">
        <v>1860</v>
      </c>
      <c r="C3778" s="1">
        <v>21.95</v>
      </c>
      <c r="D3778" s="1">
        <v>1</v>
      </c>
      <c r="E3778" s="1">
        <v>1.4</v>
      </c>
      <c r="F3778" s="1">
        <v>5</v>
      </c>
      <c r="G3778" s="1">
        <v>153.65</v>
      </c>
      <c r="H3778" s="1" t="s">
        <v>8</v>
      </c>
      <c r="I3778" t="str">
        <f t="shared" si="58"/>
        <v>WHITE 3 FRAME BIRDS AND TREE [84629]</v>
      </c>
    </row>
    <row r="3779" spans="1:9" x14ac:dyDescent="0.3">
      <c r="A3779" s="1">
        <v>84630</v>
      </c>
      <c r="B3779" t="s">
        <v>1859</v>
      </c>
      <c r="C3779" s="1">
        <v>7.95</v>
      </c>
      <c r="D3779" s="1">
        <v>2</v>
      </c>
      <c r="E3779" s="1">
        <v>2</v>
      </c>
      <c r="F3779" s="1">
        <v>1</v>
      </c>
      <c r="G3779" s="1">
        <v>15.9</v>
      </c>
      <c r="H3779" s="1" t="s">
        <v>8</v>
      </c>
      <c r="I3779" t="str">
        <f t="shared" ref="I3779:I3842" si="59">B3779&amp;" ["&amp;A3779&amp;"]"</f>
        <v>FLOWERS AND BIRDS WALL PLAQUE [84630]</v>
      </c>
    </row>
    <row r="3780" spans="1:9" x14ac:dyDescent="0.3">
      <c r="A3780" s="1">
        <v>84631</v>
      </c>
      <c r="B3780" t="s">
        <v>1858</v>
      </c>
      <c r="C3780" s="1">
        <v>7.95</v>
      </c>
      <c r="D3780" s="1">
        <v>4</v>
      </c>
      <c r="E3780" s="1">
        <v>19.2</v>
      </c>
      <c r="F3780" s="1">
        <v>15</v>
      </c>
      <c r="G3780" s="2">
        <v>1106.1599999999901</v>
      </c>
      <c r="H3780" s="1" t="s">
        <v>8</v>
      </c>
      <c r="I3780" t="str">
        <f t="shared" si="59"/>
        <v>FRUIT TREE AND BIRDS WALL PLAQUE [84631]</v>
      </c>
    </row>
    <row r="3781" spans="1:9" x14ac:dyDescent="0.3">
      <c r="A3781" s="1">
        <v>84632</v>
      </c>
      <c r="B3781" t="s">
        <v>1857</v>
      </c>
      <c r="C3781" s="1">
        <v>59.95</v>
      </c>
      <c r="D3781" s="1">
        <v>2</v>
      </c>
      <c r="E3781" s="2">
        <v>2.1428571428571401</v>
      </c>
      <c r="F3781" s="1">
        <v>7</v>
      </c>
      <c r="G3781" s="1">
        <v>859.25</v>
      </c>
      <c r="H3781" s="1" t="s">
        <v>8</v>
      </c>
      <c r="I3781" t="str">
        <f t="shared" si="59"/>
        <v>DECORATIVE HANGING SHELVING UNIT [84632]</v>
      </c>
    </row>
    <row r="3782" spans="1:9" x14ac:dyDescent="0.3">
      <c r="A3782" s="1">
        <v>84637</v>
      </c>
      <c r="B3782" t="s">
        <v>1856</v>
      </c>
      <c r="C3782" s="1">
        <v>5.95</v>
      </c>
      <c r="D3782" s="1">
        <v>5</v>
      </c>
      <c r="E3782" s="1">
        <v>7.3</v>
      </c>
      <c r="F3782" s="1">
        <v>20</v>
      </c>
      <c r="G3782" s="1">
        <v>866.07</v>
      </c>
      <c r="H3782" s="1" t="s">
        <v>8</v>
      </c>
      <c r="I3782" t="str">
        <f t="shared" si="59"/>
        <v>KITCHEN FLOWER POTS WALL PLAQUE [84637]</v>
      </c>
    </row>
    <row r="3783" spans="1:9" x14ac:dyDescent="0.3">
      <c r="A3783" s="1">
        <v>84638</v>
      </c>
      <c r="B3783" t="s">
        <v>1855</v>
      </c>
      <c r="C3783" s="1">
        <v>6.95</v>
      </c>
      <c r="D3783" s="1">
        <v>3</v>
      </c>
      <c r="E3783" s="2">
        <v>4.0526315789473601</v>
      </c>
      <c r="F3783" s="1">
        <v>19</v>
      </c>
      <c r="G3783" s="1">
        <v>594.26</v>
      </c>
      <c r="H3783" s="1" t="s">
        <v>8</v>
      </c>
      <c r="I3783" t="str">
        <f t="shared" si="59"/>
        <v>SMALL KITCHEN FLOWER POTS PLAQUE [84638]</v>
      </c>
    </row>
    <row r="3784" spans="1:9" x14ac:dyDescent="0.3">
      <c r="A3784" s="1">
        <v>84648</v>
      </c>
      <c r="B3784" t="s">
        <v>1854</v>
      </c>
      <c r="C3784" s="1">
        <v>12.75</v>
      </c>
      <c r="D3784" s="1">
        <v>1</v>
      </c>
      <c r="E3784" s="1">
        <v>1</v>
      </c>
      <c r="F3784" s="1">
        <v>1</v>
      </c>
      <c r="G3784" s="1">
        <v>12.75</v>
      </c>
      <c r="H3784" s="1" t="s">
        <v>8</v>
      </c>
      <c r="I3784" t="str">
        <f t="shared" si="59"/>
        <v>NEW BAROQUE WALL MIRROR [84648]</v>
      </c>
    </row>
    <row r="3785" spans="1:9" x14ac:dyDescent="0.3">
      <c r="A3785" s="1">
        <v>84653</v>
      </c>
      <c r="B3785" t="s">
        <v>1853</v>
      </c>
      <c r="C3785" s="1">
        <v>44.75</v>
      </c>
      <c r="D3785" s="1">
        <v>5</v>
      </c>
      <c r="E3785" s="2">
        <v>4.6666666666666599</v>
      </c>
      <c r="F3785" s="1">
        <v>3</v>
      </c>
      <c r="G3785" s="1">
        <v>750.48</v>
      </c>
      <c r="H3785" s="1" t="s">
        <v>8</v>
      </c>
      <c r="I3785" t="str">
        <f t="shared" si="59"/>
        <v>GREEN ROSE QUILT [84653]</v>
      </c>
    </row>
    <row r="3786" spans="1:9" x14ac:dyDescent="0.3">
      <c r="A3786" s="1">
        <v>84656</v>
      </c>
      <c r="B3786" t="s">
        <v>1852</v>
      </c>
      <c r="C3786" s="1">
        <v>5.95</v>
      </c>
      <c r="D3786" s="1">
        <v>2.5</v>
      </c>
      <c r="E3786" s="2">
        <v>3.6666666666666599</v>
      </c>
      <c r="F3786" s="1">
        <v>6</v>
      </c>
      <c r="G3786" s="1">
        <v>130.9</v>
      </c>
      <c r="H3786" s="1" t="s">
        <v>8</v>
      </c>
      <c r="I3786" t="str">
        <f t="shared" si="59"/>
        <v>WHITE ROSE C/COVER [84656]</v>
      </c>
    </row>
    <row r="3787" spans="1:9" x14ac:dyDescent="0.3">
      <c r="A3787" s="1">
        <v>84657</v>
      </c>
      <c r="B3787" t="s">
        <v>1851</v>
      </c>
      <c r="C3787" s="1">
        <v>5.95</v>
      </c>
      <c r="D3787" s="1">
        <v>5</v>
      </c>
      <c r="E3787" s="1">
        <v>49.2</v>
      </c>
      <c r="F3787" s="1">
        <v>5</v>
      </c>
      <c r="G3787" s="1">
        <v>517.48</v>
      </c>
      <c r="H3787" s="1" t="s">
        <v>8</v>
      </c>
      <c r="I3787" t="str">
        <f t="shared" si="59"/>
        <v>GREEN ROSE CUSHION COVER [84657]</v>
      </c>
    </row>
    <row r="3788" spans="1:9" x14ac:dyDescent="0.3">
      <c r="A3788" s="1">
        <v>84658</v>
      </c>
      <c r="B3788" t="s">
        <v>1850</v>
      </c>
      <c r="C3788" s="1">
        <v>6.95</v>
      </c>
      <c r="D3788" s="1">
        <v>6</v>
      </c>
      <c r="E3788" s="2">
        <v>10.190476190476099</v>
      </c>
      <c r="F3788" s="1">
        <v>21</v>
      </c>
      <c r="G3788" s="1">
        <v>1199.6600000000001</v>
      </c>
      <c r="H3788" s="1" t="s">
        <v>8</v>
      </c>
      <c r="I3788" t="str">
        <f t="shared" si="59"/>
        <v>WHITE STITCHED CUSHION COVER [84658]</v>
      </c>
    </row>
    <row r="3789" spans="1:9" x14ac:dyDescent="0.3">
      <c r="A3789" s="1" t="s">
        <v>1849</v>
      </c>
      <c r="B3789" t="s">
        <v>1848</v>
      </c>
      <c r="C3789" s="1">
        <v>2.5299999999999998</v>
      </c>
      <c r="D3789" s="1">
        <v>21.5</v>
      </c>
      <c r="E3789" s="1">
        <v>24.5</v>
      </c>
      <c r="F3789" s="1">
        <v>24</v>
      </c>
      <c r="G3789" s="1">
        <v>1469.51</v>
      </c>
      <c r="H3789" s="1" t="s">
        <v>9</v>
      </c>
      <c r="I3789" t="str">
        <f t="shared" si="59"/>
        <v>WHITE TRAVEL ALARM CLOCK [84659A]</v>
      </c>
    </row>
    <row r="3790" spans="1:9" x14ac:dyDescent="0.3">
      <c r="A3790" s="1" t="s">
        <v>1847</v>
      </c>
      <c r="B3790" t="s">
        <v>1843</v>
      </c>
      <c r="C3790" s="1">
        <v>3.75</v>
      </c>
      <c r="D3790" s="1">
        <v>2</v>
      </c>
      <c r="E3790" s="2">
        <v>14.3333333333333</v>
      </c>
      <c r="F3790" s="1">
        <v>12</v>
      </c>
      <c r="G3790" s="1">
        <v>305.07</v>
      </c>
      <c r="H3790" s="1" t="s">
        <v>8</v>
      </c>
      <c r="I3790" t="str">
        <f t="shared" si="59"/>
        <v>WHITE STITCHED WALL CLOCK [84660A]</v>
      </c>
    </row>
    <row r="3791" spans="1:9" x14ac:dyDescent="0.3">
      <c r="A3791" s="1" t="s">
        <v>1846</v>
      </c>
      <c r="B3791" t="s">
        <v>1841</v>
      </c>
      <c r="C3791" s="1">
        <v>3.75</v>
      </c>
      <c r="D3791" s="1">
        <v>5</v>
      </c>
      <c r="E3791" s="1">
        <v>17.5625</v>
      </c>
      <c r="F3791" s="1">
        <v>16</v>
      </c>
      <c r="G3791" s="1">
        <v>521.08000000000004</v>
      </c>
      <c r="H3791" s="1" t="s">
        <v>8</v>
      </c>
      <c r="I3791" t="str">
        <f t="shared" si="59"/>
        <v>BLACK STITCHED WALL CLOCK [84660B]</v>
      </c>
    </row>
    <row r="3792" spans="1:9" x14ac:dyDescent="0.3">
      <c r="A3792" s="1" t="s">
        <v>1845</v>
      </c>
      <c r="B3792" t="s">
        <v>1839</v>
      </c>
      <c r="C3792" s="1">
        <v>4.2300000000000004</v>
      </c>
      <c r="D3792" s="1">
        <v>6</v>
      </c>
      <c r="E3792" s="2">
        <v>15.588235294117601</v>
      </c>
      <c r="F3792" s="1">
        <v>17</v>
      </c>
      <c r="G3792" s="1">
        <v>611.24</v>
      </c>
      <c r="H3792" s="1" t="s">
        <v>8</v>
      </c>
      <c r="I3792" t="str">
        <f t="shared" si="59"/>
        <v>PINK STITCHED WALL CLOCK [84660C]</v>
      </c>
    </row>
    <row r="3793" spans="1:9" x14ac:dyDescent="0.3">
      <c r="A3793" s="1" t="s">
        <v>1844</v>
      </c>
      <c r="B3793" t="s">
        <v>1843</v>
      </c>
      <c r="C3793" s="1">
        <v>7.62</v>
      </c>
      <c r="D3793" s="1">
        <v>1</v>
      </c>
      <c r="E3793" s="1">
        <v>1.75</v>
      </c>
      <c r="F3793" s="1">
        <v>4</v>
      </c>
      <c r="G3793" s="1">
        <v>52.7</v>
      </c>
      <c r="H3793" s="1" t="s">
        <v>8</v>
      </c>
      <c r="I3793" t="str">
        <f t="shared" si="59"/>
        <v>WHITE STITCHED WALL CLOCK [84660a]</v>
      </c>
    </row>
    <row r="3794" spans="1:9" x14ac:dyDescent="0.3">
      <c r="A3794" s="1" t="s">
        <v>1842</v>
      </c>
      <c r="B3794" t="s">
        <v>1841</v>
      </c>
      <c r="C3794" s="1">
        <v>7.62</v>
      </c>
      <c r="D3794" s="1">
        <v>1</v>
      </c>
      <c r="E3794" s="1">
        <v>1.4</v>
      </c>
      <c r="F3794" s="1">
        <v>5</v>
      </c>
      <c r="G3794" s="1">
        <v>53.18</v>
      </c>
      <c r="H3794" s="1" t="s">
        <v>8</v>
      </c>
      <c r="I3794" t="str">
        <f t="shared" si="59"/>
        <v>BLACK STITCHED WALL CLOCK [84660b]</v>
      </c>
    </row>
    <row r="3795" spans="1:9" x14ac:dyDescent="0.3">
      <c r="A3795" s="1" t="s">
        <v>1840</v>
      </c>
      <c r="B3795" t="s">
        <v>1839</v>
      </c>
      <c r="C3795" s="1">
        <v>7.54</v>
      </c>
      <c r="D3795" s="1">
        <v>2</v>
      </c>
      <c r="E3795" s="2">
        <v>2.21428571428571</v>
      </c>
      <c r="F3795" s="1">
        <v>14</v>
      </c>
      <c r="G3795" s="1">
        <v>233.98</v>
      </c>
      <c r="H3795" s="1" t="s">
        <v>8</v>
      </c>
      <c r="I3795" t="str">
        <f t="shared" si="59"/>
        <v>PINK STITCHED WALL CLOCK [84660c]</v>
      </c>
    </row>
    <row r="3796" spans="1:9" x14ac:dyDescent="0.3">
      <c r="A3796" s="1" t="s">
        <v>1838</v>
      </c>
      <c r="B3796" t="s">
        <v>1834</v>
      </c>
      <c r="C3796" s="1">
        <v>3.3</v>
      </c>
      <c r="D3796" s="1">
        <v>4.5</v>
      </c>
      <c r="E3796" s="1">
        <v>7.875</v>
      </c>
      <c r="F3796" s="1">
        <v>16</v>
      </c>
      <c r="G3796" s="1">
        <v>246.59</v>
      </c>
      <c r="H3796" s="1" t="s">
        <v>8</v>
      </c>
      <c r="I3796" t="str">
        <f t="shared" si="59"/>
        <v>WHITE SQUARE TABLE CLOCK [84661A]</v>
      </c>
    </row>
    <row r="3797" spans="1:9" x14ac:dyDescent="0.3">
      <c r="A3797" s="1" t="s">
        <v>1837</v>
      </c>
      <c r="B3797" t="s">
        <v>1832</v>
      </c>
      <c r="C3797" s="1">
        <v>3.39</v>
      </c>
      <c r="D3797" s="1">
        <v>4</v>
      </c>
      <c r="E3797" s="2">
        <v>10.058823529411701</v>
      </c>
      <c r="F3797" s="1">
        <v>17</v>
      </c>
      <c r="G3797" s="1">
        <v>483.42</v>
      </c>
      <c r="H3797" s="1" t="s">
        <v>8</v>
      </c>
      <c r="I3797" t="str">
        <f t="shared" si="59"/>
        <v>BLACK SQUARE TABLE CLOCK [84661B]</v>
      </c>
    </row>
    <row r="3798" spans="1:9" x14ac:dyDescent="0.3">
      <c r="A3798" s="1" t="s">
        <v>1836</v>
      </c>
      <c r="B3798" t="s">
        <v>1830</v>
      </c>
      <c r="C3798" s="1">
        <v>2.89</v>
      </c>
      <c r="D3798" s="1">
        <v>4</v>
      </c>
      <c r="E3798" s="2">
        <v>11.3333333333333</v>
      </c>
      <c r="F3798" s="1">
        <v>9</v>
      </c>
      <c r="G3798" s="1">
        <v>148.55000000000001</v>
      </c>
      <c r="H3798" s="1" t="s">
        <v>8</v>
      </c>
      <c r="I3798" t="str">
        <f t="shared" si="59"/>
        <v>PINK SQUARE TABLE CLOCK [84661C]</v>
      </c>
    </row>
    <row r="3799" spans="1:9" x14ac:dyDescent="0.3">
      <c r="A3799" s="1" t="s">
        <v>1835</v>
      </c>
      <c r="B3799" t="s">
        <v>1834</v>
      </c>
      <c r="C3799" s="1">
        <v>5.01</v>
      </c>
      <c r="D3799" s="1">
        <v>1</v>
      </c>
      <c r="E3799" s="1">
        <v>1</v>
      </c>
      <c r="F3799" s="1">
        <v>2</v>
      </c>
      <c r="G3799" s="1">
        <v>10.02</v>
      </c>
      <c r="H3799" s="1" t="s">
        <v>8</v>
      </c>
      <c r="I3799" t="str">
        <f t="shared" si="59"/>
        <v>WHITE SQUARE TABLE CLOCK [84661a]</v>
      </c>
    </row>
    <row r="3800" spans="1:9" x14ac:dyDescent="0.3">
      <c r="A3800" s="1" t="s">
        <v>1833</v>
      </c>
      <c r="B3800" t="s">
        <v>1832</v>
      </c>
      <c r="C3800" s="1">
        <v>4.96</v>
      </c>
      <c r="D3800" s="1">
        <v>1</v>
      </c>
      <c r="E3800" s="1">
        <v>1</v>
      </c>
      <c r="F3800" s="1">
        <v>1</v>
      </c>
      <c r="G3800" s="1">
        <v>4.96</v>
      </c>
      <c r="H3800" s="1" t="s">
        <v>8</v>
      </c>
      <c r="I3800" t="str">
        <f t="shared" si="59"/>
        <v>BLACK SQUARE TABLE CLOCK [84661b]</v>
      </c>
    </row>
    <row r="3801" spans="1:9" x14ac:dyDescent="0.3">
      <c r="A3801" s="1" t="s">
        <v>1831</v>
      </c>
      <c r="B3801" t="s">
        <v>1830</v>
      </c>
      <c r="C3801" s="1">
        <v>5.0599999999999996</v>
      </c>
      <c r="D3801" s="1">
        <v>1</v>
      </c>
      <c r="E3801" s="1">
        <v>1</v>
      </c>
      <c r="F3801" s="1">
        <v>2</v>
      </c>
      <c r="G3801" s="1">
        <v>10.119999999999999</v>
      </c>
      <c r="H3801" s="1" t="s">
        <v>8</v>
      </c>
      <c r="I3801" t="str">
        <f t="shared" si="59"/>
        <v>PINK SQUARE TABLE CLOCK [84661c]</v>
      </c>
    </row>
    <row r="3802" spans="1:9" x14ac:dyDescent="0.3">
      <c r="A3802" s="1" t="s">
        <v>1829</v>
      </c>
      <c r="B3802" t="s">
        <v>1828</v>
      </c>
      <c r="C3802" s="1">
        <v>5.915</v>
      </c>
      <c r="D3802" s="1">
        <v>4</v>
      </c>
      <c r="E3802" s="2">
        <v>9.05555555555555</v>
      </c>
      <c r="F3802" s="1">
        <v>18</v>
      </c>
      <c r="G3802" s="1">
        <v>580.49</v>
      </c>
      <c r="H3802" s="1" t="s">
        <v>8</v>
      </c>
      <c r="I3802" t="str">
        <f t="shared" si="59"/>
        <v>GRASS HOPPER WOODEN WALL CLOCK [84663A]</v>
      </c>
    </row>
    <row r="3803" spans="1:9" x14ac:dyDescent="0.3">
      <c r="A3803" s="1">
        <v>84664</v>
      </c>
      <c r="B3803" t="s">
        <v>1827</v>
      </c>
      <c r="C3803" s="1">
        <v>4.95</v>
      </c>
      <c r="D3803" s="1">
        <v>8</v>
      </c>
      <c r="E3803" s="1">
        <v>24.125</v>
      </c>
      <c r="F3803" s="1">
        <v>8</v>
      </c>
      <c r="G3803" s="1">
        <v>955.35</v>
      </c>
      <c r="H3803" s="1" t="s">
        <v>8</v>
      </c>
      <c r="I3803" t="str">
        <f t="shared" si="59"/>
        <v>CHERRY BLOSSOM BATHROOM CABINET [84664]</v>
      </c>
    </row>
    <row r="3804" spans="1:9" x14ac:dyDescent="0.3">
      <c r="A3804" s="1">
        <v>84665</v>
      </c>
      <c r="B3804" t="s">
        <v>1826</v>
      </c>
      <c r="C3804" s="1">
        <v>5.95</v>
      </c>
      <c r="D3804" s="1">
        <v>8</v>
      </c>
      <c r="E3804" s="2">
        <v>13.294117647058799</v>
      </c>
      <c r="F3804" s="1">
        <v>17</v>
      </c>
      <c r="G3804" s="1">
        <v>1364.7</v>
      </c>
      <c r="H3804" s="1" t="s">
        <v>8</v>
      </c>
      <c r="I3804" t="str">
        <f t="shared" si="59"/>
        <v>SQUARE CHERRY BLOSSOM CABINET [84665]</v>
      </c>
    </row>
    <row r="3805" spans="1:9" x14ac:dyDescent="0.3">
      <c r="A3805" s="1">
        <v>84666</v>
      </c>
      <c r="B3805" t="s">
        <v>1826</v>
      </c>
      <c r="C3805" s="1">
        <v>3.95</v>
      </c>
      <c r="D3805" s="1">
        <v>12</v>
      </c>
      <c r="E3805" s="1">
        <v>22.6</v>
      </c>
      <c r="F3805" s="1">
        <v>10</v>
      </c>
      <c r="G3805" s="2">
        <v>892.69999999999902</v>
      </c>
      <c r="H3805" s="1" t="s">
        <v>9</v>
      </c>
      <c r="I3805" t="str">
        <f t="shared" si="59"/>
        <v>SQUARE CHERRY BLOSSOM CABINET [84666]</v>
      </c>
    </row>
    <row r="3806" spans="1:9" x14ac:dyDescent="0.3">
      <c r="A3806" s="1">
        <v>84670</v>
      </c>
      <c r="B3806" t="s">
        <v>1825</v>
      </c>
      <c r="C3806" s="1">
        <v>0.41</v>
      </c>
      <c r="D3806" s="1">
        <v>405.5</v>
      </c>
      <c r="E3806" s="1">
        <v>433</v>
      </c>
      <c r="F3806" s="1">
        <v>12</v>
      </c>
      <c r="G3806" s="2">
        <v>2128.7199999999998</v>
      </c>
      <c r="H3806" s="1" t="s">
        <v>10</v>
      </c>
      <c r="I3806" t="str">
        <f t="shared" si="59"/>
        <v>JAPANESE CROCHETED ANIMAL [84670]</v>
      </c>
    </row>
    <row r="3807" spans="1:9" x14ac:dyDescent="0.3">
      <c r="A3807" s="1" t="s">
        <v>1824</v>
      </c>
      <c r="B3807" t="s">
        <v>1823</v>
      </c>
      <c r="C3807" s="1">
        <v>2.76</v>
      </c>
      <c r="D3807" s="1">
        <v>54.5</v>
      </c>
      <c r="E3807" s="1">
        <v>54.5</v>
      </c>
      <c r="F3807" s="1">
        <v>2</v>
      </c>
      <c r="G3807" s="1">
        <v>306.77</v>
      </c>
      <c r="H3807" s="1" t="s">
        <v>9</v>
      </c>
      <c r="I3807" t="str">
        <f t="shared" si="59"/>
        <v>CROCHET BEAR WITH BLUE STRIPES [84671B]</v>
      </c>
    </row>
    <row r="3808" spans="1:9" x14ac:dyDescent="0.3">
      <c r="A3808" s="1" t="s">
        <v>1822</v>
      </c>
      <c r="B3808" t="s">
        <v>1821</v>
      </c>
      <c r="C3808" s="1">
        <v>0.65</v>
      </c>
      <c r="D3808" s="1">
        <v>5</v>
      </c>
      <c r="E3808" s="2">
        <v>23.8095238095238</v>
      </c>
      <c r="F3808" s="1">
        <v>21</v>
      </c>
      <c r="G3808" s="1">
        <v>314.83999999999997</v>
      </c>
      <c r="H3808" s="1" t="s">
        <v>8</v>
      </c>
      <c r="I3808" t="str">
        <f t="shared" si="59"/>
        <v>PINK FLY SWAT [84673A]</v>
      </c>
    </row>
    <row r="3809" spans="1:9" x14ac:dyDescent="0.3">
      <c r="A3809" s="1" t="s">
        <v>1820</v>
      </c>
      <c r="B3809" t="s">
        <v>1819</v>
      </c>
      <c r="C3809" s="1">
        <v>0.755</v>
      </c>
      <c r="D3809" s="1">
        <v>12</v>
      </c>
      <c r="E3809" s="2">
        <v>20.9583333333333</v>
      </c>
      <c r="F3809" s="1">
        <v>24</v>
      </c>
      <c r="G3809" s="1">
        <v>391.31</v>
      </c>
      <c r="H3809" s="1" t="s">
        <v>9</v>
      </c>
      <c r="I3809" t="str">
        <f t="shared" si="59"/>
        <v>BLUE FLY SWAT [84673B]</v>
      </c>
    </row>
    <row r="3810" spans="1:9" x14ac:dyDescent="0.3">
      <c r="A3810" s="1">
        <v>84674</v>
      </c>
      <c r="B3810" t="s">
        <v>1818</v>
      </c>
      <c r="C3810" s="1">
        <v>2.95</v>
      </c>
      <c r="D3810" s="1">
        <v>12</v>
      </c>
      <c r="E3810" s="1">
        <v>18.399999999999999</v>
      </c>
      <c r="F3810" s="1">
        <v>25</v>
      </c>
      <c r="G3810" s="1">
        <v>1175.93</v>
      </c>
      <c r="H3810" s="1" t="s">
        <v>9</v>
      </c>
      <c r="I3810" t="str">
        <f t="shared" si="59"/>
        <v>FLYING PIG WATERING CAN [84674]</v>
      </c>
    </row>
    <row r="3811" spans="1:9" x14ac:dyDescent="0.3">
      <c r="A3811" s="1">
        <v>84675</v>
      </c>
      <c r="B3811" t="s">
        <v>1817</v>
      </c>
      <c r="C3811" s="1">
        <v>2.95</v>
      </c>
      <c r="D3811" s="1">
        <v>7</v>
      </c>
      <c r="E3811" s="2">
        <v>15.846153846153801</v>
      </c>
      <c r="F3811" s="1">
        <v>13</v>
      </c>
      <c r="G3811" s="1">
        <v>571.71</v>
      </c>
      <c r="H3811" s="1" t="s">
        <v>8</v>
      </c>
      <c r="I3811" t="str">
        <f t="shared" si="59"/>
        <v>FROG KING WATERING CAN [84675]</v>
      </c>
    </row>
    <row r="3812" spans="1:9" x14ac:dyDescent="0.3">
      <c r="A3812" s="1">
        <v>84676</v>
      </c>
      <c r="B3812" t="s">
        <v>1816</v>
      </c>
      <c r="C3812" s="1">
        <v>2.95</v>
      </c>
      <c r="D3812" s="1">
        <v>40</v>
      </c>
      <c r="E3812" s="2">
        <v>94.2222222222222</v>
      </c>
      <c r="F3812" s="1">
        <v>9</v>
      </c>
      <c r="G3812" s="1">
        <v>2102.46</v>
      </c>
      <c r="H3812" s="1" t="s">
        <v>9</v>
      </c>
      <c r="I3812" t="str">
        <f t="shared" si="59"/>
        <v>BATH DUCK WATERING CAN [84676]</v>
      </c>
    </row>
    <row r="3813" spans="1:9" x14ac:dyDescent="0.3">
      <c r="A3813" s="1">
        <v>84678</v>
      </c>
      <c r="B3813" t="s">
        <v>1815</v>
      </c>
      <c r="C3813" s="1">
        <v>2.1349999999999998</v>
      </c>
      <c r="D3813" s="1">
        <v>30</v>
      </c>
      <c r="E3813" s="1">
        <v>35.3125</v>
      </c>
      <c r="F3813" s="1">
        <v>16</v>
      </c>
      <c r="G3813" s="1">
        <v>1108.28</v>
      </c>
      <c r="H3813" s="1" t="s">
        <v>9</v>
      </c>
      <c r="I3813" t="str">
        <f t="shared" si="59"/>
        <v>CLASSICAL ROSE SMALL VASE [84678]</v>
      </c>
    </row>
    <row r="3814" spans="1:9" x14ac:dyDescent="0.3">
      <c r="A3814" s="1">
        <v>84679</v>
      </c>
      <c r="B3814" t="s">
        <v>1814</v>
      </c>
      <c r="C3814" s="1">
        <v>4.95</v>
      </c>
      <c r="D3814" s="1">
        <v>6</v>
      </c>
      <c r="E3814" s="1">
        <v>6</v>
      </c>
      <c r="F3814" s="1">
        <v>2</v>
      </c>
      <c r="G3814" s="2">
        <v>63.4</v>
      </c>
      <c r="H3814" s="1" t="s">
        <v>8</v>
      </c>
      <c r="I3814" t="str">
        <f t="shared" si="59"/>
        <v>CLASSICAL ROSE TABLE LAMP [84679]</v>
      </c>
    </row>
    <row r="3815" spans="1:9" x14ac:dyDescent="0.3">
      <c r="A3815" s="1">
        <v>84680</v>
      </c>
      <c r="B3815" t="s">
        <v>1813</v>
      </c>
      <c r="C3815" s="1">
        <v>7.95</v>
      </c>
      <c r="D3815" s="1">
        <v>1</v>
      </c>
      <c r="E3815" s="2">
        <v>13.4285714285714</v>
      </c>
      <c r="F3815" s="1">
        <v>7</v>
      </c>
      <c r="G3815" s="1">
        <v>372.3</v>
      </c>
      <c r="H3815" s="1" t="s">
        <v>8</v>
      </c>
      <c r="I3815" t="str">
        <f t="shared" si="59"/>
        <v>CLASSICAL ROSE URN [84680]</v>
      </c>
    </row>
    <row r="3816" spans="1:9" x14ac:dyDescent="0.3">
      <c r="A3816" s="1">
        <v>84682</v>
      </c>
      <c r="B3816" t="s">
        <v>1812</v>
      </c>
      <c r="C3816" s="2">
        <v>3.0649999999999999</v>
      </c>
      <c r="D3816" s="1">
        <v>19.5</v>
      </c>
      <c r="E3816" s="1">
        <v>29.5</v>
      </c>
      <c r="F3816" s="1">
        <v>10</v>
      </c>
      <c r="G3816" s="2">
        <v>596.93999999999903</v>
      </c>
      <c r="H3816" s="1" t="s">
        <v>9</v>
      </c>
      <c r="I3816" t="str">
        <f t="shared" si="59"/>
        <v>CLASSICAL ROSE DISH [84682]</v>
      </c>
    </row>
    <row r="3817" spans="1:9" x14ac:dyDescent="0.3">
      <c r="A3817" s="1">
        <v>84683</v>
      </c>
      <c r="B3817" t="s">
        <v>1811</v>
      </c>
      <c r="C3817" s="1">
        <v>1.32</v>
      </c>
      <c r="D3817" s="1">
        <v>30</v>
      </c>
      <c r="E3817" s="1">
        <v>35.799999999999997</v>
      </c>
      <c r="F3817" s="1">
        <v>15</v>
      </c>
      <c r="G3817" s="1">
        <v>516.85</v>
      </c>
      <c r="H3817" s="1" t="s">
        <v>9</v>
      </c>
      <c r="I3817" t="str">
        <f t="shared" si="59"/>
        <v>CLASSICAL ROSE CANDLESTAND [84683]</v>
      </c>
    </row>
    <row r="3818" spans="1:9" x14ac:dyDescent="0.3">
      <c r="A3818" s="1">
        <v>84684</v>
      </c>
      <c r="B3818" t="s">
        <v>1810</v>
      </c>
      <c r="C3818" s="1">
        <v>2.8</v>
      </c>
      <c r="D3818" s="1">
        <v>24.5</v>
      </c>
      <c r="E3818" s="1">
        <v>101.5</v>
      </c>
      <c r="F3818" s="1">
        <v>6</v>
      </c>
      <c r="G3818" s="2">
        <v>720.69999999999902</v>
      </c>
      <c r="H3818" s="1" t="s">
        <v>9</v>
      </c>
      <c r="I3818" t="str">
        <f t="shared" si="59"/>
        <v>BEACH HUT PHOTO FRAME [84684]</v>
      </c>
    </row>
    <row r="3819" spans="1:9" x14ac:dyDescent="0.3">
      <c r="A3819" s="1">
        <v>84685</v>
      </c>
      <c r="B3819" t="s">
        <v>1809</v>
      </c>
      <c r="C3819" s="1">
        <v>4.665</v>
      </c>
      <c r="D3819" s="1">
        <v>13.5</v>
      </c>
      <c r="E3819" s="1">
        <v>27.1875</v>
      </c>
      <c r="F3819" s="1">
        <v>16</v>
      </c>
      <c r="G3819" s="1">
        <v>1366.17</v>
      </c>
      <c r="H3819" s="1" t="s">
        <v>9</v>
      </c>
      <c r="I3819" t="str">
        <f t="shared" si="59"/>
        <v>BEACH HUT KEY CABINET [84685]</v>
      </c>
    </row>
    <row r="3820" spans="1:9" x14ac:dyDescent="0.3">
      <c r="A3820" s="1">
        <v>84686</v>
      </c>
      <c r="B3820" t="s">
        <v>1808</v>
      </c>
      <c r="C3820" s="1">
        <v>5.94</v>
      </c>
      <c r="D3820" s="1">
        <v>5</v>
      </c>
      <c r="E3820" s="1">
        <v>23.2</v>
      </c>
      <c r="F3820" s="1">
        <v>15</v>
      </c>
      <c r="G3820" s="1">
        <v>995.4</v>
      </c>
      <c r="H3820" s="1" t="s">
        <v>8</v>
      </c>
      <c r="I3820" t="str">
        <f t="shared" si="59"/>
        <v>BEACH HUT MIRROR [84686]</v>
      </c>
    </row>
    <row r="3821" spans="1:9" x14ac:dyDescent="0.3">
      <c r="A3821" s="1">
        <v>84687</v>
      </c>
      <c r="B3821" t="s">
        <v>1807</v>
      </c>
      <c r="C3821" s="1">
        <v>6.8</v>
      </c>
      <c r="D3821" s="1">
        <v>4</v>
      </c>
      <c r="E3821" s="2">
        <v>14.952380952380899</v>
      </c>
      <c r="F3821" s="1">
        <v>21</v>
      </c>
      <c r="G3821" s="1">
        <v>1208.06</v>
      </c>
      <c r="H3821" s="1" t="s">
        <v>8</v>
      </c>
      <c r="I3821" t="str">
        <f t="shared" si="59"/>
        <v>BEACH HUT SHELF W 3 DRAWERS [84687]</v>
      </c>
    </row>
    <row r="3822" spans="1:9" x14ac:dyDescent="0.3">
      <c r="A3822" s="1">
        <v>84688</v>
      </c>
      <c r="B3822" t="s">
        <v>1806</v>
      </c>
      <c r="C3822" s="1">
        <v>4.83</v>
      </c>
      <c r="D3822" s="1">
        <v>9</v>
      </c>
      <c r="E3822" s="2">
        <v>24.823529411764699</v>
      </c>
      <c r="F3822" s="1">
        <v>17</v>
      </c>
      <c r="G3822" s="1">
        <v>1313.52</v>
      </c>
      <c r="H3822" s="1" t="s">
        <v>8</v>
      </c>
      <c r="I3822" t="str">
        <f t="shared" si="59"/>
        <v>BEACH HUT DESIGN BLACKBOARD [84688]</v>
      </c>
    </row>
    <row r="3823" spans="1:9" x14ac:dyDescent="0.3">
      <c r="A3823" s="1">
        <v>84689</v>
      </c>
      <c r="B3823" t="s">
        <v>1805</v>
      </c>
      <c r="C3823" s="1">
        <v>5.95</v>
      </c>
      <c r="D3823" s="1">
        <v>2.5</v>
      </c>
      <c r="E3823" s="2">
        <v>22.285714285714199</v>
      </c>
      <c r="F3823" s="1">
        <v>14</v>
      </c>
      <c r="G3823" s="1">
        <v>742.9</v>
      </c>
      <c r="H3823" s="1" t="s">
        <v>8</v>
      </c>
      <c r="I3823" t="str">
        <f t="shared" si="59"/>
        <v>S/2 BEACH HUT TREASURE CHESTS [84689]</v>
      </c>
    </row>
    <row r="3824" spans="1:9" x14ac:dyDescent="0.3">
      <c r="A3824" s="1">
        <v>84690</v>
      </c>
      <c r="B3824" t="s">
        <v>1804</v>
      </c>
      <c r="C3824" s="1">
        <v>7.95</v>
      </c>
      <c r="D3824" s="1">
        <v>4</v>
      </c>
      <c r="E3824" s="2">
        <v>3.8571428571428501</v>
      </c>
      <c r="F3824" s="1">
        <v>7</v>
      </c>
      <c r="G3824" s="1">
        <v>214.65</v>
      </c>
      <c r="H3824" s="1" t="s">
        <v>8</v>
      </c>
      <c r="I3824" t="str">
        <f t="shared" si="59"/>
        <v>S/2 BEACH HUT STOOLS [84690]</v>
      </c>
    </row>
    <row r="3825" spans="1:9" x14ac:dyDescent="0.3">
      <c r="A3825" s="1">
        <v>84691</v>
      </c>
      <c r="B3825" t="s">
        <v>1803</v>
      </c>
      <c r="C3825" s="1">
        <v>0.81</v>
      </c>
      <c r="D3825" s="1">
        <v>80</v>
      </c>
      <c r="E3825" s="2">
        <v>183.13333333333301</v>
      </c>
      <c r="F3825" s="1">
        <v>15</v>
      </c>
      <c r="G3825" s="1">
        <v>2225.5</v>
      </c>
      <c r="H3825" s="1" t="s">
        <v>10</v>
      </c>
      <c r="I3825" t="str">
        <f t="shared" si="59"/>
        <v>PACK 20 DOLLY PEGS [84691]</v>
      </c>
    </row>
    <row r="3826" spans="1:9" x14ac:dyDescent="0.3">
      <c r="A3826" s="1">
        <v>84692</v>
      </c>
      <c r="B3826" t="s">
        <v>1802</v>
      </c>
      <c r="C3826" s="1">
        <v>0.46</v>
      </c>
      <c r="D3826" s="1">
        <v>744</v>
      </c>
      <c r="E3826" s="1">
        <v>763.4</v>
      </c>
      <c r="F3826" s="1">
        <v>25</v>
      </c>
      <c r="G3826" s="1">
        <v>9336.68</v>
      </c>
      <c r="H3826" s="1" t="s">
        <v>10</v>
      </c>
      <c r="I3826" t="str">
        <f t="shared" si="59"/>
        <v>BOX OF 24 COCKTAIL PARASOLS [84692]</v>
      </c>
    </row>
    <row r="3827" spans="1:9" x14ac:dyDescent="0.3">
      <c r="A3827" s="1" t="s">
        <v>1801</v>
      </c>
      <c r="B3827" t="s">
        <v>1800</v>
      </c>
      <c r="C3827" s="1">
        <v>4.6500000000000004</v>
      </c>
      <c r="D3827" s="1">
        <v>2</v>
      </c>
      <c r="E3827" s="1">
        <v>2.8</v>
      </c>
      <c r="F3827" s="1">
        <v>5</v>
      </c>
      <c r="G3827" s="2">
        <v>65.099999999999994</v>
      </c>
      <c r="H3827" s="1" t="s">
        <v>8</v>
      </c>
      <c r="I3827" t="str">
        <f t="shared" si="59"/>
        <v>ENGLISH ROSE PHOTO FRAME [84705A]</v>
      </c>
    </row>
    <row r="3828" spans="1:9" x14ac:dyDescent="0.3">
      <c r="A3828" s="1" t="s">
        <v>1799</v>
      </c>
      <c r="B3828" t="s">
        <v>1791</v>
      </c>
      <c r="C3828" s="1">
        <v>1.35</v>
      </c>
      <c r="D3828" s="1">
        <v>84</v>
      </c>
      <c r="E3828" s="1">
        <v>84</v>
      </c>
      <c r="F3828" s="1">
        <v>1</v>
      </c>
      <c r="G3828" s="1">
        <v>113.27</v>
      </c>
      <c r="H3828" s="1" t="s">
        <v>10</v>
      </c>
      <c r="I3828" t="str">
        <f t="shared" si="59"/>
        <v>FAIRY CAKES PHOTO FRAME [84705B]</v>
      </c>
    </row>
    <row r="3829" spans="1:9" x14ac:dyDescent="0.3">
      <c r="A3829" s="1" t="s">
        <v>1798</v>
      </c>
      <c r="B3829" t="s">
        <v>1797</v>
      </c>
      <c r="C3829" s="2">
        <v>2.78</v>
      </c>
      <c r="D3829" s="1">
        <v>7</v>
      </c>
      <c r="E3829" s="1">
        <v>27</v>
      </c>
      <c r="F3829" s="1">
        <v>6</v>
      </c>
      <c r="G3829" s="2">
        <v>227.32999999999899</v>
      </c>
      <c r="H3829" s="1" t="s">
        <v>8</v>
      </c>
      <c r="I3829" t="str">
        <f t="shared" si="59"/>
        <v>PINK FLOCK PHOTO FRAME [84705C]</v>
      </c>
    </row>
    <row r="3830" spans="1:9" x14ac:dyDescent="0.3">
      <c r="A3830" s="1" t="s">
        <v>1796</v>
      </c>
      <c r="B3830" t="s">
        <v>1795</v>
      </c>
      <c r="C3830" s="1">
        <v>4.41</v>
      </c>
      <c r="D3830" s="1">
        <v>2.5</v>
      </c>
      <c r="E3830" s="2">
        <v>3.6666666666666599</v>
      </c>
      <c r="F3830" s="1">
        <v>6</v>
      </c>
      <c r="G3830" s="2">
        <v>97.899999999999906</v>
      </c>
      <c r="H3830" s="1" t="s">
        <v>8</v>
      </c>
      <c r="I3830" t="str">
        <f t="shared" si="59"/>
        <v>CHERRY BLOSSOM PHOTO FRAME [84705D]</v>
      </c>
    </row>
    <row r="3831" spans="1:9" x14ac:dyDescent="0.3">
      <c r="A3831" s="1" t="s">
        <v>1794</v>
      </c>
      <c r="B3831" t="s">
        <v>1793</v>
      </c>
      <c r="C3831" s="1">
        <v>4.6500000000000004</v>
      </c>
      <c r="D3831" s="1">
        <v>3</v>
      </c>
      <c r="E3831" s="2">
        <v>2.6666666666666599</v>
      </c>
      <c r="F3831" s="1">
        <v>3</v>
      </c>
      <c r="G3831" s="1">
        <v>37.200000000000003</v>
      </c>
      <c r="H3831" s="1" t="s">
        <v>8</v>
      </c>
      <c r="I3831" t="str">
        <f t="shared" si="59"/>
        <v>RED PEONY PHOTO FRAME [84705F]</v>
      </c>
    </row>
    <row r="3832" spans="1:9" x14ac:dyDescent="0.3">
      <c r="A3832" s="1" t="s">
        <v>1792</v>
      </c>
      <c r="B3832" t="s">
        <v>1791</v>
      </c>
      <c r="C3832" s="1">
        <v>3.43</v>
      </c>
      <c r="D3832" s="1">
        <v>2</v>
      </c>
      <c r="E3832" s="1">
        <v>2</v>
      </c>
      <c r="F3832" s="1">
        <v>1</v>
      </c>
      <c r="G3832" s="1">
        <v>6.86</v>
      </c>
      <c r="H3832" s="1" t="s">
        <v>8</v>
      </c>
      <c r="I3832" t="str">
        <f t="shared" si="59"/>
        <v>FAIRY CAKES PHOTO FRAME [84705b]</v>
      </c>
    </row>
    <row r="3833" spans="1:9" x14ac:dyDescent="0.3">
      <c r="A3833" s="1" t="s">
        <v>1790</v>
      </c>
      <c r="B3833" t="s">
        <v>1789</v>
      </c>
      <c r="C3833" s="1">
        <v>2.1800000000000002</v>
      </c>
      <c r="D3833" s="1">
        <v>68</v>
      </c>
      <c r="E3833" s="1">
        <v>68</v>
      </c>
      <c r="F3833" s="1">
        <v>2</v>
      </c>
      <c r="G3833" s="1">
        <v>316.93</v>
      </c>
      <c r="H3833" s="1" t="s">
        <v>10</v>
      </c>
      <c r="I3833" t="str">
        <f t="shared" si="59"/>
        <v>ENGLISH ROSE TABLE CLOCK [84706A]</v>
      </c>
    </row>
    <row r="3834" spans="1:9" x14ac:dyDescent="0.3">
      <c r="A3834" s="1" t="s">
        <v>1788</v>
      </c>
      <c r="B3834" t="s">
        <v>1787</v>
      </c>
      <c r="C3834" s="1">
        <v>8.9499999999999993</v>
      </c>
      <c r="D3834" s="1">
        <v>5</v>
      </c>
      <c r="E3834" s="2">
        <v>6.6666666666666599</v>
      </c>
      <c r="F3834" s="1">
        <v>3</v>
      </c>
      <c r="G3834" s="1">
        <v>188.73</v>
      </c>
      <c r="H3834" s="1" t="s">
        <v>8</v>
      </c>
      <c r="I3834" t="str">
        <f t="shared" si="59"/>
        <v>FAIRY CAKES TABLE CLOCK [84706B]</v>
      </c>
    </row>
    <row r="3835" spans="1:9" x14ac:dyDescent="0.3">
      <c r="A3835" s="1" t="s">
        <v>1786</v>
      </c>
      <c r="B3835" t="s">
        <v>1785</v>
      </c>
      <c r="C3835" s="1">
        <v>2.09</v>
      </c>
      <c r="D3835" s="1">
        <v>42</v>
      </c>
      <c r="E3835" s="1">
        <v>42</v>
      </c>
      <c r="F3835" s="1">
        <v>2</v>
      </c>
      <c r="G3835" s="1">
        <v>170.8</v>
      </c>
      <c r="H3835" s="1" t="s">
        <v>9</v>
      </c>
      <c r="I3835" t="str">
        <f t="shared" si="59"/>
        <v>PINK FLOCK TABLE CLOCK [84706C]</v>
      </c>
    </row>
    <row r="3836" spans="1:9" x14ac:dyDescent="0.3">
      <c r="A3836" s="1" t="s">
        <v>1784</v>
      </c>
      <c r="B3836" t="s">
        <v>1783</v>
      </c>
      <c r="C3836" s="1">
        <v>1.95</v>
      </c>
      <c r="D3836" s="1">
        <v>24</v>
      </c>
      <c r="E3836" s="1">
        <v>26.75</v>
      </c>
      <c r="F3836" s="1">
        <v>8</v>
      </c>
      <c r="G3836" s="1">
        <v>445.3</v>
      </c>
      <c r="H3836" s="1" t="s">
        <v>9</v>
      </c>
      <c r="I3836" t="str">
        <f t="shared" si="59"/>
        <v>CHERRY BLOSSOM TABLE CLOCK [84706D]</v>
      </c>
    </row>
    <row r="3837" spans="1:9" x14ac:dyDescent="0.3">
      <c r="A3837" s="1" t="s">
        <v>1782</v>
      </c>
      <c r="B3837" t="s">
        <v>1781</v>
      </c>
      <c r="C3837" s="1">
        <v>8.9499999999999993</v>
      </c>
      <c r="D3837" s="1">
        <v>4</v>
      </c>
      <c r="E3837" s="2">
        <v>3.0909090909090899</v>
      </c>
      <c r="F3837" s="1">
        <v>11</v>
      </c>
      <c r="G3837" s="2">
        <v>208.29999999999899</v>
      </c>
      <c r="H3837" s="1" t="s">
        <v>8</v>
      </c>
      <c r="I3837" t="str">
        <f t="shared" si="59"/>
        <v>RED PEONY TABLE CLOCK [84706F]</v>
      </c>
    </row>
    <row r="3838" spans="1:9" x14ac:dyDescent="0.3">
      <c r="A3838" s="1" t="s">
        <v>1780</v>
      </c>
      <c r="B3838" t="s">
        <v>1779</v>
      </c>
      <c r="C3838" s="1">
        <v>9.9499999999999993</v>
      </c>
      <c r="D3838" s="1">
        <v>3</v>
      </c>
      <c r="E3838" s="2">
        <v>4.4285714285714199</v>
      </c>
      <c r="F3838" s="1">
        <v>21</v>
      </c>
      <c r="G3838" s="1">
        <v>983.48</v>
      </c>
      <c r="H3838" s="1" t="s">
        <v>8</v>
      </c>
      <c r="I3838" t="str">
        <f t="shared" si="59"/>
        <v>SILVER JEWELLED MIRROR TRINKET TRAY [84707A]</v>
      </c>
    </row>
    <row r="3839" spans="1:9" x14ac:dyDescent="0.3">
      <c r="A3839" s="1" t="s">
        <v>1778</v>
      </c>
      <c r="B3839" t="s">
        <v>1777</v>
      </c>
      <c r="C3839" s="1">
        <v>9.2100000000000009</v>
      </c>
      <c r="D3839" s="1">
        <v>3</v>
      </c>
      <c r="E3839" s="2">
        <v>3.7647058823529398</v>
      </c>
      <c r="F3839" s="1">
        <v>17</v>
      </c>
      <c r="G3839" s="1">
        <v>589.27</v>
      </c>
      <c r="H3839" s="1" t="s">
        <v>8</v>
      </c>
      <c r="I3839" t="str">
        <f t="shared" si="59"/>
        <v>PINK JEWELLED MIRROR TRINKET TRAY [84707B]</v>
      </c>
    </row>
    <row r="3840" spans="1:9" x14ac:dyDescent="0.3">
      <c r="A3840" s="1" t="s">
        <v>1776</v>
      </c>
      <c r="B3840" t="s">
        <v>1766</v>
      </c>
      <c r="C3840" s="1">
        <v>4.95</v>
      </c>
      <c r="D3840" s="1">
        <v>5</v>
      </c>
      <c r="E3840" s="2">
        <v>6.4545454545454497</v>
      </c>
      <c r="F3840" s="1">
        <v>22</v>
      </c>
      <c r="G3840" s="1">
        <v>732.79</v>
      </c>
      <c r="H3840" s="1" t="s">
        <v>8</v>
      </c>
      <c r="I3840" t="str">
        <f t="shared" si="59"/>
        <v>PINK JEWELLED PHOTO FRAME [84708B]</v>
      </c>
    </row>
    <row r="3841" spans="1:9" x14ac:dyDescent="0.3">
      <c r="A3841" s="1" t="s">
        <v>1775</v>
      </c>
      <c r="B3841" t="s">
        <v>1774</v>
      </c>
      <c r="C3841" s="1">
        <v>5.95</v>
      </c>
      <c r="D3841" s="1">
        <v>3.5</v>
      </c>
      <c r="E3841" s="2">
        <v>3.8333333333333299</v>
      </c>
      <c r="F3841" s="1">
        <v>6</v>
      </c>
      <c r="G3841" s="1">
        <v>136.85</v>
      </c>
      <c r="H3841" s="1" t="s">
        <v>8</v>
      </c>
      <c r="I3841" t="str">
        <f t="shared" si="59"/>
        <v>SILVER OVAL JEWELLED MIRROR [84709A]</v>
      </c>
    </row>
    <row r="3842" spans="1:9" x14ac:dyDescent="0.3">
      <c r="A3842" s="1" t="s">
        <v>1773</v>
      </c>
      <c r="B3842" t="s">
        <v>1772</v>
      </c>
      <c r="C3842" s="1">
        <v>5.94</v>
      </c>
      <c r="D3842" s="1">
        <v>7.5</v>
      </c>
      <c r="E3842" s="2">
        <v>9.7777777777777697</v>
      </c>
      <c r="F3842" s="1">
        <v>18</v>
      </c>
      <c r="G3842" s="1">
        <v>1014.48</v>
      </c>
      <c r="H3842" s="1" t="s">
        <v>8</v>
      </c>
      <c r="I3842" t="str">
        <f t="shared" si="59"/>
        <v>PINK OVAL JEWELLED MIRROR [84709B]</v>
      </c>
    </row>
    <row r="3843" spans="1:9" x14ac:dyDescent="0.3">
      <c r="A3843" s="1" t="s">
        <v>1771</v>
      </c>
      <c r="B3843" t="s">
        <v>1770</v>
      </c>
      <c r="C3843" s="1">
        <v>9.9499999999999993</v>
      </c>
      <c r="D3843" s="1">
        <v>2</v>
      </c>
      <c r="E3843" s="1">
        <v>2.625</v>
      </c>
      <c r="F3843" s="1">
        <v>16</v>
      </c>
      <c r="G3843" s="1">
        <v>390.95</v>
      </c>
      <c r="H3843" s="1" t="s">
        <v>8</v>
      </c>
      <c r="I3843" t="str">
        <f t="shared" ref="I3843:I3906" si="60">B3843&amp;" ["&amp;A3843&amp;"]"</f>
        <v>SILVER OVAL SHAPE TRINKET BOX [84711A]</v>
      </c>
    </row>
    <row r="3844" spans="1:9" x14ac:dyDescent="0.3">
      <c r="A3844" s="1" t="s">
        <v>1769</v>
      </c>
      <c r="B3844" t="s">
        <v>1768</v>
      </c>
      <c r="C3844" s="1">
        <v>9.9499999999999993</v>
      </c>
      <c r="D3844" s="1">
        <v>2</v>
      </c>
      <c r="E3844" s="2">
        <v>2.1666666666666599</v>
      </c>
      <c r="F3844" s="1">
        <v>18</v>
      </c>
      <c r="G3844" s="1">
        <v>357.71</v>
      </c>
      <c r="H3844" s="1" t="s">
        <v>8</v>
      </c>
      <c r="I3844" t="str">
        <f t="shared" si="60"/>
        <v>PINK OVAL SHAPE TRINKET BOX [84711B]</v>
      </c>
    </row>
    <row r="3845" spans="1:9" x14ac:dyDescent="0.3">
      <c r="A3845" s="1" t="s">
        <v>1767</v>
      </c>
      <c r="B3845" t="s">
        <v>1766</v>
      </c>
      <c r="C3845" s="1">
        <v>7.95</v>
      </c>
      <c r="D3845" s="1">
        <v>3</v>
      </c>
      <c r="E3845" s="2">
        <v>4.6666666666666599</v>
      </c>
      <c r="F3845" s="1">
        <v>21</v>
      </c>
      <c r="G3845" s="1">
        <v>767.16</v>
      </c>
      <c r="H3845" s="1" t="s">
        <v>8</v>
      </c>
      <c r="I3845" t="str">
        <f t="shared" si="60"/>
        <v>PINK JEWELLED PHOTO FRAME [84712B]</v>
      </c>
    </row>
    <row r="3846" spans="1:9" x14ac:dyDescent="0.3">
      <c r="A3846" s="1">
        <v>84715</v>
      </c>
      <c r="B3846" t="s">
        <v>1765</v>
      </c>
      <c r="C3846" s="1">
        <v>2.95</v>
      </c>
      <c r="D3846" s="1">
        <v>10</v>
      </c>
      <c r="E3846" s="2">
        <v>16.066666666666599</v>
      </c>
      <c r="F3846" s="1">
        <v>15</v>
      </c>
      <c r="G3846" s="1">
        <v>734.89</v>
      </c>
      <c r="H3846" s="1" t="s">
        <v>9</v>
      </c>
      <c r="I3846" t="str">
        <f t="shared" si="60"/>
        <v>SET OF 6 ICE CREAM SKITTLES [84715]</v>
      </c>
    </row>
    <row r="3847" spans="1:9" x14ac:dyDescent="0.3">
      <c r="A3847" s="1">
        <v>84720</v>
      </c>
      <c r="B3847" t="s">
        <v>1764</v>
      </c>
      <c r="C3847" s="1">
        <v>4.2</v>
      </c>
      <c r="D3847" s="1">
        <v>35</v>
      </c>
      <c r="E3847" s="1">
        <v>35</v>
      </c>
      <c r="F3847" s="1">
        <v>1</v>
      </c>
      <c r="G3847" s="1">
        <v>147.05000000000001</v>
      </c>
      <c r="H3847" s="1" t="s">
        <v>9</v>
      </c>
      <c r="I3847" t="str">
        <f t="shared" si="60"/>
        <v>DOT MATRIX CANVAS ART PICTURE [84720]</v>
      </c>
    </row>
    <row r="3848" spans="1:9" x14ac:dyDescent="0.3">
      <c r="A3848" s="1">
        <v>84721</v>
      </c>
      <c r="B3848" t="s">
        <v>1763</v>
      </c>
      <c r="C3848" s="1">
        <v>4.3899999999999997</v>
      </c>
      <c r="D3848" s="1">
        <v>20</v>
      </c>
      <c r="E3848" s="1">
        <v>20</v>
      </c>
      <c r="F3848" s="1">
        <v>1</v>
      </c>
      <c r="G3848" s="1">
        <v>87.8</v>
      </c>
      <c r="H3848" s="1" t="s">
        <v>9</v>
      </c>
      <c r="I3848" t="str">
        <f t="shared" si="60"/>
        <v>MANHATTAN CANVAS ART PICTURE [84721]</v>
      </c>
    </row>
    <row r="3849" spans="1:9" x14ac:dyDescent="0.3">
      <c r="A3849" s="1">
        <v>84723</v>
      </c>
      <c r="B3849" t="s">
        <v>1762</v>
      </c>
      <c r="C3849" s="1">
        <v>7.95</v>
      </c>
      <c r="D3849" s="1">
        <v>2</v>
      </c>
      <c r="E3849" s="2">
        <v>2.2857142857142798</v>
      </c>
      <c r="F3849" s="1">
        <v>7</v>
      </c>
      <c r="G3849" s="1">
        <v>127.2</v>
      </c>
      <c r="H3849" s="1" t="s">
        <v>8</v>
      </c>
      <c r="I3849" t="str">
        <f t="shared" si="60"/>
        <v>CHERRY BLOSSOM CANVAS ART PICTURE [84723]</v>
      </c>
    </row>
    <row r="3850" spans="1:9" x14ac:dyDescent="0.3">
      <c r="A3850" s="1">
        <v>84725</v>
      </c>
      <c r="B3850" t="s">
        <v>1761</v>
      </c>
      <c r="C3850" s="1">
        <v>1.65</v>
      </c>
      <c r="D3850" s="1">
        <v>4</v>
      </c>
      <c r="E3850" s="1">
        <v>14</v>
      </c>
      <c r="F3850" s="1">
        <v>9</v>
      </c>
      <c r="G3850" s="1">
        <v>182.5</v>
      </c>
      <c r="H3850" s="1" t="s">
        <v>8</v>
      </c>
      <c r="I3850" t="str">
        <f t="shared" si="60"/>
        <v>FREESTYLE CANVAS ART PICTURE [84725]</v>
      </c>
    </row>
    <row r="3851" spans="1:9" x14ac:dyDescent="0.3">
      <c r="A3851" s="1">
        <v>84726</v>
      </c>
      <c r="B3851" t="s">
        <v>1760</v>
      </c>
      <c r="C3851" s="1">
        <v>1.65</v>
      </c>
      <c r="D3851" s="1">
        <v>72</v>
      </c>
      <c r="E3851" s="2">
        <v>77.6666666666666</v>
      </c>
      <c r="F3851" s="1">
        <v>3</v>
      </c>
      <c r="G3851" s="1">
        <v>394.85</v>
      </c>
      <c r="H3851" s="1" t="s">
        <v>10</v>
      </c>
      <c r="I3851" t="str">
        <f t="shared" si="60"/>
        <v>LILLIES CANVAS PICTURE [84726]</v>
      </c>
    </row>
    <row r="3852" spans="1:9" x14ac:dyDescent="0.3">
      <c r="A3852" s="1">
        <v>84731</v>
      </c>
      <c r="B3852" t="s">
        <v>1759</v>
      </c>
      <c r="C3852" s="1">
        <v>1.65</v>
      </c>
      <c r="D3852" s="1">
        <v>1</v>
      </c>
      <c r="E3852" s="1">
        <v>1</v>
      </c>
      <c r="F3852" s="1">
        <v>2</v>
      </c>
      <c r="G3852" s="1">
        <v>3.3</v>
      </c>
      <c r="H3852" s="1" t="s">
        <v>8</v>
      </c>
      <c r="I3852" t="str">
        <f t="shared" si="60"/>
        <v>3 BIRDS CANVAS SCREEN [84731]</v>
      </c>
    </row>
    <row r="3853" spans="1:9" x14ac:dyDescent="0.3">
      <c r="A3853" s="1" t="s">
        <v>1758</v>
      </c>
      <c r="B3853" t="s">
        <v>1757</v>
      </c>
      <c r="C3853" s="1">
        <v>1.65</v>
      </c>
      <c r="D3853" s="1">
        <v>1</v>
      </c>
      <c r="E3853" s="1">
        <v>1.5</v>
      </c>
      <c r="F3853" s="1">
        <v>4</v>
      </c>
      <c r="G3853" s="1">
        <v>9.9</v>
      </c>
      <c r="H3853" s="1" t="s">
        <v>8</v>
      </c>
      <c r="I3853" t="str">
        <f t="shared" si="60"/>
        <v>CUTE BIRD CEATURE SCREEN [84732B]</v>
      </c>
    </row>
    <row r="3854" spans="1:9" x14ac:dyDescent="0.3">
      <c r="A3854" s="1" t="s">
        <v>1756</v>
      </c>
      <c r="B3854" t="s">
        <v>1755</v>
      </c>
      <c r="C3854" s="1">
        <v>1.02</v>
      </c>
      <c r="D3854" s="1">
        <v>2.5</v>
      </c>
      <c r="E3854" s="1">
        <v>3.75</v>
      </c>
      <c r="F3854" s="1">
        <v>4</v>
      </c>
      <c r="G3854" s="1">
        <v>10.89</v>
      </c>
      <c r="H3854" s="1" t="s">
        <v>8</v>
      </c>
      <c r="I3854" t="str">
        <f t="shared" si="60"/>
        <v>CUTE RABBIT CEATURE SCREEN [84732D]</v>
      </c>
    </row>
    <row r="3855" spans="1:9" x14ac:dyDescent="0.3">
      <c r="A3855" s="1" t="s">
        <v>1754</v>
      </c>
      <c r="B3855" t="s">
        <v>1753</v>
      </c>
      <c r="C3855" s="1">
        <v>1.95</v>
      </c>
      <c r="D3855" s="1">
        <v>13</v>
      </c>
      <c r="E3855" s="2">
        <v>15.4166666666666</v>
      </c>
      <c r="F3855" s="1">
        <v>12</v>
      </c>
      <c r="G3855" s="1">
        <v>372.14</v>
      </c>
      <c r="H3855" s="1" t="s">
        <v>9</v>
      </c>
      <c r="I3855" t="str">
        <f t="shared" si="60"/>
        <v>CITRUS GARLAND FELT FLOWERS [84741C]</v>
      </c>
    </row>
    <row r="3856" spans="1:9" x14ac:dyDescent="0.3">
      <c r="A3856" s="1" t="s">
        <v>1752</v>
      </c>
      <c r="B3856" t="s">
        <v>1751</v>
      </c>
      <c r="C3856" s="1">
        <v>1.25</v>
      </c>
      <c r="D3856" s="1">
        <v>2</v>
      </c>
      <c r="E3856" s="1">
        <v>3</v>
      </c>
      <c r="F3856" s="1">
        <v>3</v>
      </c>
      <c r="G3856" s="1">
        <v>11.25</v>
      </c>
      <c r="H3856" s="1" t="s">
        <v>8</v>
      </c>
      <c r="I3856" t="str">
        <f t="shared" si="60"/>
        <v>ORANGE FELT VASE + FLOWERS [84743C]</v>
      </c>
    </row>
    <row r="3857" spans="1:9" x14ac:dyDescent="0.3">
      <c r="A3857" s="1">
        <v>84744</v>
      </c>
      <c r="B3857" t="s">
        <v>1750</v>
      </c>
      <c r="C3857" s="1">
        <v>1.25</v>
      </c>
      <c r="D3857" s="1">
        <v>4</v>
      </c>
      <c r="E3857" s="1">
        <v>9.3125</v>
      </c>
      <c r="F3857" s="1">
        <v>16</v>
      </c>
      <c r="G3857" s="1">
        <v>188.77</v>
      </c>
      <c r="H3857" s="1" t="s">
        <v>8</v>
      </c>
      <c r="I3857" t="str">
        <f t="shared" si="60"/>
        <v>S/6 SEW ON CROCHET FLOWERS [84744]</v>
      </c>
    </row>
    <row r="3858" spans="1:9" x14ac:dyDescent="0.3">
      <c r="A3858" s="1" t="s">
        <v>1749</v>
      </c>
      <c r="B3858" t="s">
        <v>1748</v>
      </c>
      <c r="C3858" s="1">
        <v>0.42</v>
      </c>
      <c r="D3858" s="1">
        <v>6.5</v>
      </c>
      <c r="E3858" s="1">
        <v>7.2</v>
      </c>
      <c r="F3858" s="1">
        <v>10</v>
      </c>
      <c r="G3858" s="1">
        <v>30.24</v>
      </c>
      <c r="H3858" s="1" t="s">
        <v>8</v>
      </c>
      <c r="I3858" t="str">
        <f t="shared" si="60"/>
        <v>PINK HANGING GINGHAM EASTER HEN [84745A]</v>
      </c>
    </row>
    <row r="3859" spans="1:9" x14ac:dyDescent="0.3">
      <c r="A3859" s="1" t="s">
        <v>1747</v>
      </c>
      <c r="B3859" t="s">
        <v>1746</v>
      </c>
      <c r="C3859" s="1">
        <v>0.42</v>
      </c>
      <c r="D3859" s="1">
        <v>6</v>
      </c>
      <c r="E3859" s="2">
        <v>6.9166666666666599</v>
      </c>
      <c r="F3859" s="1">
        <v>12</v>
      </c>
      <c r="G3859" s="1">
        <v>34.86</v>
      </c>
      <c r="H3859" s="1" t="s">
        <v>8</v>
      </c>
      <c r="I3859" t="str">
        <f t="shared" si="60"/>
        <v>BLUE HANGING GINGHAM EASTER HEN [84745B]</v>
      </c>
    </row>
    <row r="3860" spans="1:9" x14ac:dyDescent="0.3">
      <c r="A3860" s="1">
        <v>84746</v>
      </c>
      <c r="B3860" t="s">
        <v>1745</v>
      </c>
      <c r="C3860" s="1">
        <v>3.75</v>
      </c>
      <c r="D3860" s="1">
        <v>3</v>
      </c>
      <c r="E3860" s="2">
        <v>3.2857142857142798</v>
      </c>
      <c r="F3860" s="1">
        <v>7</v>
      </c>
      <c r="G3860" s="1">
        <v>72.06</v>
      </c>
      <c r="H3860" s="1" t="s">
        <v>8</v>
      </c>
      <c r="I3860" t="str">
        <f t="shared" si="60"/>
        <v>PINK EASTER HENS+FLOWER [84746]</v>
      </c>
    </row>
    <row r="3861" spans="1:9" x14ac:dyDescent="0.3">
      <c r="A3861" s="1">
        <v>84748</v>
      </c>
      <c r="B3861" t="s">
        <v>1744</v>
      </c>
      <c r="C3861" s="1">
        <v>3.75</v>
      </c>
      <c r="D3861" s="1">
        <v>5</v>
      </c>
      <c r="E3861" s="1">
        <v>19.5</v>
      </c>
      <c r="F3861" s="1">
        <v>18</v>
      </c>
      <c r="G3861" s="1">
        <v>1072.4000000000001</v>
      </c>
      <c r="H3861" s="1" t="s">
        <v>8</v>
      </c>
      <c r="I3861" t="str">
        <f t="shared" si="60"/>
        <v>FOLK FELT HANGING MULTICOL GARLAND [84748]</v>
      </c>
    </row>
    <row r="3862" spans="1:9" x14ac:dyDescent="0.3">
      <c r="A3862" s="1" t="s">
        <v>1743</v>
      </c>
      <c r="B3862" t="s">
        <v>1742</v>
      </c>
      <c r="C3862" s="1">
        <v>2.16</v>
      </c>
      <c r="D3862" s="1">
        <v>28</v>
      </c>
      <c r="E3862" s="2">
        <v>60.4444444444444</v>
      </c>
      <c r="F3862" s="1">
        <v>9</v>
      </c>
      <c r="G3862" s="1">
        <v>1189.23</v>
      </c>
      <c r="H3862" s="1" t="s">
        <v>9</v>
      </c>
      <c r="I3862" t="str">
        <f t="shared" si="60"/>
        <v>PINK SMALL GLASS CAKE STAND [84750A]</v>
      </c>
    </row>
    <row r="3863" spans="1:9" x14ac:dyDescent="0.3">
      <c r="A3863" s="1" t="s">
        <v>1741</v>
      </c>
      <c r="B3863" t="s">
        <v>1740</v>
      </c>
      <c r="C3863" s="1">
        <v>1.95</v>
      </c>
      <c r="D3863" s="1">
        <v>38</v>
      </c>
      <c r="E3863" s="2">
        <v>37.866666666666603</v>
      </c>
      <c r="F3863" s="1">
        <v>15</v>
      </c>
      <c r="G3863" s="1">
        <v>1126.03</v>
      </c>
      <c r="H3863" s="1" t="s">
        <v>9</v>
      </c>
      <c r="I3863" t="str">
        <f t="shared" si="60"/>
        <v>BLACK SMALL GLASS CAKE STAND [84750B]</v>
      </c>
    </row>
    <row r="3864" spans="1:9" x14ac:dyDescent="0.3">
      <c r="A3864" s="1" t="s">
        <v>1739</v>
      </c>
      <c r="B3864" t="s">
        <v>1738</v>
      </c>
      <c r="C3864" s="1">
        <v>3.75</v>
      </c>
      <c r="D3864" s="1">
        <v>2</v>
      </c>
      <c r="E3864" s="1">
        <v>2.9</v>
      </c>
      <c r="F3864" s="1">
        <v>10</v>
      </c>
      <c r="G3864" s="1">
        <v>108.75</v>
      </c>
      <c r="H3864" s="1" t="s">
        <v>8</v>
      </c>
      <c r="I3864" t="str">
        <f t="shared" si="60"/>
        <v>BLACK MEDIUM GLASS CAKE STAND [84751B]</v>
      </c>
    </row>
    <row r="3865" spans="1:9" x14ac:dyDescent="0.3">
      <c r="A3865" s="1" t="s">
        <v>1737</v>
      </c>
      <c r="B3865" t="s">
        <v>1736</v>
      </c>
      <c r="C3865" s="1">
        <v>0.85</v>
      </c>
      <c r="D3865" s="1">
        <v>42</v>
      </c>
      <c r="E3865" s="2">
        <v>32.3333333333333</v>
      </c>
      <c r="F3865" s="1">
        <v>3</v>
      </c>
      <c r="G3865" s="1">
        <v>92.17</v>
      </c>
      <c r="H3865" s="1" t="s">
        <v>9</v>
      </c>
      <c r="I3865" t="str">
        <f t="shared" si="60"/>
        <v>PINK EAU DE COLOGNE BOTTLE [84753A]</v>
      </c>
    </row>
    <row r="3866" spans="1:9" x14ac:dyDescent="0.3">
      <c r="A3866" s="1">
        <v>84754</v>
      </c>
      <c r="B3866" t="s">
        <v>1735</v>
      </c>
      <c r="C3866" s="1">
        <v>1.335</v>
      </c>
      <c r="D3866" s="1">
        <v>48</v>
      </c>
      <c r="E3866" s="2">
        <v>115.722222222222</v>
      </c>
      <c r="F3866" s="1">
        <v>18</v>
      </c>
      <c r="G3866" s="1">
        <v>2634.59</v>
      </c>
      <c r="H3866" s="1" t="s">
        <v>9</v>
      </c>
      <c r="I3866" t="str">
        <f t="shared" si="60"/>
        <v>S/15 SILVER GLASS BAUBLES IN BAG [84754]</v>
      </c>
    </row>
    <row r="3867" spans="1:9" x14ac:dyDescent="0.3">
      <c r="A3867" s="1">
        <v>84755</v>
      </c>
      <c r="B3867" t="s">
        <v>1734</v>
      </c>
      <c r="C3867" s="1">
        <v>0.63</v>
      </c>
      <c r="D3867" s="1">
        <v>1166</v>
      </c>
      <c r="E3867" s="1">
        <v>1617.56</v>
      </c>
      <c r="F3867" s="1">
        <v>25</v>
      </c>
      <c r="G3867" s="1">
        <v>25205.13</v>
      </c>
      <c r="H3867" s="1" t="s">
        <v>10</v>
      </c>
      <c r="I3867" t="str">
        <f t="shared" si="60"/>
        <v>COLOUR GLASS T-LIGHT HOLDER HANGING [84755]</v>
      </c>
    </row>
    <row r="3868" spans="1:9" x14ac:dyDescent="0.3">
      <c r="A3868" s="1">
        <v>84757</v>
      </c>
      <c r="B3868" t="s">
        <v>1733</v>
      </c>
      <c r="C3868" s="1">
        <v>14.95</v>
      </c>
      <c r="D3868" s="1">
        <v>2.5</v>
      </c>
      <c r="E3868" s="1">
        <v>2.5</v>
      </c>
      <c r="F3868" s="1">
        <v>2</v>
      </c>
      <c r="G3868" s="1">
        <v>74.75</v>
      </c>
      <c r="H3868" s="1" t="s">
        <v>8</v>
      </c>
      <c r="I3868" t="str">
        <f t="shared" si="60"/>
        <v>ENCHANTED GARDEN WROUGHT IRON TABLE [84757]</v>
      </c>
    </row>
    <row r="3869" spans="1:9" x14ac:dyDescent="0.3">
      <c r="A3869" s="1" t="s">
        <v>1732</v>
      </c>
      <c r="B3869" t="s">
        <v>1731</v>
      </c>
      <c r="C3869" s="1">
        <v>1.6</v>
      </c>
      <c r="D3869" s="1">
        <v>560</v>
      </c>
      <c r="E3869" s="1">
        <v>560</v>
      </c>
      <c r="F3869" s="1">
        <v>1</v>
      </c>
      <c r="G3869" s="1">
        <v>896</v>
      </c>
      <c r="H3869" s="1" t="s">
        <v>10</v>
      </c>
      <c r="I3869" t="str">
        <f t="shared" si="60"/>
        <v>LARGE HANGING GLASS+ZINC LANTERN [84760L]</v>
      </c>
    </row>
    <row r="3870" spans="1:9" x14ac:dyDescent="0.3">
      <c r="A3870" s="1" t="s">
        <v>1730</v>
      </c>
      <c r="B3870" t="s">
        <v>1729</v>
      </c>
      <c r="C3870" s="1">
        <v>1.45</v>
      </c>
      <c r="D3870" s="1">
        <v>9</v>
      </c>
      <c r="E3870" s="2">
        <v>13.058823529411701</v>
      </c>
      <c r="F3870" s="1">
        <v>17</v>
      </c>
      <c r="G3870" s="1">
        <v>360.21</v>
      </c>
      <c r="H3870" s="1" t="s">
        <v>8</v>
      </c>
      <c r="I3870" t="str">
        <f t="shared" si="60"/>
        <v>SMALL HANGING GLASS+ZINC LANTERN [84760S]</v>
      </c>
    </row>
    <row r="3871" spans="1:9" x14ac:dyDescent="0.3">
      <c r="A3871" s="1">
        <v>84761</v>
      </c>
      <c r="B3871" t="s">
        <v>1728</v>
      </c>
      <c r="C3871" s="1">
        <v>2.75</v>
      </c>
      <c r="D3871" s="1">
        <v>22.5</v>
      </c>
      <c r="E3871" s="1">
        <v>27.6</v>
      </c>
      <c r="F3871" s="1">
        <v>10</v>
      </c>
      <c r="G3871" s="1">
        <v>768.85</v>
      </c>
      <c r="H3871" s="1" t="s">
        <v>9</v>
      </c>
      <c r="I3871" t="str">
        <f t="shared" si="60"/>
        <v>IVORY HANGING BIRD PLANTER [84761]</v>
      </c>
    </row>
    <row r="3872" spans="1:9" x14ac:dyDescent="0.3">
      <c r="A3872" s="1" t="s">
        <v>1727</v>
      </c>
      <c r="B3872" t="s">
        <v>1726</v>
      </c>
      <c r="C3872" s="1">
        <v>9.23</v>
      </c>
      <c r="D3872" s="1">
        <v>4</v>
      </c>
      <c r="E3872" s="2">
        <v>8.4285714285714199</v>
      </c>
      <c r="F3872" s="1">
        <v>7</v>
      </c>
      <c r="G3872" s="1">
        <v>517.42999999999995</v>
      </c>
      <c r="H3872" s="1" t="s">
        <v>8</v>
      </c>
      <c r="I3872" t="str">
        <f t="shared" si="60"/>
        <v>WHITE PICNIC BARBECUE BUCKET [84762A]</v>
      </c>
    </row>
    <row r="3873" spans="1:9" x14ac:dyDescent="0.3">
      <c r="A3873" s="1" t="s">
        <v>1725</v>
      </c>
      <c r="B3873" t="s">
        <v>1724</v>
      </c>
      <c r="C3873" s="1">
        <v>8.56</v>
      </c>
      <c r="D3873" s="1">
        <v>4</v>
      </c>
      <c r="E3873" s="1">
        <v>14.125</v>
      </c>
      <c r="F3873" s="1">
        <v>8</v>
      </c>
      <c r="G3873" s="1">
        <v>837.77</v>
      </c>
      <c r="H3873" s="1" t="s">
        <v>8</v>
      </c>
      <c r="I3873" t="str">
        <f t="shared" si="60"/>
        <v>PINK PICNIC BARBECUE BUCKET [84762B]</v>
      </c>
    </row>
    <row r="3874" spans="1:9" x14ac:dyDescent="0.3">
      <c r="A3874" s="1" t="s">
        <v>1723</v>
      </c>
      <c r="B3874" t="s">
        <v>1722</v>
      </c>
      <c r="C3874" s="1">
        <v>7.7750000000000004</v>
      </c>
      <c r="D3874" s="1">
        <v>10</v>
      </c>
      <c r="E3874" s="1">
        <v>17.5</v>
      </c>
      <c r="F3874" s="1">
        <v>6</v>
      </c>
      <c r="G3874" s="1">
        <v>761.25</v>
      </c>
      <c r="H3874" s="1" t="s">
        <v>9</v>
      </c>
      <c r="I3874" t="str">
        <f t="shared" si="60"/>
        <v>GREEN PICNIC BARBECUE BUCKET [84762C]</v>
      </c>
    </row>
    <row r="3875" spans="1:9" x14ac:dyDescent="0.3">
      <c r="A3875" s="1">
        <v>84763</v>
      </c>
      <c r="B3875" t="s">
        <v>1721</v>
      </c>
      <c r="C3875" s="1">
        <v>1.28</v>
      </c>
      <c r="D3875" s="1">
        <v>70.5</v>
      </c>
      <c r="E3875" s="2">
        <v>84.2777777777777</v>
      </c>
      <c r="F3875" s="1">
        <v>18</v>
      </c>
      <c r="G3875" s="1">
        <v>1903</v>
      </c>
      <c r="H3875" s="1" t="s">
        <v>10</v>
      </c>
      <c r="I3875" t="str">
        <f t="shared" si="60"/>
        <v>ZINC FINISH 15CM PLANTER POTS [84763]</v>
      </c>
    </row>
    <row r="3876" spans="1:9" x14ac:dyDescent="0.3">
      <c r="A3876" s="1">
        <v>84765</v>
      </c>
      <c r="B3876" t="s">
        <v>1720</v>
      </c>
      <c r="C3876" s="1">
        <v>12.75</v>
      </c>
      <c r="D3876" s="1">
        <v>3</v>
      </c>
      <c r="E3876" s="1">
        <v>3</v>
      </c>
      <c r="F3876" s="1">
        <v>3</v>
      </c>
      <c r="G3876" s="1">
        <v>140.22999999999999</v>
      </c>
      <c r="H3876" s="1" t="s">
        <v>8</v>
      </c>
      <c r="I3876" t="str">
        <f t="shared" si="60"/>
        <v>SILVER ROCOCO CANDELABRA [84765]</v>
      </c>
    </row>
    <row r="3877" spans="1:9" x14ac:dyDescent="0.3">
      <c r="A3877" s="1">
        <v>84766</v>
      </c>
      <c r="B3877" t="s">
        <v>1719</v>
      </c>
      <c r="C3877" s="1">
        <v>5.95</v>
      </c>
      <c r="D3877" s="1">
        <v>6</v>
      </c>
      <c r="E3877" s="2">
        <v>15.3846153846153</v>
      </c>
      <c r="F3877" s="1">
        <v>13</v>
      </c>
      <c r="G3877" s="1">
        <v>638</v>
      </c>
      <c r="H3877" s="1" t="s">
        <v>8</v>
      </c>
      <c r="I3877" t="str">
        <f t="shared" si="60"/>
        <v>SILVER ROCOCO CANDLE STICK [84766]</v>
      </c>
    </row>
    <row r="3878" spans="1:9" x14ac:dyDescent="0.3">
      <c r="A3878" s="1">
        <v>84767</v>
      </c>
      <c r="B3878" t="s">
        <v>1718</v>
      </c>
      <c r="C3878" s="1">
        <v>5.95</v>
      </c>
      <c r="D3878" s="1">
        <v>5</v>
      </c>
      <c r="E3878" s="1">
        <v>65</v>
      </c>
      <c r="F3878" s="1">
        <v>3</v>
      </c>
      <c r="G3878" s="1">
        <v>806.22</v>
      </c>
      <c r="H3878" s="1" t="s">
        <v>8</v>
      </c>
      <c r="I3878" t="str">
        <f t="shared" si="60"/>
        <v>ZINC POLICE BOX LANTERN [84767]</v>
      </c>
    </row>
    <row r="3879" spans="1:9" x14ac:dyDescent="0.3">
      <c r="A3879" s="1">
        <v>84770</v>
      </c>
      <c r="B3879" t="s">
        <v>1717</v>
      </c>
      <c r="C3879" s="1">
        <v>9.9499999999999993</v>
      </c>
      <c r="D3879" s="1">
        <v>2</v>
      </c>
      <c r="E3879" s="1">
        <v>45</v>
      </c>
      <c r="F3879" s="1">
        <v>3</v>
      </c>
      <c r="G3879" s="1">
        <v>419.25</v>
      </c>
      <c r="H3879" s="1" t="s">
        <v>8</v>
      </c>
      <c r="I3879" t="str">
        <f t="shared" si="60"/>
        <v>ROUND GEORGIAN SILVER MIRROR [84770]</v>
      </c>
    </row>
    <row r="3880" spans="1:9" x14ac:dyDescent="0.3">
      <c r="A3880" s="1">
        <v>84773</v>
      </c>
      <c r="B3880" t="s">
        <v>1716</v>
      </c>
      <c r="C3880" s="1">
        <v>2.95</v>
      </c>
      <c r="D3880" s="1">
        <v>10</v>
      </c>
      <c r="E3880" s="2">
        <v>15.8333333333333</v>
      </c>
      <c r="F3880" s="1">
        <v>12</v>
      </c>
      <c r="G3880" s="1">
        <v>560.5</v>
      </c>
      <c r="H3880" s="1" t="s">
        <v>9</v>
      </c>
      <c r="I3880" t="str">
        <f t="shared" si="60"/>
        <v>RED ROSE AND LACE C/COVER [84773]</v>
      </c>
    </row>
    <row r="3881" spans="1:9" x14ac:dyDescent="0.3">
      <c r="A3881" s="1" t="s">
        <v>1715</v>
      </c>
      <c r="B3881" t="s">
        <v>1714</v>
      </c>
      <c r="C3881" s="1">
        <v>12.195</v>
      </c>
      <c r="D3881" s="1">
        <v>10.5</v>
      </c>
      <c r="E3881" s="2">
        <v>19.8333333333333</v>
      </c>
      <c r="F3881" s="1">
        <v>6</v>
      </c>
      <c r="G3881" s="2">
        <v>840.44999999999902</v>
      </c>
      <c r="H3881" s="1" t="s">
        <v>9</v>
      </c>
      <c r="I3881" t="str">
        <f t="shared" si="60"/>
        <v>PINK 3 TIER GLASS PLATE STAND [84782A]</v>
      </c>
    </row>
    <row r="3882" spans="1:9" x14ac:dyDescent="0.3">
      <c r="A3882" s="1" t="s">
        <v>1713</v>
      </c>
      <c r="B3882" t="s">
        <v>1712</v>
      </c>
      <c r="C3882" s="1">
        <v>12.75</v>
      </c>
      <c r="D3882" s="1">
        <v>2</v>
      </c>
      <c r="E3882" s="1">
        <v>2</v>
      </c>
      <c r="F3882" s="1">
        <v>5</v>
      </c>
      <c r="G3882" s="1">
        <v>127.5</v>
      </c>
      <c r="H3882" s="1" t="s">
        <v>8</v>
      </c>
      <c r="I3882" t="str">
        <f t="shared" si="60"/>
        <v>BLACK 3 TIER GLASS PLATE STAND [84782B]</v>
      </c>
    </row>
    <row r="3883" spans="1:9" x14ac:dyDescent="0.3">
      <c r="A3883" s="1" t="s">
        <v>1711</v>
      </c>
      <c r="B3883" t="s">
        <v>1710</v>
      </c>
      <c r="C3883" s="2">
        <v>12.03</v>
      </c>
      <c r="D3883" s="1">
        <v>5.5</v>
      </c>
      <c r="E3883" s="1">
        <v>9.25</v>
      </c>
      <c r="F3883" s="1">
        <v>8</v>
      </c>
      <c r="G3883" s="1">
        <v>509.9</v>
      </c>
      <c r="H3883" s="1" t="s">
        <v>8</v>
      </c>
      <c r="I3883" t="str">
        <f t="shared" si="60"/>
        <v>GREEN 3 TIER GLASS PLATE STAND [84782C]</v>
      </c>
    </row>
    <row r="3884" spans="1:9" x14ac:dyDescent="0.3">
      <c r="A3884" s="1">
        <v>84789</v>
      </c>
      <c r="B3884" t="s">
        <v>1709</v>
      </c>
      <c r="C3884" s="1">
        <v>3.62</v>
      </c>
      <c r="D3884" s="1">
        <v>22</v>
      </c>
      <c r="E3884" s="2">
        <v>23.421052631578899</v>
      </c>
      <c r="F3884" s="1">
        <v>19</v>
      </c>
      <c r="G3884" s="1">
        <v>1558.39</v>
      </c>
      <c r="H3884" s="1" t="s">
        <v>9</v>
      </c>
      <c r="I3884" t="str">
        <f t="shared" si="60"/>
        <v>ENCHANTED BIRD PLANT CAGE [84789]</v>
      </c>
    </row>
    <row r="3885" spans="1:9" x14ac:dyDescent="0.3">
      <c r="A3885" s="1">
        <v>84791</v>
      </c>
      <c r="B3885" t="s">
        <v>1708</v>
      </c>
      <c r="C3885" s="1">
        <v>3.2</v>
      </c>
      <c r="D3885" s="1">
        <v>43.5</v>
      </c>
      <c r="E3885" s="1">
        <v>41.75</v>
      </c>
      <c r="F3885" s="1">
        <v>8</v>
      </c>
      <c r="G3885" s="2">
        <v>1086.1299999999901</v>
      </c>
      <c r="H3885" s="1" t="s">
        <v>9</v>
      </c>
      <c r="I3885" t="str">
        <f t="shared" si="60"/>
        <v>GINGHAM HEART DECORATION [84791]</v>
      </c>
    </row>
    <row r="3886" spans="1:9" x14ac:dyDescent="0.3">
      <c r="A3886" s="1">
        <v>84792</v>
      </c>
      <c r="B3886" t="s">
        <v>1707</v>
      </c>
      <c r="C3886" s="1">
        <v>4.6500000000000004</v>
      </c>
      <c r="D3886" s="1">
        <v>86</v>
      </c>
      <c r="E3886" s="1">
        <v>91.88</v>
      </c>
      <c r="F3886" s="1">
        <v>25</v>
      </c>
      <c r="G3886" s="1">
        <v>10119.51</v>
      </c>
      <c r="H3886" s="1" t="s">
        <v>10</v>
      </c>
      <c r="I3886" t="str">
        <f t="shared" si="60"/>
        <v>ENCHANTED BIRD COATHANGER 5 HOOK [84792]</v>
      </c>
    </row>
    <row r="3887" spans="1:9" x14ac:dyDescent="0.3">
      <c r="A3887" s="1" t="s">
        <v>1706</v>
      </c>
      <c r="B3887" t="s">
        <v>1705</v>
      </c>
      <c r="C3887" s="1">
        <v>7.95</v>
      </c>
      <c r="D3887" s="1">
        <v>18</v>
      </c>
      <c r="E3887" s="1">
        <v>26</v>
      </c>
      <c r="F3887" s="1">
        <v>8</v>
      </c>
      <c r="G3887" s="1">
        <v>1696.02</v>
      </c>
      <c r="H3887" s="1" t="s">
        <v>9</v>
      </c>
      <c r="I3887" t="str">
        <f t="shared" si="60"/>
        <v>PASTEL STRIPE HAMMOCK [84795A]</v>
      </c>
    </row>
    <row r="3888" spans="1:9" x14ac:dyDescent="0.3">
      <c r="A3888" s="1" t="s">
        <v>1704</v>
      </c>
      <c r="B3888" t="s">
        <v>1696</v>
      </c>
      <c r="C3888" s="1">
        <v>7.95</v>
      </c>
      <c r="D3888" s="1">
        <v>14</v>
      </c>
      <c r="E3888" s="1">
        <v>14.9</v>
      </c>
      <c r="F3888" s="1">
        <v>20</v>
      </c>
      <c r="G3888" s="1">
        <v>2379.09</v>
      </c>
      <c r="H3888" s="1" t="s">
        <v>9</v>
      </c>
      <c r="I3888" t="str">
        <f t="shared" si="60"/>
        <v>SUNSET CHECK HAMMOCK [84795B]</v>
      </c>
    </row>
    <row r="3889" spans="1:9" x14ac:dyDescent="0.3">
      <c r="A3889" s="1" t="s">
        <v>1703</v>
      </c>
      <c r="B3889" t="s">
        <v>1702</v>
      </c>
      <c r="C3889" s="1">
        <v>7.95</v>
      </c>
      <c r="D3889" s="1">
        <v>23.5</v>
      </c>
      <c r="E3889" s="1">
        <v>32.5</v>
      </c>
      <c r="F3889" s="1">
        <v>10</v>
      </c>
      <c r="G3889" s="1">
        <v>2752.59</v>
      </c>
      <c r="H3889" s="1" t="s">
        <v>9</v>
      </c>
      <c r="I3889" t="str">
        <f t="shared" si="60"/>
        <v>OCEAN STRIPE HAMMOCK [84795C]</v>
      </c>
    </row>
    <row r="3890" spans="1:9" x14ac:dyDescent="0.3">
      <c r="A3890" s="1" t="s">
        <v>1701</v>
      </c>
      <c r="B3890" t="s">
        <v>1700</v>
      </c>
      <c r="C3890" s="1">
        <v>7.95</v>
      </c>
      <c r="D3890" s="1">
        <v>18.5</v>
      </c>
      <c r="E3890" s="1">
        <v>23.625</v>
      </c>
      <c r="F3890" s="1">
        <v>8</v>
      </c>
      <c r="G3890" s="1">
        <v>1538.79</v>
      </c>
      <c r="H3890" s="1" t="s">
        <v>9</v>
      </c>
      <c r="I3890" t="str">
        <f t="shared" si="60"/>
        <v>SEASIDE STRIPE HAMMOCK [84795D]</v>
      </c>
    </row>
    <row r="3891" spans="1:9" x14ac:dyDescent="0.3">
      <c r="A3891" s="1" t="s">
        <v>1699</v>
      </c>
      <c r="B3891" t="s">
        <v>1698</v>
      </c>
      <c r="C3891" s="1">
        <v>7.95</v>
      </c>
      <c r="D3891" s="1">
        <v>2</v>
      </c>
      <c r="E3891" s="1">
        <v>2</v>
      </c>
      <c r="F3891" s="1">
        <v>5</v>
      </c>
      <c r="G3891" s="1">
        <v>79.5</v>
      </c>
      <c r="H3891" s="1" t="s">
        <v>8</v>
      </c>
      <c r="I3891" t="str">
        <f t="shared" si="60"/>
        <v>RIO PINK STRIPE HAMMOCK [84795E]</v>
      </c>
    </row>
    <row r="3892" spans="1:9" x14ac:dyDescent="0.3">
      <c r="A3892" s="1" t="s">
        <v>1697</v>
      </c>
      <c r="B3892" t="s">
        <v>1696</v>
      </c>
      <c r="C3892" s="1">
        <v>16.63</v>
      </c>
      <c r="D3892" s="1">
        <v>2</v>
      </c>
      <c r="E3892" s="2">
        <v>1.72727272727272</v>
      </c>
      <c r="F3892" s="1">
        <v>11</v>
      </c>
      <c r="G3892" s="2">
        <v>317.719999999999</v>
      </c>
      <c r="H3892" s="1" t="s">
        <v>8</v>
      </c>
      <c r="I3892" t="str">
        <f t="shared" si="60"/>
        <v>SUNSET CHECK HAMMOCK [84795b]</v>
      </c>
    </row>
    <row r="3893" spans="1:9" x14ac:dyDescent="0.3">
      <c r="A3893" s="1" t="s">
        <v>1695</v>
      </c>
      <c r="B3893" t="s">
        <v>1692</v>
      </c>
      <c r="C3893" s="1">
        <v>10.41</v>
      </c>
      <c r="D3893" s="1">
        <v>7</v>
      </c>
      <c r="E3893" s="1">
        <v>17.6875</v>
      </c>
      <c r="F3893" s="1">
        <v>16</v>
      </c>
      <c r="G3893" s="2">
        <v>2046.9099999999901</v>
      </c>
      <c r="H3893" s="1" t="s">
        <v>8</v>
      </c>
      <c r="I3893" t="str">
        <f t="shared" si="60"/>
        <v>PINK HAWAIIAN PICNIC HAMPER FOR 2 [84796A]</v>
      </c>
    </row>
    <row r="3894" spans="1:9" x14ac:dyDescent="0.3">
      <c r="A3894" s="1" t="s">
        <v>1694</v>
      </c>
      <c r="B3894" t="s">
        <v>1690</v>
      </c>
      <c r="C3894" s="1">
        <v>9.5250000000000004</v>
      </c>
      <c r="D3894" s="1">
        <v>21</v>
      </c>
      <c r="E3894" s="1">
        <v>37.375</v>
      </c>
      <c r="F3894" s="1">
        <v>16</v>
      </c>
      <c r="G3894" s="1">
        <v>4949.87</v>
      </c>
      <c r="H3894" s="1" t="s">
        <v>9</v>
      </c>
      <c r="I3894" t="str">
        <f t="shared" si="60"/>
        <v>BLUE SAVANNAH PICNIC HAMPER FOR 2 [84796B]</v>
      </c>
    </row>
    <row r="3895" spans="1:9" x14ac:dyDescent="0.3">
      <c r="A3895" s="1" t="s">
        <v>1693</v>
      </c>
      <c r="B3895" t="s">
        <v>1692</v>
      </c>
      <c r="C3895" s="1">
        <v>8.2899999999999991</v>
      </c>
      <c r="D3895" s="1">
        <v>2</v>
      </c>
      <c r="E3895" s="2">
        <v>3.1111111111111098</v>
      </c>
      <c r="F3895" s="1">
        <v>9</v>
      </c>
      <c r="G3895" s="1">
        <v>234.28</v>
      </c>
      <c r="H3895" s="1" t="s">
        <v>8</v>
      </c>
      <c r="I3895" t="str">
        <f t="shared" si="60"/>
        <v>PINK HAWAIIAN PICNIC HAMPER FOR 2 [84796a]</v>
      </c>
    </row>
    <row r="3896" spans="1:9" x14ac:dyDescent="0.3">
      <c r="A3896" s="1" t="s">
        <v>1691</v>
      </c>
      <c r="B3896" t="s">
        <v>1690</v>
      </c>
      <c r="C3896" s="1">
        <v>8.56</v>
      </c>
      <c r="D3896" s="1">
        <v>1</v>
      </c>
      <c r="E3896" s="1">
        <v>1</v>
      </c>
      <c r="F3896" s="1">
        <v>2</v>
      </c>
      <c r="G3896" s="1">
        <v>17.12</v>
      </c>
      <c r="H3896" s="1" t="s">
        <v>8</v>
      </c>
      <c r="I3896" t="str">
        <f t="shared" si="60"/>
        <v>BLUE SAVANNAH PICNIC HAMPER FOR 2 [84796b]</v>
      </c>
    </row>
    <row r="3897" spans="1:9" x14ac:dyDescent="0.3">
      <c r="A3897" s="1" t="s">
        <v>1689</v>
      </c>
      <c r="B3897" t="s">
        <v>1686</v>
      </c>
      <c r="C3897" s="1">
        <v>16.95</v>
      </c>
      <c r="D3897" s="1">
        <v>6</v>
      </c>
      <c r="E3897" s="1">
        <v>96.2</v>
      </c>
      <c r="F3897" s="1">
        <v>5</v>
      </c>
      <c r="G3897" s="1">
        <v>3361.25</v>
      </c>
      <c r="H3897" s="1" t="s">
        <v>8</v>
      </c>
      <c r="I3897" t="str">
        <f t="shared" si="60"/>
        <v>PINK HAWAIIAN PICNIC HAMPER FOR 4 [84797A]</v>
      </c>
    </row>
    <row r="3898" spans="1:9" x14ac:dyDescent="0.3">
      <c r="A3898" s="1" t="s">
        <v>1688</v>
      </c>
      <c r="B3898" t="s">
        <v>1684</v>
      </c>
      <c r="C3898" s="1">
        <v>16.95</v>
      </c>
      <c r="D3898" s="1">
        <v>4</v>
      </c>
      <c r="E3898" s="1">
        <v>64.599999999999994</v>
      </c>
      <c r="F3898" s="1">
        <v>5</v>
      </c>
      <c r="G3898" s="1">
        <v>1845.2</v>
      </c>
      <c r="H3898" s="1" t="s">
        <v>8</v>
      </c>
      <c r="I3898" t="str">
        <f t="shared" si="60"/>
        <v>BLUE SAVANNAH PICNIC HAMPER FOR 4 [84797B]</v>
      </c>
    </row>
    <row r="3899" spans="1:9" x14ac:dyDescent="0.3">
      <c r="A3899" s="1" t="s">
        <v>1687</v>
      </c>
      <c r="B3899" t="s">
        <v>1686</v>
      </c>
      <c r="C3899" s="1">
        <v>11.02</v>
      </c>
      <c r="D3899" s="1">
        <v>3</v>
      </c>
      <c r="E3899" s="1">
        <v>3.6</v>
      </c>
      <c r="F3899" s="1">
        <v>5</v>
      </c>
      <c r="G3899" s="1">
        <v>198.84</v>
      </c>
      <c r="H3899" s="1" t="s">
        <v>8</v>
      </c>
      <c r="I3899" t="str">
        <f t="shared" si="60"/>
        <v>PINK HAWAIIAN PICNIC HAMPER FOR 4 [84797a]</v>
      </c>
    </row>
    <row r="3900" spans="1:9" x14ac:dyDescent="0.3">
      <c r="A3900" s="1" t="s">
        <v>1685</v>
      </c>
      <c r="B3900" t="s">
        <v>1684</v>
      </c>
      <c r="C3900" s="1">
        <v>11.02</v>
      </c>
      <c r="D3900" s="1">
        <v>4.5</v>
      </c>
      <c r="E3900" s="1">
        <v>5.25</v>
      </c>
      <c r="F3900" s="1">
        <v>4</v>
      </c>
      <c r="G3900" s="1">
        <v>232.62</v>
      </c>
      <c r="H3900" s="1" t="s">
        <v>8</v>
      </c>
      <c r="I3900" t="str">
        <f t="shared" si="60"/>
        <v>BLUE SAVANNAH PICNIC HAMPER FOR 4 [84797b]</v>
      </c>
    </row>
    <row r="3901" spans="1:9" x14ac:dyDescent="0.3">
      <c r="A3901" s="1" t="s">
        <v>1683</v>
      </c>
      <c r="B3901" t="s">
        <v>1682</v>
      </c>
      <c r="C3901" s="1">
        <v>2.5499999999999998</v>
      </c>
      <c r="D3901" s="1">
        <v>7</v>
      </c>
      <c r="E3901" s="1">
        <v>24.375</v>
      </c>
      <c r="F3901" s="1">
        <v>8</v>
      </c>
      <c r="G3901" s="1">
        <v>432.45</v>
      </c>
      <c r="H3901" s="1" t="s">
        <v>8</v>
      </c>
      <c r="I3901" t="str">
        <f t="shared" si="60"/>
        <v>PINK FOXGLOVE ARTIIFCIAL FLOWER [84798A]</v>
      </c>
    </row>
    <row r="3902" spans="1:9" x14ac:dyDescent="0.3">
      <c r="A3902" s="1" t="s">
        <v>1681</v>
      </c>
      <c r="B3902" t="s">
        <v>1680</v>
      </c>
      <c r="C3902" s="1">
        <v>2.5499999999999998</v>
      </c>
      <c r="D3902" s="1">
        <v>6.5</v>
      </c>
      <c r="E3902" s="2">
        <v>54.3333333333333</v>
      </c>
      <c r="F3902" s="1">
        <v>6</v>
      </c>
      <c r="G3902" s="1">
        <v>492.9</v>
      </c>
      <c r="H3902" s="1" t="s">
        <v>8</v>
      </c>
      <c r="I3902" t="str">
        <f t="shared" si="60"/>
        <v>PURPLE FOXGLOVE ARTIIFCIAL FLOWER [84798B]</v>
      </c>
    </row>
    <row r="3903" spans="1:9" x14ac:dyDescent="0.3">
      <c r="A3903" s="1" t="s">
        <v>1679</v>
      </c>
      <c r="B3903" t="s">
        <v>1678</v>
      </c>
      <c r="C3903" s="1">
        <v>2.5499999999999998</v>
      </c>
      <c r="D3903" s="1">
        <v>8</v>
      </c>
      <c r="E3903" s="1">
        <v>8</v>
      </c>
      <c r="F3903" s="1">
        <v>2</v>
      </c>
      <c r="G3903" s="1">
        <v>40.799999999999997</v>
      </c>
      <c r="H3903" s="1" t="s">
        <v>8</v>
      </c>
      <c r="I3903" t="str">
        <f t="shared" si="60"/>
        <v>WHITE FOXGLOVE ARTIIFCIAL FLOWER [84798C]</v>
      </c>
    </row>
    <row r="3904" spans="1:9" x14ac:dyDescent="0.3">
      <c r="A3904" s="1">
        <v>84799</v>
      </c>
      <c r="B3904" t="s">
        <v>1677</v>
      </c>
      <c r="C3904" s="1">
        <v>1.25</v>
      </c>
      <c r="D3904" s="1">
        <v>35</v>
      </c>
      <c r="E3904" s="1">
        <v>42.375</v>
      </c>
      <c r="F3904" s="1">
        <v>16</v>
      </c>
      <c r="G3904" s="1">
        <v>528.78</v>
      </c>
      <c r="H3904" s="1" t="s">
        <v>9</v>
      </c>
      <c r="I3904" t="str">
        <f t="shared" si="60"/>
        <v>SPRIG LAVENDER ARTIFICIAL FLOWER [84799]</v>
      </c>
    </row>
    <row r="3905" spans="1:9" x14ac:dyDescent="0.3">
      <c r="A3905" s="1" t="s">
        <v>1676</v>
      </c>
      <c r="B3905" t="s">
        <v>1675</v>
      </c>
      <c r="C3905" s="1">
        <v>1.86</v>
      </c>
      <c r="D3905" s="1">
        <v>24</v>
      </c>
      <c r="E3905" s="2">
        <v>38.235294117647001</v>
      </c>
      <c r="F3905" s="1">
        <v>17</v>
      </c>
      <c r="G3905" s="2">
        <v>970.79</v>
      </c>
      <c r="H3905" s="1" t="s">
        <v>9</v>
      </c>
      <c r="I3905" t="str">
        <f t="shared" si="60"/>
        <v>LARGE WHITE/PINK ROSE ART FLOWER [84800L]</v>
      </c>
    </row>
    <row r="3906" spans="1:9" x14ac:dyDescent="0.3">
      <c r="A3906" s="1" t="s">
        <v>1674</v>
      </c>
      <c r="B3906" t="s">
        <v>1673</v>
      </c>
      <c r="C3906" s="1">
        <v>1.69</v>
      </c>
      <c r="D3906" s="1">
        <v>15.5</v>
      </c>
      <c r="E3906" s="2">
        <v>17.857142857142801</v>
      </c>
      <c r="F3906" s="1">
        <v>14</v>
      </c>
      <c r="G3906" s="2">
        <v>357.219999999999</v>
      </c>
      <c r="H3906" s="1" t="s">
        <v>9</v>
      </c>
      <c r="I3906" t="str">
        <f t="shared" si="60"/>
        <v>MEDIUM WHITE/PINK ROSE ART FLOWER [84800M]</v>
      </c>
    </row>
    <row r="3907" spans="1:9" x14ac:dyDescent="0.3">
      <c r="A3907" s="1" t="s">
        <v>1672</v>
      </c>
      <c r="B3907" t="s">
        <v>1671</v>
      </c>
      <c r="C3907" s="1">
        <v>1.25</v>
      </c>
      <c r="D3907" s="1">
        <v>12</v>
      </c>
      <c r="E3907" s="2">
        <v>35.272727272727202</v>
      </c>
      <c r="F3907" s="1">
        <v>11</v>
      </c>
      <c r="G3907" s="2">
        <v>292.039999999999</v>
      </c>
      <c r="H3907" s="1" t="s">
        <v>9</v>
      </c>
      <c r="I3907" t="str">
        <f t="shared" ref="I3907:I3970" si="61">B3907&amp;" ["&amp;A3907&amp;"]"</f>
        <v>SMALL WHITE/PINK ROSE ART FLOWER [84800S]</v>
      </c>
    </row>
    <row r="3908" spans="1:9" x14ac:dyDescent="0.3">
      <c r="A3908" s="1" t="s">
        <v>1670</v>
      </c>
      <c r="B3908" t="s">
        <v>1669</v>
      </c>
      <c r="C3908" s="1">
        <v>2.1</v>
      </c>
      <c r="D3908" s="1">
        <v>12</v>
      </c>
      <c r="E3908" s="2">
        <v>22.6666666666666</v>
      </c>
      <c r="F3908" s="1">
        <v>12</v>
      </c>
      <c r="G3908" s="1">
        <v>427.44</v>
      </c>
      <c r="H3908" s="1" t="s">
        <v>9</v>
      </c>
      <c r="I3908" t="str">
        <f t="shared" si="61"/>
        <v>PINK HYDRANGEA ART FLOWER [84801A]</v>
      </c>
    </row>
    <row r="3909" spans="1:9" x14ac:dyDescent="0.3">
      <c r="A3909" s="1" t="s">
        <v>1668</v>
      </c>
      <c r="B3909" t="s">
        <v>1667</v>
      </c>
      <c r="C3909" s="1">
        <v>2.1</v>
      </c>
      <c r="D3909" s="1">
        <v>12</v>
      </c>
      <c r="E3909" s="2">
        <v>16.4615384615384</v>
      </c>
      <c r="F3909" s="1">
        <v>13</v>
      </c>
      <c r="G3909" s="1">
        <v>345</v>
      </c>
      <c r="H3909" s="1" t="s">
        <v>9</v>
      </c>
      <c r="I3909" t="str">
        <f t="shared" si="61"/>
        <v>WHITE HYDRANGEA ART FLOWER [84801B]</v>
      </c>
    </row>
    <row r="3910" spans="1:9" x14ac:dyDescent="0.3">
      <c r="A3910" s="1" t="s">
        <v>1666</v>
      </c>
      <c r="B3910" t="s">
        <v>1665</v>
      </c>
      <c r="C3910" s="1">
        <v>1.69</v>
      </c>
      <c r="D3910" s="1">
        <v>8.5</v>
      </c>
      <c r="E3910" s="2">
        <v>15.4166666666666</v>
      </c>
      <c r="F3910" s="1">
        <v>12</v>
      </c>
      <c r="G3910" s="1">
        <v>312.64999999999998</v>
      </c>
      <c r="H3910" s="1" t="s">
        <v>8</v>
      </c>
      <c r="I3910" t="str">
        <f t="shared" si="61"/>
        <v>WHITE ANEMONE ARTIFICIAL FLOWER [84802A]</v>
      </c>
    </row>
    <row r="3911" spans="1:9" x14ac:dyDescent="0.3">
      <c r="A3911" s="1" t="s">
        <v>1664</v>
      </c>
      <c r="B3911" t="s">
        <v>1663</v>
      </c>
      <c r="C3911" s="1">
        <v>1.69</v>
      </c>
      <c r="D3911" s="1">
        <v>11.5</v>
      </c>
      <c r="E3911" s="1">
        <v>41.1</v>
      </c>
      <c r="F3911" s="1">
        <v>10</v>
      </c>
      <c r="G3911" s="1">
        <v>389.79</v>
      </c>
      <c r="H3911" s="1" t="s">
        <v>9</v>
      </c>
      <c r="I3911" t="str">
        <f t="shared" si="61"/>
        <v>PURPLE ANEMONE ARTIFICIAL FLOWER [84802B]</v>
      </c>
    </row>
    <row r="3912" spans="1:9" x14ac:dyDescent="0.3">
      <c r="A3912" s="1" t="s">
        <v>1662</v>
      </c>
      <c r="B3912" t="s">
        <v>1661</v>
      </c>
      <c r="C3912" s="1">
        <v>1.69</v>
      </c>
      <c r="D3912" s="1">
        <v>11</v>
      </c>
      <c r="E3912" s="1">
        <v>11.2</v>
      </c>
      <c r="F3912" s="1">
        <v>10</v>
      </c>
      <c r="G3912" s="1">
        <v>189.28</v>
      </c>
      <c r="H3912" s="1" t="s">
        <v>9</v>
      </c>
      <c r="I3912" t="str">
        <f t="shared" si="61"/>
        <v>PINK ALLIUM  ARTIFICIAL FLOWER [84803A]</v>
      </c>
    </row>
    <row r="3913" spans="1:9" x14ac:dyDescent="0.3">
      <c r="A3913" s="1" t="s">
        <v>1660</v>
      </c>
      <c r="B3913" t="s">
        <v>1659</v>
      </c>
      <c r="C3913" s="1">
        <v>1.69</v>
      </c>
      <c r="D3913" s="1">
        <v>3.5</v>
      </c>
      <c r="E3913" s="1">
        <v>7</v>
      </c>
      <c r="F3913" s="1">
        <v>6</v>
      </c>
      <c r="G3913" s="1">
        <v>70.98</v>
      </c>
      <c r="H3913" s="1" t="s">
        <v>8</v>
      </c>
      <c r="I3913" t="str">
        <f t="shared" si="61"/>
        <v>WHITE ALLIUM  ARTIFICIAL FLOWER [84803B]</v>
      </c>
    </row>
    <row r="3914" spans="1:9" x14ac:dyDescent="0.3">
      <c r="A3914" s="1" t="s">
        <v>1658</v>
      </c>
      <c r="B3914" t="s">
        <v>1657</v>
      </c>
      <c r="C3914" s="1">
        <v>2.95</v>
      </c>
      <c r="D3914" s="1">
        <v>9</v>
      </c>
      <c r="E3914" s="1">
        <v>10</v>
      </c>
      <c r="F3914" s="1">
        <v>11</v>
      </c>
      <c r="G3914" s="1">
        <v>324.5</v>
      </c>
      <c r="H3914" s="1" t="s">
        <v>8</v>
      </c>
      <c r="I3914" t="str">
        <f t="shared" si="61"/>
        <v>CREAM DELPHINIUM ARTIFICIAL FLOWER [84804A]</v>
      </c>
    </row>
    <row r="3915" spans="1:9" x14ac:dyDescent="0.3">
      <c r="A3915" s="1" t="s">
        <v>1656</v>
      </c>
      <c r="B3915" t="s">
        <v>1655</v>
      </c>
      <c r="C3915" s="1">
        <v>2.95</v>
      </c>
      <c r="D3915" s="1">
        <v>12</v>
      </c>
      <c r="E3915" s="2">
        <v>12.1111111111111</v>
      </c>
      <c r="F3915" s="1">
        <v>9</v>
      </c>
      <c r="G3915" s="1">
        <v>321.55</v>
      </c>
      <c r="H3915" s="1" t="s">
        <v>9</v>
      </c>
      <c r="I3915" t="str">
        <f t="shared" si="61"/>
        <v>BLUE DELPHINIUM ARTIFICIAL FLOWER [84804B]</v>
      </c>
    </row>
    <row r="3916" spans="1:9" x14ac:dyDescent="0.3">
      <c r="A3916" s="1" t="s">
        <v>1654</v>
      </c>
      <c r="B3916" t="s">
        <v>1653</v>
      </c>
      <c r="C3916" s="1">
        <v>3.75</v>
      </c>
      <c r="D3916" s="1">
        <v>6</v>
      </c>
      <c r="E3916" s="1">
        <v>10</v>
      </c>
      <c r="F3916" s="1">
        <v>5</v>
      </c>
      <c r="G3916" s="1">
        <v>127.5</v>
      </c>
      <c r="H3916" s="1" t="s">
        <v>8</v>
      </c>
      <c r="I3916" t="str">
        <f t="shared" si="61"/>
        <v>CREAM CLIMBING HYDRANGA ART FLOWER [84805A]</v>
      </c>
    </row>
    <row r="3917" spans="1:9" x14ac:dyDescent="0.3">
      <c r="A3917" s="1" t="s">
        <v>1652</v>
      </c>
      <c r="B3917" t="s">
        <v>1651</v>
      </c>
      <c r="C3917" s="1">
        <v>2.95</v>
      </c>
      <c r="D3917" s="1">
        <v>36</v>
      </c>
      <c r="E3917" s="2">
        <v>48.571428571428498</v>
      </c>
      <c r="F3917" s="1">
        <v>7</v>
      </c>
      <c r="G3917" s="1">
        <v>551.4</v>
      </c>
      <c r="H3917" s="1" t="s">
        <v>9</v>
      </c>
      <c r="I3917" t="str">
        <f t="shared" si="61"/>
        <v>BLUE CLIMBING HYDRANGA ART FLOWER [84805B]</v>
      </c>
    </row>
    <row r="3918" spans="1:9" x14ac:dyDescent="0.3">
      <c r="A3918" s="1" t="s">
        <v>1650</v>
      </c>
      <c r="B3918" t="s">
        <v>1649</v>
      </c>
      <c r="C3918" s="1">
        <v>1.45</v>
      </c>
      <c r="D3918" s="1">
        <v>6</v>
      </c>
      <c r="E3918" s="2">
        <v>17.1538461538461</v>
      </c>
      <c r="F3918" s="1">
        <v>13</v>
      </c>
      <c r="G3918" s="1">
        <v>224.47</v>
      </c>
      <c r="H3918" s="1" t="s">
        <v>8</v>
      </c>
      <c r="I3918" t="str">
        <f t="shared" si="61"/>
        <v>PINK CANDYSTUFT ARTIFICIAL FLOWER [84806A]</v>
      </c>
    </row>
    <row r="3919" spans="1:9" x14ac:dyDescent="0.3">
      <c r="A3919" s="1" t="s">
        <v>1648</v>
      </c>
      <c r="B3919" t="s">
        <v>1647</v>
      </c>
      <c r="C3919" s="1">
        <v>1.45</v>
      </c>
      <c r="D3919" s="1">
        <v>18</v>
      </c>
      <c r="E3919" s="1">
        <v>28.4</v>
      </c>
      <c r="F3919" s="1">
        <v>15</v>
      </c>
      <c r="G3919" s="1">
        <v>558.66</v>
      </c>
      <c r="H3919" s="1" t="s">
        <v>9</v>
      </c>
      <c r="I3919" t="str">
        <f t="shared" si="61"/>
        <v>WHITE CANDYSTUFT ARTIFICIAL FLOWER [84806B]</v>
      </c>
    </row>
    <row r="3920" spans="1:9" x14ac:dyDescent="0.3">
      <c r="A3920" s="1">
        <v>84807</v>
      </c>
      <c r="B3920" t="s">
        <v>1646</v>
      </c>
      <c r="C3920" s="1">
        <v>1.69</v>
      </c>
      <c r="D3920" s="1">
        <v>19</v>
      </c>
      <c r="E3920" s="1">
        <v>58.25</v>
      </c>
      <c r="F3920" s="1">
        <v>4</v>
      </c>
      <c r="G3920" s="1">
        <v>215.93</v>
      </c>
      <c r="H3920" s="1" t="s">
        <v>9</v>
      </c>
      <c r="I3920" t="str">
        <f t="shared" si="61"/>
        <v>RED POPPY ARTIFICIAL FLOWER [84807]</v>
      </c>
    </row>
    <row r="3921" spans="1:9" x14ac:dyDescent="0.3">
      <c r="A3921" s="1" t="s">
        <v>1645</v>
      </c>
      <c r="B3921" t="s">
        <v>1644</v>
      </c>
      <c r="C3921" s="1">
        <v>2.1</v>
      </c>
      <c r="D3921" s="1">
        <v>12</v>
      </c>
      <c r="E3921" s="2">
        <v>21.230769230769202</v>
      </c>
      <c r="F3921" s="1">
        <v>13</v>
      </c>
      <c r="G3921" s="1">
        <v>474.84</v>
      </c>
      <c r="H3921" s="1" t="s">
        <v>9</v>
      </c>
      <c r="I3921" t="str">
        <f t="shared" si="61"/>
        <v>WHITE CHRYSANTHEMUMS ART FLOWER [84809A]</v>
      </c>
    </row>
    <row r="3922" spans="1:9" x14ac:dyDescent="0.3">
      <c r="A3922" s="1" t="s">
        <v>1643</v>
      </c>
      <c r="B3922" t="s">
        <v>1642</v>
      </c>
      <c r="C3922" s="1">
        <v>2.1</v>
      </c>
      <c r="D3922" s="1">
        <v>18</v>
      </c>
      <c r="E3922" s="2">
        <v>49.3333333333333</v>
      </c>
      <c r="F3922" s="1">
        <v>6</v>
      </c>
      <c r="G3922" s="2">
        <v>351.599999999999</v>
      </c>
      <c r="H3922" s="1" t="s">
        <v>9</v>
      </c>
      <c r="I3922" t="str">
        <f t="shared" si="61"/>
        <v>PINK CHRYSANTHEMUMS ART FLOWER [84809B]</v>
      </c>
    </row>
    <row r="3923" spans="1:9" x14ac:dyDescent="0.3">
      <c r="A3923" s="1">
        <v>84813</v>
      </c>
      <c r="B3923" t="s">
        <v>1641</v>
      </c>
      <c r="C3923" s="1">
        <v>12.75</v>
      </c>
      <c r="D3923" s="1">
        <v>9</v>
      </c>
      <c r="E3923" s="1">
        <v>19.649999999999999</v>
      </c>
      <c r="F3923" s="1">
        <v>20</v>
      </c>
      <c r="G3923" s="1">
        <v>3215.21</v>
      </c>
      <c r="H3923" s="1" t="s">
        <v>8</v>
      </c>
      <c r="I3923" t="str">
        <f t="shared" si="61"/>
        <v>SET OF 4 DIAMOND NAPKIN RINGS [84813]</v>
      </c>
    </row>
    <row r="3924" spans="1:9" x14ac:dyDescent="0.3">
      <c r="A3924" s="1" t="s">
        <v>1640</v>
      </c>
      <c r="B3924" t="s">
        <v>1639</v>
      </c>
      <c r="C3924" s="1">
        <v>1.95</v>
      </c>
      <c r="D3924" s="1">
        <v>1</v>
      </c>
      <c r="E3924" s="1">
        <v>1</v>
      </c>
      <c r="F3924" s="1">
        <v>1</v>
      </c>
      <c r="G3924" s="1">
        <v>1.95</v>
      </c>
      <c r="H3924" s="1" t="s">
        <v>8</v>
      </c>
      <c r="I3924" t="str">
        <f t="shared" si="61"/>
        <v>HEXAGONAL CRYSTAL PERFUME BOTTLE [84814A]</v>
      </c>
    </row>
    <row r="3925" spans="1:9" x14ac:dyDescent="0.3">
      <c r="A3925" s="1" t="s">
        <v>1638</v>
      </c>
      <c r="B3925" t="s">
        <v>1637</v>
      </c>
      <c r="C3925" s="1">
        <v>1.95</v>
      </c>
      <c r="D3925" s="1">
        <v>7</v>
      </c>
      <c r="E3925" s="1">
        <v>7</v>
      </c>
      <c r="F3925" s="1">
        <v>1</v>
      </c>
      <c r="G3925" s="1">
        <v>13.65</v>
      </c>
      <c r="H3925" s="1" t="s">
        <v>8</v>
      </c>
      <c r="I3925" t="str">
        <f t="shared" si="61"/>
        <v>RHOMBUS CRYSTAL PERFUME BOTTLE [84814B]</v>
      </c>
    </row>
    <row r="3926" spans="1:9" x14ac:dyDescent="0.3">
      <c r="A3926" s="1">
        <v>84815</v>
      </c>
      <c r="B3926" t="s">
        <v>1636</v>
      </c>
      <c r="C3926" s="2">
        <v>4.8099999999999996</v>
      </c>
      <c r="D3926" s="1">
        <v>15.5</v>
      </c>
      <c r="E3926" s="2">
        <v>16.3333333333333</v>
      </c>
      <c r="F3926" s="1">
        <v>6</v>
      </c>
      <c r="G3926" s="2">
        <v>471.719999999999</v>
      </c>
      <c r="H3926" s="1" t="s">
        <v>9</v>
      </c>
      <c r="I3926" t="str">
        <f t="shared" si="61"/>
        <v>SET OF 3 DANISH ROSE PLANTERS [84815]</v>
      </c>
    </row>
    <row r="3927" spans="1:9" x14ac:dyDescent="0.3">
      <c r="A3927" s="1">
        <v>84816</v>
      </c>
      <c r="B3927" t="s">
        <v>1635</v>
      </c>
      <c r="C3927" s="1">
        <v>39.950000000000003</v>
      </c>
      <c r="D3927" s="1">
        <v>2</v>
      </c>
      <c r="E3927" s="1">
        <v>2.2000000000000002</v>
      </c>
      <c r="F3927" s="1">
        <v>15</v>
      </c>
      <c r="G3927" s="2">
        <v>1278.3499999999999</v>
      </c>
      <c r="H3927" s="1" t="s">
        <v>8</v>
      </c>
      <c r="I3927" t="str">
        <f t="shared" si="61"/>
        <v>DANISH ROSE BEDSIDE CABINET [84816]</v>
      </c>
    </row>
    <row r="3928" spans="1:9" x14ac:dyDescent="0.3">
      <c r="A3928" s="1">
        <v>84817</v>
      </c>
      <c r="B3928" t="s">
        <v>1634</v>
      </c>
      <c r="C3928" s="1">
        <v>2.1</v>
      </c>
      <c r="D3928" s="1">
        <v>14</v>
      </c>
      <c r="E3928" s="1">
        <v>17</v>
      </c>
      <c r="F3928" s="1">
        <v>19</v>
      </c>
      <c r="G3928" s="1">
        <v>597.66</v>
      </c>
      <c r="H3928" s="1" t="s">
        <v>9</v>
      </c>
      <c r="I3928" t="str">
        <f t="shared" si="61"/>
        <v>DANISH ROSE DECORATIVE PLATE [84817]</v>
      </c>
    </row>
    <row r="3929" spans="1:9" x14ac:dyDescent="0.3">
      <c r="A3929" s="1">
        <v>84818</v>
      </c>
      <c r="B3929" t="s">
        <v>1633</v>
      </c>
      <c r="C3929" s="1">
        <v>2.5299999999999998</v>
      </c>
      <c r="D3929" s="1">
        <v>35</v>
      </c>
      <c r="E3929" s="2">
        <v>77.739130434782595</v>
      </c>
      <c r="F3929" s="1">
        <v>23</v>
      </c>
      <c r="G3929" s="1">
        <v>2382.25</v>
      </c>
      <c r="H3929" s="1" t="s">
        <v>9</v>
      </c>
      <c r="I3929" t="str">
        <f t="shared" si="61"/>
        <v>DANISH ROSE PHOTO FRAME [84818]</v>
      </c>
    </row>
    <row r="3930" spans="1:9" x14ac:dyDescent="0.3">
      <c r="A3930" s="1">
        <v>84819</v>
      </c>
      <c r="B3930" t="s">
        <v>1632</v>
      </c>
      <c r="C3930" s="1">
        <v>4.25</v>
      </c>
      <c r="D3930" s="1">
        <v>6</v>
      </c>
      <c r="E3930" s="1">
        <v>9</v>
      </c>
      <c r="F3930" s="1">
        <v>20</v>
      </c>
      <c r="G3930" s="1">
        <v>694.18</v>
      </c>
      <c r="H3930" s="1" t="s">
        <v>8</v>
      </c>
      <c r="I3930" t="str">
        <f t="shared" si="61"/>
        <v>DANISH ROSE ROUND SEWING BOX [84819]</v>
      </c>
    </row>
    <row r="3931" spans="1:9" x14ac:dyDescent="0.3">
      <c r="A3931" s="1">
        <v>84820</v>
      </c>
      <c r="B3931" t="s">
        <v>1631</v>
      </c>
      <c r="C3931" s="1">
        <v>5.95</v>
      </c>
      <c r="D3931" s="1">
        <v>4</v>
      </c>
      <c r="E3931" s="2">
        <v>5.6111111111111098</v>
      </c>
      <c r="F3931" s="1">
        <v>18</v>
      </c>
      <c r="G3931" s="1">
        <v>626.07000000000005</v>
      </c>
      <c r="H3931" s="1" t="s">
        <v>8</v>
      </c>
      <c r="I3931" t="str">
        <f t="shared" si="61"/>
        <v>DANISH ROSE TRINKET TRAYS [84820]</v>
      </c>
    </row>
    <row r="3932" spans="1:9" x14ac:dyDescent="0.3">
      <c r="A3932" s="1">
        <v>84821</v>
      </c>
      <c r="B3932" t="s">
        <v>1630</v>
      </c>
      <c r="C3932" s="1">
        <v>0.85</v>
      </c>
      <c r="D3932" s="1">
        <v>29</v>
      </c>
      <c r="E3932" s="2">
        <v>48.571428571428498</v>
      </c>
      <c r="F3932" s="1">
        <v>21</v>
      </c>
      <c r="G3932" s="1">
        <v>677.12</v>
      </c>
      <c r="H3932" s="1" t="s">
        <v>9</v>
      </c>
      <c r="I3932" t="str">
        <f t="shared" si="61"/>
        <v>DANISH ROSE DELUXE COASTER [84821]</v>
      </c>
    </row>
    <row r="3933" spans="1:9" x14ac:dyDescent="0.3">
      <c r="A3933" s="1">
        <v>84823</v>
      </c>
      <c r="B3933" t="s">
        <v>1629</v>
      </c>
      <c r="C3933" s="1">
        <v>39.950000000000003</v>
      </c>
      <c r="D3933" s="1">
        <v>1.5</v>
      </c>
      <c r="E3933" s="1">
        <v>2</v>
      </c>
      <c r="F3933" s="1">
        <v>4</v>
      </c>
      <c r="G3933" s="1">
        <v>319.60000000000002</v>
      </c>
      <c r="H3933" s="1" t="s">
        <v>8</v>
      </c>
      <c r="I3933" t="str">
        <f t="shared" si="61"/>
        <v>DANISH ROSE FOLDING CHAIR [84823]</v>
      </c>
    </row>
    <row r="3934" spans="1:9" x14ac:dyDescent="0.3">
      <c r="A3934" s="1">
        <v>84824</v>
      </c>
      <c r="B3934" t="s">
        <v>1628</v>
      </c>
      <c r="C3934" s="1">
        <v>15.95</v>
      </c>
      <c r="D3934" s="1">
        <v>3</v>
      </c>
      <c r="E3934" s="2">
        <v>3.4545454545454501</v>
      </c>
      <c r="F3934" s="1">
        <v>11</v>
      </c>
      <c r="G3934" s="1">
        <v>676.45</v>
      </c>
      <c r="H3934" s="1" t="s">
        <v>8</v>
      </c>
      <c r="I3934" t="str">
        <f t="shared" si="61"/>
        <v>DANISH ROSE UMBRELLA STAND [84824]</v>
      </c>
    </row>
    <row r="3935" spans="1:9" x14ac:dyDescent="0.3">
      <c r="A3935" s="1">
        <v>84826</v>
      </c>
      <c r="B3935" t="s">
        <v>1627</v>
      </c>
      <c r="C3935" s="1">
        <v>0.85</v>
      </c>
      <c r="D3935" s="1">
        <v>60</v>
      </c>
      <c r="E3935" s="1">
        <v>61.157894736842103</v>
      </c>
      <c r="F3935" s="1">
        <v>19</v>
      </c>
      <c r="G3935" s="1">
        <v>750.8</v>
      </c>
      <c r="H3935" s="1" t="s">
        <v>9</v>
      </c>
      <c r="I3935" t="str">
        <f t="shared" si="61"/>
        <v>ASSTD DESIGN 3D PAPER STICKERS [84826]</v>
      </c>
    </row>
    <row r="3936" spans="1:9" x14ac:dyDescent="0.3">
      <c r="A3936" s="1">
        <v>84827</v>
      </c>
      <c r="B3936" t="s">
        <v>1626</v>
      </c>
      <c r="C3936" s="1">
        <v>0.65</v>
      </c>
      <c r="D3936" s="1">
        <v>60</v>
      </c>
      <c r="E3936" s="2">
        <v>73.538461538461505</v>
      </c>
      <c r="F3936" s="1">
        <v>13</v>
      </c>
      <c r="G3936" s="1">
        <v>483.4</v>
      </c>
      <c r="H3936" s="1" t="s">
        <v>9</v>
      </c>
      <c r="I3936" t="str">
        <f t="shared" si="61"/>
        <v>ASS DES PHONE SPONGE CRAFT STICKER [84827]</v>
      </c>
    </row>
    <row r="3937" spans="1:9" x14ac:dyDescent="0.3">
      <c r="A3937" s="1">
        <v>84828</v>
      </c>
      <c r="B3937" t="s">
        <v>1625</v>
      </c>
      <c r="C3937" s="1">
        <v>1.3149999999999999</v>
      </c>
      <c r="D3937" s="1">
        <v>74</v>
      </c>
      <c r="E3937" s="2">
        <v>96.269230769230703</v>
      </c>
      <c r="F3937" s="1">
        <v>25</v>
      </c>
      <c r="G3937" s="1">
        <v>3315.18</v>
      </c>
      <c r="H3937" s="1" t="s">
        <v>10</v>
      </c>
      <c r="I3937" t="str">
        <f t="shared" si="61"/>
        <v>JUNGLE POPSICLES ICE LOLLY HOLDERS [84828]</v>
      </c>
    </row>
    <row r="3938" spans="1:9" x14ac:dyDescent="0.3">
      <c r="A3938" s="1">
        <v>84830</v>
      </c>
      <c r="B3938" t="s">
        <v>1624</v>
      </c>
      <c r="C3938" s="2">
        <v>15.149999999999901</v>
      </c>
      <c r="D3938" s="1">
        <v>4</v>
      </c>
      <c r="E3938" s="1">
        <v>28.25</v>
      </c>
      <c r="F3938" s="1">
        <v>4</v>
      </c>
      <c r="G3938" s="2">
        <v>1195.1499999999901</v>
      </c>
      <c r="H3938" s="1" t="s">
        <v>8</v>
      </c>
      <c r="I3938" t="str">
        <f t="shared" si="61"/>
        <v>LARGE ENGLISH ARBORETUM [84830]</v>
      </c>
    </row>
    <row r="3939" spans="1:9" x14ac:dyDescent="0.3">
      <c r="A3939" s="1">
        <v>84832</v>
      </c>
      <c r="B3939" t="s">
        <v>1623</v>
      </c>
      <c r="C3939" s="1">
        <v>0.91</v>
      </c>
      <c r="D3939" s="1">
        <v>169</v>
      </c>
      <c r="E3939" s="1">
        <v>271.76</v>
      </c>
      <c r="F3939" s="1">
        <v>25</v>
      </c>
      <c r="G3939" s="1">
        <v>6134.7</v>
      </c>
      <c r="H3939" s="1" t="s">
        <v>10</v>
      </c>
      <c r="I3939" t="str">
        <f t="shared" si="61"/>
        <v>ZINC WILLIE WINKIE  CANDLE STICK [84832]</v>
      </c>
    </row>
    <row r="3940" spans="1:9" x14ac:dyDescent="0.3">
      <c r="A3940" s="1">
        <v>84836</v>
      </c>
      <c r="B3940" t="s">
        <v>1622</v>
      </c>
      <c r="C3940" s="1">
        <v>1.25</v>
      </c>
      <c r="D3940" s="1">
        <v>652</v>
      </c>
      <c r="E3940" s="1">
        <v>793.88</v>
      </c>
      <c r="F3940" s="1">
        <v>25</v>
      </c>
      <c r="G3940" s="2">
        <v>24289.3299999999</v>
      </c>
      <c r="H3940" s="1" t="s">
        <v>10</v>
      </c>
      <c r="I3940" t="str">
        <f t="shared" si="61"/>
        <v>ZINC METAL HEART DECORATION [84836]</v>
      </c>
    </row>
    <row r="3941" spans="1:9" x14ac:dyDescent="0.3">
      <c r="A3941" s="1">
        <v>84837</v>
      </c>
      <c r="B3941" t="s">
        <v>1621</v>
      </c>
      <c r="C3941" s="1">
        <v>12.75</v>
      </c>
      <c r="D3941" s="1">
        <v>30</v>
      </c>
      <c r="E3941" s="2">
        <v>27.8888888888888</v>
      </c>
      <c r="F3941" s="1">
        <v>9</v>
      </c>
      <c r="G3941" s="1">
        <v>3210.04</v>
      </c>
      <c r="H3941" s="1" t="s">
        <v>9</v>
      </c>
      <c r="I3941" t="str">
        <f t="shared" si="61"/>
        <v>WHITE SWEETHEARTS CABINET 4 DRAWERS [84837]</v>
      </c>
    </row>
    <row r="3942" spans="1:9" x14ac:dyDescent="0.3">
      <c r="A3942" s="1">
        <v>84838</v>
      </c>
      <c r="B3942" t="s">
        <v>1620</v>
      </c>
      <c r="C3942" s="1">
        <v>7.25</v>
      </c>
      <c r="D3942" s="1">
        <v>25</v>
      </c>
      <c r="E3942" s="1">
        <v>25</v>
      </c>
      <c r="F3942" s="1">
        <v>2</v>
      </c>
      <c r="G3942" s="1">
        <v>312.5</v>
      </c>
      <c r="H3942" s="1" t="s">
        <v>9</v>
      </c>
      <c r="I3942" t="str">
        <f t="shared" si="61"/>
        <v>ANT WHITE HIGH RISE BIRD BOX [84838]</v>
      </c>
    </row>
    <row r="3943" spans="1:9" x14ac:dyDescent="0.3">
      <c r="A3943" s="1">
        <v>84839</v>
      </c>
      <c r="B3943" t="s">
        <v>1619</v>
      </c>
      <c r="C3943" s="1">
        <v>6.41</v>
      </c>
      <c r="D3943" s="1">
        <v>118</v>
      </c>
      <c r="E3943" s="2">
        <v>138.45454545454501</v>
      </c>
      <c r="F3943" s="1">
        <v>11</v>
      </c>
      <c r="G3943" s="1">
        <v>8747.0499999999993</v>
      </c>
      <c r="H3943" s="1" t="s">
        <v>10</v>
      </c>
      <c r="I3943" t="str">
        <f t="shared" si="61"/>
        <v>SWEETHEART KEY CABINET [84839]</v>
      </c>
    </row>
    <row r="3944" spans="1:9" x14ac:dyDescent="0.3">
      <c r="A3944" s="1">
        <v>84840</v>
      </c>
      <c r="B3944" t="s">
        <v>1618</v>
      </c>
      <c r="C3944" s="1">
        <v>8.5</v>
      </c>
      <c r="D3944" s="1">
        <v>29</v>
      </c>
      <c r="E3944" s="1">
        <v>28.2</v>
      </c>
      <c r="F3944" s="1">
        <v>10</v>
      </c>
      <c r="G3944" s="1">
        <v>2430.8200000000002</v>
      </c>
      <c r="H3944" s="1" t="s">
        <v>9</v>
      </c>
      <c r="I3944" t="str">
        <f t="shared" si="61"/>
        <v>SWEETHEART CARRY-ALL BASKET [84840]</v>
      </c>
    </row>
    <row r="3945" spans="1:9" x14ac:dyDescent="0.3">
      <c r="A3945" s="1">
        <v>84842</v>
      </c>
      <c r="B3945" t="s">
        <v>1617</v>
      </c>
      <c r="C3945" s="1">
        <v>3.75</v>
      </c>
      <c r="D3945" s="1">
        <v>4</v>
      </c>
      <c r="E3945" s="2">
        <v>4.8461538461538396</v>
      </c>
      <c r="F3945" s="1">
        <v>13</v>
      </c>
      <c r="G3945" s="1">
        <v>261.45</v>
      </c>
      <c r="H3945" s="1" t="s">
        <v>8</v>
      </c>
      <c r="I3945" t="str">
        <f t="shared" si="61"/>
        <v>HELLO SAILOR BATHROOM SET [84842]</v>
      </c>
    </row>
    <row r="3946" spans="1:9" x14ac:dyDescent="0.3">
      <c r="A3946" s="1">
        <v>84843</v>
      </c>
      <c r="B3946" t="s">
        <v>1616</v>
      </c>
      <c r="C3946" s="1">
        <v>6.49</v>
      </c>
      <c r="D3946" s="1">
        <v>9</v>
      </c>
      <c r="E3946" s="1">
        <v>11.2</v>
      </c>
      <c r="F3946" s="1">
        <v>25</v>
      </c>
      <c r="G3946" s="1">
        <v>1731.06</v>
      </c>
      <c r="H3946" s="1" t="s">
        <v>8</v>
      </c>
      <c r="I3946" t="str">
        <f t="shared" si="61"/>
        <v>WHITE SOAP RACK WITH 2 BOTTLES [84843]</v>
      </c>
    </row>
    <row r="3947" spans="1:9" x14ac:dyDescent="0.3">
      <c r="A3947" s="1" t="s">
        <v>1615</v>
      </c>
      <c r="B3947" t="s">
        <v>1614</v>
      </c>
      <c r="C3947" s="1">
        <v>1.25</v>
      </c>
      <c r="D3947" s="1">
        <v>1</v>
      </c>
      <c r="E3947" s="1">
        <v>1</v>
      </c>
      <c r="F3947" s="1">
        <v>1</v>
      </c>
      <c r="G3947" s="1">
        <v>1.25</v>
      </c>
      <c r="H3947" s="1" t="s">
        <v>8</v>
      </c>
      <c r="I3947" t="str">
        <f t="shared" si="61"/>
        <v>HOLLYHOCK SQUARE HANDY TIN [84845A]</v>
      </c>
    </row>
    <row r="3948" spans="1:9" x14ac:dyDescent="0.3">
      <c r="A3948" s="1" t="s">
        <v>1613</v>
      </c>
      <c r="B3948" t="s">
        <v>1612</v>
      </c>
      <c r="C3948" s="1">
        <v>1.25</v>
      </c>
      <c r="D3948" s="1">
        <v>4</v>
      </c>
      <c r="E3948" s="1">
        <v>6</v>
      </c>
      <c r="F3948" s="1">
        <v>7</v>
      </c>
      <c r="G3948" s="1">
        <v>52.5</v>
      </c>
      <c r="H3948" s="1" t="s">
        <v>8</v>
      </c>
      <c r="I3948" t="str">
        <f t="shared" si="61"/>
        <v>CARNATION SQUARE HANDY TIN [84845C]</v>
      </c>
    </row>
    <row r="3949" spans="1:9" x14ac:dyDescent="0.3">
      <c r="A3949" s="1" t="s">
        <v>1611</v>
      </c>
      <c r="B3949" t="s">
        <v>1610</v>
      </c>
      <c r="C3949" s="1">
        <v>1.25</v>
      </c>
      <c r="D3949" s="1">
        <v>6</v>
      </c>
      <c r="E3949" s="1">
        <v>8.1999999999999993</v>
      </c>
      <c r="F3949" s="1">
        <v>5</v>
      </c>
      <c r="G3949" s="1">
        <v>51.25</v>
      </c>
      <c r="H3949" s="1" t="s">
        <v>8</v>
      </c>
      <c r="I3949" t="str">
        <f t="shared" si="61"/>
        <v>GERANIUM SQUARE HANDY TIN [84845D]</v>
      </c>
    </row>
    <row r="3950" spans="1:9" x14ac:dyDescent="0.3">
      <c r="A3950" s="1" t="s">
        <v>1609</v>
      </c>
      <c r="B3950" t="s">
        <v>1608</v>
      </c>
      <c r="C3950" s="1">
        <v>2.1749999999999998</v>
      </c>
      <c r="D3950" s="1">
        <v>12.5</v>
      </c>
      <c r="E3950" s="1">
        <v>15.6875</v>
      </c>
      <c r="F3950" s="1">
        <v>16</v>
      </c>
      <c r="G3950" s="1">
        <v>567.54999999999995</v>
      </c>
      <c r="H3950" s="1" t="s">
        <v>9</v>
      </c>
      <c r="I3950" t="str">
        <f t="shared" si="61"/>
        <v>SCENTED CANDLE IN DIGITALIS TIN [84846A]</v>
      </c>
    </row>
    <row r="3951" spans="1:9" x14ac:dyDescent="0.3">
      <c r="A3951" s="1">
        <v>84847</v>
      </c>
      <c r="B3951" t="s">
        <v>1607</v>
      </c>
      <c r="C3951" s="1">
        <v>3.75</v>
      </c>
      <c r="D3951" s="1">
        <v>5</v>
      </c>
      <c r="E3951" s="2">
        <v>5.4117647058823497</v>
      </c>
      <c r="F3951" s="1">
        <v>17</v>
      </c>
      <c r="G3951" s="1">
        <v>390.67</v>
      </c>
      <c r="H3951" s="1" t="s">
        <v>8</v>
      </c>
      <c r="I3951" t="str">
        <f t="shared" si="61"/>
        <v>FLORAL BATHROOM SET [84847]</v>
      </c>
    </row>
    <row r="3952" spans="1:9" x14ac:dyDescent="0.3">
      <c r="A3952" s="1" t="s">
        <v>1606</v>
      </c>
      <c r="B3952" t="s">
        <v>1605</v>
      </c>
      <c r="C3952" s="1">
        <v>1.81</v>
      </c>
      <c r="D3952" s="1">
        <v>18</v>
      </c>
      <c r="E3952" s="2">
        <v>20.434782608695599</v>
      </c>
      <c r="F3952" s="1">
        <v>23</v>
      </c>
      <c r="G3952" s="1">
        <v>833.57</v>
      </c>
      <c r="H3952" s="1" t="s">
        <v>9</v>
      </c>
      <c r="I3952" t="str">
        <f t="shared" si="61"/>
        <v>HELLO SAILOR BLUE SOAP HOLDER [84849A]</v>
      </c>
    </row>
    <row r="3953" spans="1:9" x14ac:dyDescent="0.3">
      <c r="A3953" s="1" t="s">
        <v>1604</v>
      </c>
      <c r="B3953" t="s">
        <v>1603</v>
      </c>
      <c r="C3953" s="1">
        <v>1.71</v>
      </c>
      <c r="D3953" s="1">
        <v>87.5</v>
      </c>
      <c r="E3953" s="1">
        <v>96.8</v>
      </c>
      <c r="F3953" s="1">
        <v>20</v>
      </c>
      <c r="G3953" s="1">
        <v>3244.14</v>
      </c>
      <c r="H3953" s="1" t="s">
        <v>10</v>
      </c>
      <c r="I3953" t="str">
        <f t="shared" si="61"/>
        <v>FAIRY SOAP SOAP HOLDER [84849B]</v>
      </c>
    </row>
    <row r="3954" spans="1:9" x14ac:dyDescent="0.3">
      <c r="A3954" s="1" t="s">
        <v>1602</v>
      </c>
      <c r="B3954" t="s">
        <v>1601</v>
      </c>
      <c r="C3954" s="1">
        <v>1.69</v>
      </c>
      <c r="D3954" s="1">
        <v>49</v>
      </c>
      <c r="E3954" s="2">
        <v>64.9166666666666</v>
      </c>
      <c r="F3954" s="1">
        <v>24</v>
      </c>
      <c r="G3954" s="1">
        <v>2618.27</v>
      </c>
      <c r="H3954" s="1" t="s">
        <v>9</v>
      </c>
      <c r="I3954" t="str">
        <f t="shared" si="61"/>
        <v>HOT BATHS SOAP HOLDER [84849D]</v>
      </c>
    </row>
    <row r="3955" spans="1:9" x14ac:dyDescent="0.3">
      <c r="A3955" s="1">
        <v>84854</v>
      </c>
      <c r="B3955" t="s">
        <v>1600</v>
      </c>
      <c r="C3955" s="1">
        <v>5.46</v>
      </c>
      <c r="D3955" s="1">
        <v>23.5</v>
      </c>
      <c r="E3955" s="1">
        <v>31.75</v>
      </c>
      <c r="F3955" s="1">
        <v>12</v>
      </c>
      <c r="G3955" s="1">
        <v>2079.4699999999998</v>
      </c>
      <c r="H3955" s="1" t="s">
        <v>9</v>
      </c>
      <c r="I3955" t="str">
        <f t="shared" si="61"/>
        <v>GIRLY PINK TOOL SET [84854]</v>
      </c>
    </row>
    <row r="3956" spans="1:9" x14ac:dyDescent="0.3">
      <c r="A3956" s="1">
        <v>84855</v>
      </c>
      <c r="B3956" t="s">
        <v>1599</v>
      </c>
      <c r="C3956" s="1">
        <v>4.95</v>
      </c>
      <c r="D3956" s="1">
        <v>6</v>
      </c>
      <c r="E3956" s="1">
        <v>7.2</v>
      </c>
      <c r="F3956" s="1">
        <v>5</v>
      </c>
      <c r="G3956" s="1">
        <v>196.7</v>
      </c>
      <c r="H3956" s="1" t="s">
        <v>8</v>
      </c>
      <c r="I3956" t="str">
        <f t="shared" si="61"/>
        <v>BLOKEY SILVER TOOL SET [84855]</v>
      </c>
    </row>
    <row r="3957" spans="1:9" x14ac:dyDescent="0.3">
      <c r="A3957" s="1" t="s">
        <v>1598</v>
      </c>
      <c r="B3957" t="s">
        <v>1597</v>
      </c>
      <c r="C3957" s="1">
        <v>6.415</v>
      </c>
      <c r="D3957" s="1">
        <v>6.5</v>
      </c>
      <c r="E3957" s="1">
        <v>17</v>
      </c>
      <c r="F3957" s="1">
        <v>14</v>
      </c>
      <c r="G3957" s="1">
        <v>1492.28</v>
      </c>
      <c r="H3957" s="1" t="s">
        <v>8</v>
      </c>
      <c r="I3957" t="str">
        <f t="shared" si="61"/>
        <v>LARGE TAHITI BEACH BAG [84856L]</v>
      </c>
    </row>
    <row r="3958" spans="1:9" x14ac:dyDescent="0.3">
      <c r="A3958" s="1" t="s">
        <v>1596</v>
      </c>
      <c r="B3958" t="s">
        <v>1595</v>
      </c>
      <c r="C3958" s="1">
        <v>4.6500000000000004</v>
      </c>
      <c r="D3958" s="1">
        <v>14</v>
      </c>
      <c r="E3958" s="2">
        <v>51.8888888888888</v>
      </c>
      <c r="F3958" s="1">
        <v>9</v>
      </c>
      <c r="G3958" s="1">
        <v>1877.21</v>
      </c>
      <c r="H3958" s="1" t="s">
        <v>9</v>
      </c>
      <c r="I3958" t="str">
        <f t="shared" si="61"/>
        <v>SMALL TAHITI BEACH BAG [84856S]</v>
      </c>
    </row>
    <row r="3959" spans="1:9" x14ac:dyDescent="0.3">
      <c r="A3959" s="1" t="s">
        <v>1594</v>
      </c>
      <c r="B3959" t="s">
        <v>1593</v>
      </c>
      <c r="C3959" s="1">
        <v>8.5</v>
      </c>
      <c r="D3959" s="1">
        <v>4</v>
      </c>
      <c r="E3959" s="1">
        <v>4</v>
      </c>
      <c r="F3959" s="1">
        <v>2</v>
      </c>
      <c r="G3959" s="1">
        <v>68</v>
      </c>
      <c r="H3959" s="1" t="s">
        <v>8</v>
      </c>
      <c r="I3959" t="str">
        <f t="shared" si="61"/>
        <v>SILVER MONTE CARLO HANDBAG [84857A]</v>
      </c>
    </row>
    <row r="3960" spans="1:9" x14ac:dyDescent="0.3">
      <c r="A3960" s="1" t="s">
        <v>1592</v>
      </c>
      <c r="B3960" t="s">
        <v>1591</v>
      </c>
      <c r="C3960" s="1">
        <v>1.95</v>
      </c>
      <c r="D3960" s="1">
        <v>24</v>
      </c>
      <c r="E3960" s="1">
        <v>24</v>
      </c>
      <c r="F3960" s="1">
        <v>1</v>
      </c>
      <c r="G3960" s="1">
        <v>46.8</v>
      </c>
      <c r="H3960" s="1" t="s">
        <v>9</v>
      </c>
      <c r="I3960" t="str">
        <f t="shared" si="61"/>
        <v>BLUE MONTE CARLO HANDBAG [84857B]</v>
      </c>
    </row>
    <row r="3961" spans="1:9" x14ac:dyDescent="0.3">
      <c r="A3961" s="1" t="s">
        <v>1590</v>
      </c>
      <c r="B3961" t="s">
        <v>1589</v>
      </c>
      <c r="C3961" s="1">
        <v>2.02</v>
      </c>
      <c r="D3961" s="1">
        <v>9</v>
      </c>
      <c r="E3961" s="1">
        <v>28</v>
      </c>
      <c r="F3961" s="1">
        <v>7</v>
      </c>
      <c r="G3961" s="1">
        <v>428.05</v>
      </c>
      <c r="H3961" s="1" t="s">
        <v>8</v>
      </c>
      <c r="I3961" t="str">
        <f t="shared" si="61"/>
        <v>PINK MONTE CARLO HANDBAG [84857C]</v>
      </c>
    </row>
    <row r="3962" spans="1:9" x14ac:dyDescent="0.3">
      <c r="A3962" s="1" t="s">
        <v>1588</v>
      </c>
      <c r="B3962" t="s">
        <v>1587</v>
      </c>
      <c r="C3962" s="1">
        <v>5.95</v>
      </c>
      <c r="D3962" s="1">
        <v>1.5</v>
      </c>
      <c r="E3962" s="1">
        <v>3</v>
      </c>
      <c r="F3962" s="1">
        <v>4</v>
      </c>
      <c r="G3962" s="1">
        <v>77.58</v>
      </c>
      <c r="H3962" s="1" t="s">
        <v>8</v>
      </c>
      <c r="I3962" t="str">
        <f t="shared" si="61"/>
        <v>NATURAL RIVIERA HANDBAG [84858A]</v>
      </c>
    </row>
    <row r="3963" spans="1:9" x14ac:dyDescent="0.3">
      <c r="A3963" s="1" t="s">
        <v>1586</v>
      </c>
      <c r="B3963" t="s">
        <v>1585</v>
      </c>
      <c r="C3963" s="1">
        <v>1.2749999999999999</v>
      </c>
      <c r="D3963" s="1">
        <v>161.5</v>
      </c>
      <c r="E3963" s="1">
        <v>161.5</v>
      </c>
      <c r="F3963" s="1">
        <v>2</v>
      </c>
      <c r="G3963" s="1">
        <v>413.15</v>
      </c>
      <c r="H3963" s="1" t="s">
        <v>10</v>
      </c>
      <c r="I3963" t="str">
        <f t="shared" si="61"/>
        <v>BLUE RIVIERA HANDBAG [84858B]</v>
      </c>
    </row>
    <row r="3964" spans="1:9" x14ac:dyDescent="0.3">
      <c r="A3964" s="1" t="s">
        <v>1584</v>
      </c>
      <c r="B3964" t="s">
        <v>1583</v>
      </c>
      <c r="C3964" s="1">
        <v>5.95</v>
      </c>
      <c r="D3964" s="1">
        <v>3</v>
      </c>
      <c r="E3964" s="2">
        <v>3.2222222222222201</v>
      </c>
      <c r="F3964" s="1">
        <v>9</v>
      </c>
      <c r="G3964" s="1">
        <v>190.07</v>
      </c>
      <c r="H3964" s="1" t="s">
        <v>8</v>
      </c>
      <c r="I3964" t="str">
        <f t="shared" si="61"/>
        <v>PINK RIVIERA HANDBAG [84858C]</v>
      </c>
    </row>
    <row r="3965" spans="1:9" x14ac:dyDescent="0.3">
      <c r="A3965" s="1" t="s">
        <v>1582</v>
      </c>
      <c r="B3965" t="s">
        <v>1581</v>
      </c>
      <c r="C3965" s="1">
        <v>2.7949999999999999</v>
      </c>
      <c r="D3965" s="1">
        <v>6</v>
      </c>
      <c r="E3965" s="2">
        <v>16.1666666666666</v>
      </c>
      <c r="F3965" s="1">
        <v>18</v>
      </c>
      <c r="G3965" s="1">
        <v>591.49</v>
      </c>
      <c r="H3965" s="1" t="s">
        <v>8</v>
      </c>
      <c r="I3965" t="str">
        <f t="shared" si="61"/>
        <v>SILVER DISCO HANDBAG [84859A]</v>
      </c>
    </row>
    <row r="3966" spans="1:9" x14ac:dyDescent="0.3">
      <c r="A3966" s="1" t="s">
        <v>1580</v>
      </c>
      <c r="B3966" t="s">
        <v>1579</v>
      </c>
      <c r="C3966" s="1">
        <v>1.95</v>
      </c>
      <c r="D3966" s="1">
        <v>4</v>
      </c>
      <c r="E3966" s="1">
        <v>28</v>
      </c>
      <c r="F3966" s="1">
        <v>10</v>
      </c>
      <c r="G3966" s="1">
        <v>421.56</v>
      </c>
      <c r="H3966" s="1" t="s">
        <v>8</v>
      </c>
      <c r="I3966" t="str">
        <f t="shared" si="61"/>
        <v>BLUE DISCO HANDBAG [84859B]</v>
      </c>
    </row>
    <row r="3967" spans="1:9" x14ac:dyDescent="0.3">
      <c r="A3967" s="1" t="s">
        <v>1578</v>
      </c>
      <c r="B3967" t="s">
        <v>1577</v>
      </c>
      <c r="C3967" s="1">
        <v>1.95</v>
      </c>
      <c r="D3967" s="1">
        <v>17</v>
      </c>
      <c r="E3967" s="2">
        <v>32.5555555555555</v>
      </c>
      <c r="F3967" s="1">
        <v>9</v>
      </c>
      <c r="G3967" s="1">
        <v>487.27</v>
      </c>
      <c r="H3967" s="1" t="s">
        <v>9</v>
      </c>
      <c r="I3967" t="str">
        <f t="shared" si="61"/>
        <v>PINK DISCO HANDBAG [84859C]</v>
      </c>
    </row>
    <row r="3968" spans="1:9" x14ac:dyDescent="0.3">
      <c r="A3968" s="1" t="s">
        <v>1576</v>
      </c>
      <c r="B3968" t="s">
        <v>1575</v>
      </c>
      <c r="C3968" s="1">
        <v>6.75</v>
      </c>
      <c r="D3968" s="1">
        <v>2</v>
      </c>
      <c r="E3968" s="2">
        <v>2.3333333333333299</v>
      </c>
      <c r="F3968" s="1">
        <v>3</v>
      </c>
      <c r="G3968" s="2">
        <v>67.709999999999994</v>
      </c>
      <c r="H3968" s="1" t="s">
        <v>8</v>
      </c>
      <c r="I3968" t="str">
        <f t="shared" si="61"/>
        <v>PINK PAISLEY PHOTO ALBUM [84864A]</v>
      </c>
    </row>
    <row r="3969" spans="1:9" x14ac:dyDescent="0.3">
      <c r="A3969" s="1">
        <v>84865</v>
      </c>
      <c r="B3969" t="s">
        <v>1574</v>
      </c>
      <c r="C3969" s="1">
        <v>8.5</v>
      </c>
      <c r="D3969" s="1">
        <v>3</v>
      </c>
      <c r="E3969" s="2">
        <v>4.5294117647058796</v>
      </c>
      <c r="F3969" s="1">
        <v>17</v>
      </c>
      <c r="G3969" s="1">
        <v>639.41999999999996</v>
      </c>
      <c r="H3969" s="1" t="s">
        <v>8</v>
      </c>
      <c r="I3969" t="str">
        <f t="shared" si="61"/>
        <v>NEW BAROQUE BLACK PHOTO ALBUM [84865]</v>
      </c>
    </row>
    <row r="3970" spans="1:9" x14ac:dyDescent="0.3">
      <c r="A3970" s="1" t="s">
        <v>1573</v>
      </c>
      <c r="B3970" t="s">
        <v>1571</v>
      </c>
      <c r="C3970" s="1">
        <v>6.77</v>
      </c>
      <c r="D3970" s="1">
        <v>8</v>
      </c>
      <c r="E3970" s="1">
        <v>8</v>
      </c>
      <c r="F3970" s="1">
        <v>2</v>
      </c>
      <c r="G3970" s="2">
        <v>105.82</v>
      </c>
      <c r="H3970" s="1" t="s">
        <v>8</v>
      </c>
      <c r="I3970" t="str">
        <f t="shared" si="61"/>
        <v>PINK BABY GIRLS PHOTO ALBUM [84867A]</v>
      </c>
    </row>
    <row r="3971" spans="1:9" x14ac:dyDescent="0.3">
      <c r="A3971" s="1" t="s">
        <v>1572</v>
      </c>
      <c r="B3971" t="s">
        <v>1571</v>
      </c>
      <c r="C3971" s="1">
        <v>13.57</v>
      </c>
      <c r="D3971" s="1">
        <v>1</v>
      </c>
      <c r="E3971" s="1">
        <v>1</v>
      </c>
      <c r="F3971" s="1">
        <v>1</v>
      </c>
      <c r="G3971" s="1">
        <v>13.57</v>
      </c>
      <c r="H3971" s="1" t="s">
        <v>8</v>
      </c>
      <c r="I3971" t="str">
        <f t="shared" ref="I3971:I4034" si="62">B3971&amp;" ["&amp;A3971&amp;"]"</f>
        <v>PINK BABY GIRLS PHOTO ALBUM [84867a]</v>
      </c>
    </row>
    <row r="3972" spans="1:9" x14ac:dyDescent="0.3">
      <c r="A3972" s="1" t="s">
        <v>1570</v>
      </c>
      <c r="B3972" t="s">
        <v>1569</v>
      </c>
      <c r="C3972" s="1">
        <v>13.57</v>
      </c>
      <c r="D3972" s="1">
        <v>2</v>
      </c>
      <c r="E3972" s="1">
        <v>2</v>
      </c>
      <c r="F3972" s="1">
        <v>1</v>
      </c>
      <c r="G3972" s="1">
        <v>27.14</v>
      </c>
      <c r="H3972" s="1" t="s">
        <v>8</v>
      </c>
      <c r="I3972" t="str">
        <f t="shared" si="62"/>
        <v>BLUE BABY BOY'S PHOTO ALBUM [84867b]</v>
      </c>
    </row>
    <row r="3973" spans="1:9" x14ac:dyDescent="0.3">
      <c r="A3973" s="1" t="s">
        <v>1568</v>
      </c>
      <c r="B3973" t="s">
        <v>1567</v>
      </c>
      <c r="C3973" s="1">
        <v>6.95</v>
      </c>
      <c r="D3973" s="1">
        <v>2</v>
      </c>
      <c r="E3973" s="1">
        <v>2</v>
      </c>
      <c r="F3973" s="1">
        <v>1</v>
      </c>
      <c r="G3973" s="1">
        <v>13.9</v>
      </c>
      <c r="H3973" s="1" t="s">
        <v>8</v>
      </c>
      <c r="I3973" t="str">
        <f t="shared" si="62"/>
        <v>PINK BABY GIRL'S MEMORY BOX [84868A]</v>
      </c>
    </row>
    <row r="3974" spans="1:9" x14ac:dyDescent="0.3">
      <c r="A3974" s="1" t="s">
        <v>1566</v>
      </c>
      <c r="B3974" t="s">
        <v>1565</v>
      </c>
      <c r="C3974" s="1">
        <v>6.95</v>
      </c>
      <c r="D3974" s="1">
        <v>2</v>
      </c>
      <c r="E3974" s="2">
        <v>1.6666666666666601</v>
      </c>
      <c r="F3974" s="1">
        <v>3</v>
      </c>
      <c r="G3974" s="1">
        <v>34.75</v>
      </c>
      <c r="H3974" s="1" t="s">
        <v>8</v>
      </c>
      <c r="I3974" t="str">
        <f t="shared" si="62"/>
        <v>BLUE BABY BOY'S MEMORY BOX [84868B]</v>
      </c>
    </row>
    <row r="3975" spans="1:9" x14ac:dyDescent="0.3">
      <c r="A3975" s="1">
        <v>84869</v>
      </c>
      <c r="B3975" t="s">
        <v>1564</v>
      </c>
      <c r="C3975" s="1">
        <v>2.2000000000000002</v>
      </c>
      <c r="D3975" s="1">
        <v>40</v>
      </c>
      <c r="E3975" s="1">
        <v>60.4</v>
      </c>
      <c r="F3975" s="1">
        <v>5</v>
      </c>
      <c r="G3975" s="1">
        <v>703.54</v>
      </c>
      <c r="H3975" s="1" t="s">
        <v>9</v>
      </c>
      <c r="I3975" t="str">
        <f t="shared" si="62"/>
        <v>CANDY BUTTON PHOTO ALBUM [84869]</v>
      </c>
    </row>
    <row r="3976" spans="1:9" x14ac:dyDescent="0.3">
      <c r="A3976" s="1" t="s">
        <v>1563</v>
      </c>
      <c r="B3976" t="s">
        <v>1562</v>
      </c>
      <c r="C3976" s="1">
        <v>3.75</v>
      </c>
      <c r="D3976" s="1">
        <v>4</v>
      </c>
      <c r="E3976" s="1">
        <v>5.625</v>
      </c>
      <c r="F3976" s="1">
        <v>16</v>
      </c>
      <c r="G3976" s="1">
        <v>322.61</v>
      </c>
      <c r="H3976" s="1" t="s">
        <v>8</v>
      </c>
      <c r="I3976" t="str">
        <f t="shared" si="62"/>
        <v>BLUE GEISHA GIRL [84870B]</v>
      </c>
    </row>
    <row r="3977" spans="1:9" x14ac:dyDescent="0.3">
      <c r="A3977" s="1" t="s">
        <v>1561</v>
      </c>
      <c r="B3977" t="s">
        <v>1560</v>
      </c>
      <c r="C3977" s="1">
        <v>3.75</v>
      </c>
      <c r="D3977" s="1">
        <v>5</v>
      </c>
      <c r="E3977" s="2">
        <v>6.6428571428571397</v>
      </c>
      <c r="F3977" s="1">
        <v>14</v>
      </c>
      <c r="G3977" s="1">
        <v>330.36</v>
      </c>
      <c r="H3977" s="1" t="s">
        <v>8</v>
      </c>
      <c r="I3977" t="str">
        <f t="shared" si="62"/>
        <v>GREEN GEISHA GIRL [84870C]</v>
      </c>
    </row>
    <row r="3978" spans="1:9" x14ac:dyDescent="0.3">
      <c r="A3978" s="1" t="s">
        <v>1559</v>
      </c>
      <c r="B3978" t="s">
        <v>1557</v>
      </c>
      <c r="C3978" s="1">
        <v>11.02</v>
      </c>
      <c r="D3978" s="1">
        <v>9</v>
      </c>
      <c r="E3978" s="2">
        <v>13.615384615384601</v>
      </c>
      <c r="F3978" s="1">
        <v>13</v>
      </c>
      <c r="G3978" s="2">
        <v>1983.54</v>
      </c>
      <c r="H3978" s="1" t="s">
        <v>8</v>
      </c>
      <c r="I3978" t="str">
        <f t="shared" si="62"/>
        <v>TEATIME FUNKY FLOWER BACKPACK FOR 2 [84872A]</v>
      </c>
    </row>
    <row r="3979" spans="1:9" x14ac:dyDescent="0.3">
      <c r="A3979" s="1" t="s">
        <v>1558</v>
      </c>
      <c r="B3979" t="s">
        <v>1557</v>
      </c>
      <c r="C3979" s="1">
        <v>11.02</v>
      </c>
      <c r="D3979" s="1">
        <v>4</v>
      </c>
      <c r="E3979" s="2">
        <v>5.2727272727272698</v>
      </c>
      <c r="F3979" s="1">
        <v>11</v>
      </c>
      <c r="G3979" s="1">
        <v>636.47</v>
      </c>
      <c r="H3979" s="1" t="s">
        <v>8</v>
      </c>
      <c r="I3979" t="str">
        <f t="shared" si="62"/>
        <v>TEATIME FUNKY FLOWER BACKPACK FOR 2 [84872a]</v>
      </c>
    </row>
    <row r="3980" spans="1:9" x14ac:dyDescent="0.3">
      <c r="A3980" s="1" t="s">
        <v>1556</v>
      </c>
      <c r="B3980" t="s">
        <v>1554</v>
      </c>
      <c r="C3980" s="1">
        <v>16.95</v>
      </c>
      <c r="D3980" s="1">
        <v>1</v>
      </c>
      <c r="E3980" s="2">
        <v>5.3333333333333304</v>
      </c>
      <c r="F3980" s="1">
        <v>6</v>
      </c>
      <c r="G3980" s="1">
        <v>394.15</v>
      </c>
      <c r="H3980" s="1" t="s">
        <v>8</v>
      </c>
      <c r="I3980" t="str">
        <f t="shared" si="62"/>
        <v>FUNKY FLOWER PICNIC BAG FOR 4 [84873A]</v>
      </c>
    </row>
    <row r="3981" spans="1:9" x14ac:dyDescent="0.3">
      <c r="A3981" s="1" t="s">
        <v>1555</v>
      </c>
      <c r="B3981" t="s">
        <v>1554</v>
      </c>
      <c r="C3981" s="1">
        <v>11.02</v>
      </c>
      <c r="D3981" s="1">
        <v>12</v>
      </c>
      <c r="E3981" s="2">
        <v>12.5714285714285</v>
      </c>
      <c r="F3981" s="1">
        <v>7</v>
      </c>
      <c r="G3981" s="1">
        <v>973.36</v>
      </c>
      <c r="H3981" s="1" t="s">
        <v>9</v>
      </c>
      <c r="I3981" t="str">
        <f t="shared" si="62"/>
        <v>FUNKY FLOWER PICNIC BAG FOR 4 [84873a]</v>
      </c>
    </row>
    <row r="3982" spans="1:9" x14ac:dyDescent="0.3">
      <c r="A3982" s="1" t="s">
        <v>1553</v>
      </c>
      <c r="B3982" t="s">
        <v>1552</v>
      </c>
      <c r="C3982" s="1">
        <v>1.65</v>
      </c>
      <c r="D3982" s="1">
        <v>4</v>
      </c>
      <c r="E3982" s="2">
        <v>5.0588235294117601</v>
      </c>
      <c r="F3982" s="1">
        <v>17</v>
      </c>
      <c r="G3982" s="1">
        <v>141.76</v>
      </c>
      <c r="H3982" s="1" t="s">
        <v>8</v>
      </c>
      <c r="I3982" t="str">
        <f t="shared" si="62"/>
        <v>BLUE TRAVEL FIRST AID KIT [84874B]</v>
      </c>
    </row>
    <row r="3983" spans="1:9" x14ac:dyDescent="0.3">
      <c r="A3983" s="1" t="s">
        <v>1551</v>
      </c>
      <c r="B3983" t="s">
        <v>1550</v>
      </c>
      <c r="C3983" s="1">
        <v>3.75</v>
      </c>
      <c r="D3983" s="1">
        <v>1</v>
      </c>
      <c r="E3983" s="2">
        <v>2.2857142857142798</v>
      </c>
      <c r="F3983" s="1">
        <v>7</v>
      </c>
      <c r="G3983" s="1">
        <v>60</v>
      </c>
      <c r="H3983" s="1" t="s">
        <v>8</v>
      </c>
      <c r="I3983" t="str">
        <f t="shared" si="62"/>
        <v>PINK SQUARE COMPACT MIRROR [84875A]</v>
      </c>
    </row>
    <row r="3984" spans="1:9" x14ac:dyDescent="0.3">
      <c r="A3984" s="1" t="s">
        <v>1549</v>
      </c>
      <c r="B3984" t="s">
        <v>1548</v>
      </c>
      <c r="C3984" s="1">
        <v>1.25</v>
      </c>
      <c r="D3984" s="1">
        <v>25</v>
      </c>
      <c r="E3984" s="2">
        <v>52.142857142857103</v>
      </c>
      <c r="F3984" s="1">
        <v>7</v>
      </c>
      <c r="G3984" s="1">
        <v>477.3</v>
      </c>
      <c r="H3984" s="1" t="s">
        <v>9</v>
      </c>
      <c r="I3984" t="str">
        <f t="shared" si="62"/>
        <v>GREEN SQUARE COMPACT MIRROR [84875B]</v>
      </c>
    </row>
    <row r="3985" spans="1:9" x14ac:dyDescent="0.3">
      <c r="A3985" s="1" t="s">
        <v>1547</v>
      </c>
      <c r="B3985" t="s">
        <v>1546</v>
      </c>
      <c r="C3985" s="1">
        <v>1.25</v>
      </c>
      <c r="D3985" s="1">
        <v>17</v>
      </c>
      <c r="E3985" s="2">
        <v>40.5555555555555</v>
      </c>
      <c r="F3985" s="1">
        <v>9</v>
      </c>
      <c r="G3985" s="1">
        <v>461.25</v>
      </c>
      <c r="H3985" s="1" t="s">
        <v>9</v>
      </c>
      <c r="I3985" t="str">
        <f t="shared" si="62"/>
        <v>BLUE SQUARE COMPACT MIRROR [84875D]</v>
      </c>
    </row>
    <row r="3986" spans="1:9" x14ac:dyDescent="0.3">
      <c r="A3986" s="1" t="s">
        <v>1545</v>
      </c>
      <c r="B3986" t="s">
        <v>1544</v>
      </c>
      <c r="C3986" s="2">
        <v>1.3399999999999901</v>
      </c>
      <c r="D3986" s="1">
        <v>31</v>
      </c>
      <c r="E3986" s="1">
        <v>34.200000000000003</v>
      </c>
      <c r="F3986" s="1">
        <v>10</v>
      </c>
      <c r="G3986" s="1">
        <v>476.94</v>
      </c>
      <c r="H3986" s="1" t="s">
        <v>9</v>
      </c>
      <c r="I3986" t="str">
        <f t="shared" si="62"/>
        <v>GREEN HEART COMPACT MIRROR [84876B]</v>
      </c>
    </row>
    <row r="3987" spans="1:9" x14ac:dyDescent="0.3">
      <c r="A3987" s="1" t="s">
        <v>1543</v>
      </c>
      <c r="B3987" t="s">
        <v>1542</v>
      </c>
      <c r="C3987" s="1">
        <v>3.75</v>
      </c>
      <c r="D3987" s="1">
        <v>1</v>
      </c>
      <c r="E3987" s="2">
        <v>2.3333333333333299</v>
      </c>
      <c r="F3987" s="1">
        <v>3</v>
      </c>
      <c r="G3987" s="1">
        <v>26.25</v>
      </c>
      <c r="H3987" s="1" t="s">
        <v>8</v>
      </c>
      <c r="I3987" t="str">
        <f t="shared" si="62"/>
        <v>SILVER HEART COMPACT MIRROR [84876C]</v>
      </c>
    </row>
    <row r="3988" spans="1:9" x14ac:dyDescent="0.3">
      <c r="A3988" s="1" t="s">
        <v>1541</v>
      </c>
      <c r="B3988" t="s">
        <v>1540</v>
      </c>
      <c r="C3988" s="1">
        <v>1.99</v>
      </c>
      <c r="D3988" s="1">
        <v>14</v>
      </c>
      <c r="E3988" s="1">
        <v>22</v>
      </c>
      <c r="F3988" s="1">
        <v>15</v>
      </c>
      <c r="G3988" s="1">
        <v>592.74</v>
      </c>
      <c r="H3988" s="1" t="s">
        <v>9</v>
      </c>
      <c r="I3988" t="str">
        <f t="shared" si="62"/>
        <v>BLUE HEART COMPACT MIRROR [84876D]</v>
      </c>
    </row>
    <row r="3989" spans="1:9" x14ac:dyDescent="0.3">
      <c r="A3989" s="1" t="s">
        <v>1539</v>
      </c>
      <c r="B3989" t="s">
        <v>1538</v>
      </c>
      <c r="C3989" s="1">
        <v>3.75</v>
      </c>
      <c r="D3989" s="1">
        <v>7</v>
      </c>
      <c r="E3989" s="2">
        <v>8.2222222222222197</v>
      </c>
      <c r="F3989" s="1">
        <v>9</v>
      </c>
      <c r="G3989" s="1">
        <v>185.66</v>
      </c>
      <c r="H3989" s="1" t="s">
        <v>8</v>
      </c>
      <c r="I3989" t="str">
        <f t="shared" si="62"/>
        <v>PINK ROUND COMPACT MIRROR [84877A]</v>
      </c>
    </row>
    <row r="3990" spans="1:9" x14ac:dyDescent="0.3">
      <c r="A3990" s="1" t="s">
        <v>1537</v>
      </c>
      <c r="B3990" t="s">
        <v>1536</v>
      </c>
      <c r="C3990" s="1">
        <v>2.3849999999999998</v>
      </c>
      <c r="D3990" s="1">
        <v>16</v>
      </c>
      <c r="E3990" s="1">
        <v>18.1875</v>
      </c>
      <c r="F3990" s="1">
        <v>16</v>
      </c>
      <c r="G3990" s="1">
        <v>504.43</v>
      </c>
      <c r="H3990" s="1" t="s">
        <v>9</v>
      </c>
      <c r="I3990" t="str">
        <f t="shared" si="62"/>
        <v>GREEN ROUND COMPACT MIRROR [84877B]</v>
      </c>
    </row>
    <row r="3991" spans="1:9" x14ac:dyDescent="0.3">
      <c r="A3991" s="1" t="s">
        <v>1535</v>
      </c>
      <c r="B3991" t="s">
        <v>1534</v>
      </c>
      <c r="C3991" s="1">
        <v>3.36</v>
      </c>
      <c r="D3991" s="1">
        <v>3.5</v>
      </c>
      <c r="E3991" s="1">
        <v>10</v>
      </c>
      <c r="F3991" s="1">
        <v>16</v>
      </c>
      <c r="G3991" s="1">
        <v>371.85</v>
      </c>
      <c r="H3991" s="1" t="s">
        <v>8</v>
      </c>
      <c r="I3991" t="str">
        <f t="shared" si="62"/>
        <v>BLUE ROUND COMPACT MIRROR [84877D]</v>
      </c>
    </row>
    <row r="3992" spans="1:9" x14ac:dyDescent="0.3">
      <c r="A3992" s="1">
        <v>84879</v>
      </c>
      <c r="B3992" t="s">
        <v>1533</v>
      </c>
      <c r="C3992" s="1">
        <v>1.63</v>
      </c>
      <c r="D3992" s="1">
        <v>2744</v>
      </c>
      <c r="E3992" s="1">
        <v>3203.28</v>
      </c>
      <c r="F3992" s="1">
        <v>25</v>
      </c>
      <c r="G3992" s="1">
        <v>129324.49</v>
      </c>
      <c r="H3992" s="1" t="s">
        <v>10</v>
      </c>
      <c r="I3992" t="str">
        <f t="shared" si="62"/>
        <v>ASSORTED COLOUR BIRD ORNAMENT [84879]</v>
      </c>
    </row>
    <row r="3993" spans="1:9" x14ac:dyDescent="0.3">
      <c r="A3993" s="1">
        <v>84880</v>
      </c>
      <c r="B3993" t="s">
        <v>1532</v>
      </c>
      <c r="C3993" s="1">
        <v>6.16</v>
      </c>
      <c r="D3993" s="1">
        <v>31</v>
      </c>
      <c r="E3993" s="1">
        <v>69.16</v>
      </c>
      <c r="F3993" s="1">
        <v>25</v>
      </c>
      <c r="G3993" s="1">
        <v>9894.99</v>
      </c>
      <c r="H3993" s="1" t="s">
        <v>9</v>
      </c>
      <c r="I3993" t="str">
        <f t="shared" si="62"/>
        <v>WHITE WIRE EGG HOLDER [84880]</v>
      </c>
    </row>
    <row r="3994" spans="1:9" x14ac:dyDescent="0.3">
      <c r="A3994" s="1">
        <v>84881</v>
      </c>
      <c r="B3994" t="s">
        <v>1531</v>
      </c>
      <c r="C3994" s="1">
        <v>6.35</v>
      </c>
      <c r="D3994" s="1">
        <v>3.5</v>
      </c>
      <c r="E3994" s="2">
        <v>3.71428571428571</v>
      </c>
      <c r="F3994" s="1">
        <v>14</v>
      </c>
      <c r="G3994" s="1">
        <v>342.94</v>
      </c>
      <c r="H3994" s="1" t="s">
        <v>8</v>
      </c>
      <c r="I3994" t="str">
        <f t="shared" si="62"/>
        <v>BLUE WIRE SPIRAL CANDLE HOLDER [84881]</v>
      </c>
    </row>
    <row r="3995" spans="1:9" x14ac:dyDescent="0.3">
      <c r="A3995" s="1">
        <v>84882</v>
      </c>
      <c r="B3995" t="s">
        <v>1530</v>
      </c>
      <c r="C3995" s="1">
        <v>3.75</v>
      </c>
      <c r="D3995" s="1">
        <v>3</v>
      </c>
      <c r="E3995" s="1">
        <v>3.3</v>
      </c>
      <c r="F3995" s="1">
        <v>20</v>
      </c>
      <c r="G3995" s="1">
        <v>289.43</v>
      </c>
      <c r="H3995" s="1" t="s">
        <v>8</v>
      </c>
      <c r="I3995" t="str">
        <f t="shared" si="62"/>
        <v>GREEN WIRE STANDING CANDLE HOLDER [84882]</v>
      </c>
    </row>
    <row r="3996" spans="1:9" x14ac:dyDescent="0.3">
      <c r="A3996" s="1" t="s">
        <v>1529</v>
      </c>
      <c r="B3996" t="s">
        <v>1527</v>
      </c>
      <c r="C3996" s="1">
        <v>4</v>
      </c>
      <c r="D3996" s="1">
        <v>49</v>
      </c>
      <c r="E3996" s="1">
        <v>68.319999999999993</v>
      </c>
      <c r="F3996" s="1">
        <v>25</v>
      </c>
      <c r="G3996" s="1">
        <v>6248.28</v>
      </c>
      <c r="H3996" s="1" t="s">
        <v>9</v>
      </c>
      <c r="I3996" t="str">
        <f t="shared" si="62"/>
        <v>ANT WHITE WIRE HEART SPIRAL [84884A]</v>
      </c>
    </row>
    <row r="3997" spans="1:9" x14ac:dyDescent="0.3">
      <c r="A3997" s="1" t="s">
        <v>1528</v>
      </c>
      <c r="B3997" t="s">
        <v>1527</v>
      </c>
      <c r="C3997" s="1">
        <v>8.2899999999999991</v>
      </c>
      <c r="D3997" s="1">
        <v>2</v>
      </c>
      <c r="E3997" s="1">
        <v>3.0625</v>
      </c>
      <c r="F3997" s="1">
        <v>16</v>
      </c>
      <c r="G3997" s="1">
        <v>410.89</v>
      </c>
      <c r="H3997" s="1" t="s">
        <v>8</v>
      </c>
      <c r="I3997" t="str">
        <f t="shared" si="62"/>
        <v>ANT WHITE WIRE HEART SPIRAL [84884a]</v>
      </c>
    </row>
    <row r="3998" spans="1:9" x14ac:dyDescent="0.3">
      <c r="A3998" s="1">
        <v>84886</v>
      </c>
      <c r="B3998" t="s">
        <v>1526</v>
      </c>
      <c r="C3998" s="1">
        <v>9.9499999999999993</v>
      </c>
      <c r="D3998" s="1">
        <v>1.5</v>
      </c>
      <c r="E3998" s="1">
        <v>3</v>
      </c>
      <c r="F3998" s="1">
        <v>4</v>
      </c>
      <c r="G3998" s="2">
        <v>119.399999999999</v>
      </c>
      <c r="H3998" s="1" t="s">
        <v>8</v>
      </c>
      <c r="I3998" t="str">
        <f t="shared" si="62"/>
        <v>BLUE METAL WALL SHELF [84886]</v>
      </c>
    </row>
    <row r="3999" spans="1:9" x14ac:dyDescent="0.3">
      <c r="A3999" s="1" t="s">
        <v>1525</v>
      </c>
      <c r="B3999" t="s">
        <v>1524</v>
      </c>
      <c r="C3999" s="1">
        <v>7.95</v>
      </c>
      <c r="D3999" s="1">
        <v>2</v>
      </c>
      <c r="E3999" s="1">
        <v>2.75</v>
      </c>
      <c r="F3999" s="1">
        <v>4</v>
      </c>
      <c r="G3999" s="1">
        <v>87.45</v>
      </c>
      <c r="H3999" s="1" t="s">
        <v>8</v>
      </c>
      <c r="I3999" t="str">
        <f t="shared" si="62"/>
        <v>GREEN WIRE GOBLET CANDLEHOLDER [84891B]</v>
      </c>
    </row>
    <row r="4000" spans="1:9" x14ac:dyDescent="0.3">
      <c r="A4000" s="1">
        <v>84893</v>
      </c>
      <c r="B4000" t="s">
        <v>1523</v>
      </c>
      <c r="C4000" s="1">
        <v>5.95</v>
      </c>
      <c r="D4000" s="1">
        <v>8.5</v>
      </c>
      <c r="E4000" s="1">
        <v>8.25</v>
      </c>
      <c r="F4000" s="1">
        <v>4</v>
      </c>
      <c r="G4000" s="1">
        <v>186.35</v>
      </c>
      <c r="H4000" s="1" t="s">
        <v>8</v>
      </c>
      <c r="I4000" t="str">
        <f t="shared" si="62"/>
        <v>ANT WHITE IRON BASKET [84893]</v>
      </c>
    </row>
    <row r="4001" spans="1:9" x14ac:dyDescent="0.3">
      <c r="A4001" s="1" t="s">
        <v>1522</v>
      </c>
      <c r="B4001" t="s">
        <v>1521</v>
      </c>
      <c r="C4001" s="1">
        <v>2.1</v>
      </c>
      <c r="D4001" s="1">
        <v>9</v>
      </c>
      <c r="E4001" s="2">
        <v>12.692307692307599</v>
      </c>
      <c r="F4001" s="1">
        <v>13</v>
      </c>
      <c r="G4001" s="1">
        <v>352.75</v>
      </c>
      <c r="H4001" s="1" t="s">
        <v>8</v>
      </c>
      <c r="I4001" t="str">
        <f t="shared" si="62"/>
        <v>YELLOW FLOWERS FELT HANDBAG KIT [84898F]</v>
      </c>
    </row>
    <row r="4002" spans="1:9" x14ac:dyDescent="0.3">
      <c r="A4002" s="1" t="s">
        <v>1520</v>
      </c>
      <c r="B4002" t="s">
        <v>1519</v>
      </c>
      <c r="C4002" s="1">
        <v>1.415</v>
      </c>
      <c r="D4002" s="1">
        <v>4.5</v>
      </c>
      <c r="E4002" s="2">
        <v>8.8333333333333304</v>
      </c>
      <c r="F4002" s="1">
        <v>6</v>
      </c>
      <c r="G4002" s="1">
        <v>73.930000000000007</v>
      </c>
      <c r="H4002" s="1" t="s">
        <v>8</v>
      </c>
      <c r="I4002" t="str">
        <f t="shared" si="62"/>
        <v>YELLOW + BROWN BEAR FELT PURSE KIT [84899E]</v>
      </c>
    </row>
    <row r="4003" spans="1:9" x14ac:dyDescent="0.3">
      <c r="A4003" s="1" t="s">
        <v>1518</v>
      </c>
      <c r="B4003" t="s">
        <v>1517</v>
      </c>
      <c r="C4003" s="1">
        <v>1.62</v>
      </c>
      <c r="D4003" s="1">
        <v>7</v>
      </c>
      <c r="E4003" s="2">
        <v>10.0833333333333</v>
      </c>
      <c r="F4003" s="1">
        <v>12</v>
      </c>
      <c r="G4003" s="1">
        <v>192.17</v>
      </c>
      <c r="H4003" s="1" t="s">
        <v>8</v>
      </c>
      <c r="I4003" t="str">
        <f t="shared" si="62"/>
        <v>YELLOW PURPLE DAISY FELT PURSE KIT [84899F]</v>
      </c>
    </row>
    <row r="4004" spans="1:9" x14ac:dyDescent="0.3">
      <c r="A4004" s="1">
        <v>84901</v>
      </c>
      <c r="B4004" t="s">
        <v>1516</v>
      </c>
      <c r="C4004" s="1">
        <v>3.78</v>
      </c>
      <c r="D4004" s="1">
        <v>10</v>
      </c>
      <c r="E4004" s="2">
        <v>11.1818181818181</v>
      </c>
      <c r="F4004" s="1">
        <v>11</v>
      </c>
      <c r="G4004" s="1">
        <v>471.13</v>
      </c>
      <c r="H4004" s="1" t="s">
        <v>9</v>
      </c>
      <c r="I4004" t="str">
        <f t="shared" si="62"/>
        <v>BLACK FACE LAMB WITH PANTS [84901]</v>
      </c>
    </row>
    <row r="4005" spans="1:9" x14ac:dyDescent="0.3">
      <c r="A4005" s="1">
        <v>84902</v>
      </c>
      <c r="B4005" t="s">
        <v>1515</v>
      </c>
      <c r="C4005" s="1">
        <v>3.75</v>
      </c>
      <c r="D4005" s="1">
        <v>6</v>
      </c>
      <c r="E4005" s="1">
        <v>10.5</v>
      </c>
      <c r="F4005" s="1">
        <v>8</v>
      </c>
      <c r="G4005" s="1">
        <v>326.33</v>
      </c>
      <c r="H4005" s="1" t="s">
        <v>8</v>
      </c>
      <c r="I4005" t="str">
        <f t="shared" si="62"/>
        <v>PINK KNITTED COW STUFFED TOY [84902]</v>
      </c>
    </row>
    <row r="4006" spans="1:9" x14ac:dyDescent="0.3">
      <c r="A4006" s="1">
        <v>84905</v>
      </c>
      <c r="B4006" t="s">
        <v>1514</v>
      </c>
      <c r="C4006" s="1">
        <v>4.9950000000000001</v>
      </c>
      <c r="D4006" s="1">
        <v>11.5</v>
      </c>
      <c r="E4006" s="1">
        <v>16.8125</v>
      </c>
      <c r="F4006" s="1">
        <v>16</v>
      </c>
      <c r="G4006" s="1">
        <v>1007.91</v>
      </c>
      <c r="H4006" s="1" t="s">
        <v>9</v>
      </c>
      <c r="I4006" t="str">
        <f t="shared" si="62"/>
        <v>PINK BUTTERFLY C/COVER [84905]</v>
      </c>
    </row>
    <row r="4007" spans="1:9" x14ac:dyDescent="0.3">
      <c r="A4007" s="1">
        <v>84906</v>
      </c>
      <c r="B4007" t="s">
        <v>1513</v>
      </c>
      <c r="C4007" s="1">
        <v>5.95</v>
      </c>
      <c r="D4007" s="1">
        <v>4</v>
      </c>
      <c r="E4007" s="1">
        <v>5.5</v>
      </c>
      <c r="F4007" s="1">
        <v>12</v>
      </c>
      <c r="G4007" s="1">
        <v>307.47000000000003</v>
      </c>
      <c r="H4007" s="1" t="s">
        <v>8</v>
      </c>
      <c r="I4007" t="str">
        <f t="shared" si="62"/>
        <v>PINK B'FLY C/COVER W BOBBLES [84906]</v>
      </c>
    </row>
    <row r="4008" spans="1:9" x14ac:dyDescent="0.3">
      <c r="A4008" s="1">
        <v>84907</v>
      </c>
      <c r="B4008" t="s">
        <v>1512</v>
      </c>
      <c r="C4008" s="1">
        <v>7.65</v>
      </c>
      <c r="D4008" s="1">
        <v>2.5</v>
      </c>
      <c r="E4008" s="2">
        <v>4.9285714285714199</v>
      </c>
      <c r="F4008" s="1">
        <v>14</v>
      </c>
      <c r="G4008" s="1">
        <v>371.27</v>
      </c>
      <c r="H4008" s="1" t="s">
        <v>8</v>
      </c>
      <c r="I4008" t="str">
        <f t="shared" si="62"/>
        <v>PINK/YELLOW PATCH CUSHION COVER [84907]</v>
      </c>
    </row>
    <row r="4009" spans="1:9" x14ac:dyDescent="0.3">
      <c r="A4009" s="1" t="s">
        <v>1511</v>
      </c>
      <c r="B4009" t="s">
        <v>1510</v>
      </c>
      <c r="C4009" s="1">
        <v>5.91</v>
      </c>
      <c r="D4009" s="1">
        <v>3.5</v>
      </c>
      <c r="E4009" s="1">
        <v>43.2</v>
      </c>
      <c r="F4009" s="1">
        <v>10</v>
      </c>
      <c r="G4009" s="2">
        <v>1045.1599999999901</v>
      </c>
      <c r="H4009" s="1" t="s">
        <v>8</v>
      </c>
      <c r="I4009" t="str">
        <f t="shared" si="62"/>
        <v>PINK 5 PATCH FLOWER CUSHION COVER [84908A]</v>
      </c>
    </row>
    <row r="4010" spans="1:9" x14ac:dyDescent="0.3">
      <c r="A4010" s="1" t="s">
        <v>1509</v>
      </c>
      <c r="B4010" t="s">
        <v>1508</v>
      </c>
      <c r="C4010" s="1">
        <v>5.91</v>
      </c>
      <c r="D4010" s="1">
        <v>6</v>
      </c>
      <c r="E4010" s="2">
        <v>48.3333333333333</v>
      </c>
      <c r="F4010" s="1">
        <v>9</v>
      </c>
      <c r="G4010" s="1">
        <v>1052.29</v>
      </c>
      <c r="H4010" s="1" t="s">
        <v>8</v>
      </c>
      <c r="I4010" t="str">
        <f t="shared" si="62"/>
        <v>BLUE 5 PATCH FLOWER CUSHION COVER [84908B]</v>
      </c>
    </row>
    <row r="4011" spans="1:9" x14ac:dyDescent="0.3">
      <c r="A4011" s="1" t="s">
        <v>1507</v>
      </c>
      <c r="B4011" t="s">
        <v>1506</v>
      </c>
      <c r="C4011" s="1">
        <v>30.625</v>
      </c>
      <c r="D4011" s="1">
        <v>7</v>
      </c>
      <c r="E4011" s="1">
        <v>52.25</v>
      </c>
      <c r="F4011" s="1">
        <v>4</v>
      </c>
      <c r="G4011" s="2">
        <v>2797.5499999999902</v>
      </c>
      <c r="H4011" s="1" t="s">
        <v>8</v>
      </c>
      <c r="I4011" t="str">
        <f t="shared" si="62"/>
        <v>PINK PAISLEY QUILT [84909A]</v>
      </c>
    </row>
    <row r="4012" spans="1:9" x14ac:dyDescent="0.3">
      <c r="A4012" s="1" t="s">
        <v>1505</v>
      </c>
      <c r="B4012" t="s">
        <v>1504</v>
      </c>
      <c r="C4012" s="1">
        <v>5.95</v>
      </c>
      <c r="D4012" s="1">
        <v>6.5</v>
      </c>
      <c r="E4012" s="1">
        <v>27</v>
      </c>
      <c r="F4012" s="1">
        <v>16</v>
      </c>
      <c r="G4012" s="1">
        <v>1230.3900000000001</v>
      </c>
      <c r="H4012" s="1" t="s">
        <v>8</v>
      </c>
      <c r="I4012" t="str">
        <f t="shared" si="62"/>
        <v>PINK PAISLEY CUSHION COVER [84910A]</v>
      </c>
    </row>
    <row r="4013" spans="1:9" x14ac:dyDescent="0.3">
      <c r="A4013" s="1" t="s">
        <v>1503</v>
      </c>
      <c r="B4013" t="s">
        <v>1499</v>
      </c>
      <c r="C4013" s="1">
        <v>3.625</v>
      </c>
      <c r="D4013" s="1">
        <v>26</v>
      </c>
      <c r="E4013" s="2">
        <v>49.727272727272698</v>
      </c>
      <c r="F4013" s="1">
        <v>22</v>
      </c>
      <c r="G4013" s="1">
        <v>2996.44</v>
      </c>
      <c r="H4013" s="1" t="s">
        <v>9</v>
      </c>
      <c r="I4013" t="str">
        <f t="shared" si="62"/>
        <v>PINK ROSE WASHBAG [84912A]</v>
      </c>
    </row>
    <row r="4014" spans="1:9" x14ac:dyDescent="0.3">
      <c r="A4014" s="1" t="s">
        <v>1502</v>
      </c>
      <c r="B4014" t="s">
        <v>1501</v>
      </c>
      <c r="C4014" s="1">
        <v>3.52</v>
      </c>
      <c r="D4014" s="1">
        <v>23</v>
      </c>
      <c r="E4014" s="2">
        <v>48.913043478260803</v>
      </c>
      <c r="F4014" s="1">
        <v>23</v>
      </c>
      <c r="G4014" s="1">
        <v>3072.64</v>
      </c>
      <c r="H4014" s="1" t="s">
        <v>9</v>
      </c>
      <c r="I4014" t="str">
        <f t="shared" si="62"/>
        <v>GREEN ROSE WASHBAG [84912B]</v>
      </c>
    </row>
    <row r="4015" spans="1:9" x14ac:dyDescent="0.3">
      <c r="A4015" s="1" t="s">
        <v>1500</v>
      </c>
      <c r="B4015" t="s">
        <v>1499</v>
      </c>
      <c r="C4015" s="1">
        <v>7.78</v>
      </c>
      <c r="D4015" s="1">
        <v>2</v>
      </c>
      <c r="E4015" s="1">
        <v>2</v>
      </c>
      <c r="F4015" s="1">
        <v>1</v>
      </c>
      <c r="G4015" s="1">
        <v>15.56</v>
      </c>
      <c r="H4015" s="1" t="s">
        <v>8</v>
      </c>
      <c r="I4015" t="str">
        <f t="shared" si="62"/>
        <v>PINK ROSE WASHBAG [84912a]</v>
      </c>
    </row>
    <row r="4016" spans="1:9" x14ac:dyDescent="0.3">
      <c r="A4016" s="1" t="s">
        <v>1498</v>
      </c>
      <c r="B4016" t="s">
        <v>1497</v>
      </c>
      <c r="C4016" s="2">
        <v>3.6549999999999998</v>
      </c>
      <c r="D4016" s="1">
        <v>24</v>
      </c>
      <c r="E4016" s="2">
        <v>27.636363636363601</v>
      </c>
      <c r="F4016" s="1">
        <v>22</v>
      </c>
      <c r="G4016" s="1">
        <v>2211.54</v>
      </c>
      <c r="H4016" s="1" t="s">
        <v>9</v>
      </c>
      <c r="I4016" t="str">
        <f t="shared" si="62"/>
        <v>SOFT PINK ROSE TOWEL [84913A]</v>
      </c>
    </row>
    <row r="4017" spans="1:9" x14ac:dyDescent="0.3">
      <c r="A4017" s="1" t="s">
        <v>1496</v>
      </c>
      <c r="B4017" t="s">
        <v>1495</v>
      </c>
      <c r="C4017" s="1">
        <v>3.73</v>
      </c>
      <c r="D4017" s="1">
        <v>18</v>
      </c>
      <c r="E4017" s="2">
        <v>19.714285714285701</v>
      </c>
      <c r="F4017" s="1">
        <v>21</v>
      </c>
      <c r="G4017" s="2">
        <v>1536.37</v>
      </c>
      <c r="H4017" s="1" t="s">
        <v>9</v>
      </c>
      <c r="I4017" t="str">
        <f t="shared" si="62"/>
        <v>MINT GREEN ROSE TOWEL [84913B]</v>
      </c>
    </row>
    <row r="4018" spans="1:9" x14ac:dyDescent="0.3">
      <c r="A4018" s="1" t="s">
        <v>1494</v>
      </c>
      <c r="B4018" t="s">
        <v>1493</v>
      </c>
      <c r="C4018" s="1">
        <v>25.95</v>
      </c>
      <c r="D4018" s="1">
        <v>3</v>
      </c>
      <c r="E4018" s="1">
        <v>3</v>
      </c>
      <c r="F4018" s="1">
        <v>2</v>
      </c>
      <c r="G4018" s="1">
        <v>155.69999999999999</v>
      </c>
      <c r="H4018" s="1" t="s">
        <v>8</v>
      </c>
      <c r="I4018" t="str">
        <f t="shared" si="62"/>
        <v>PINK ROSE PICNIC RUG [84914A]</v>
      </c>
    </row>
    <row r="4019" spans="1:9" x14ac:dyDescent="0.3">
      <c r="A4019" s="1">
        <v>84915</v>
      </c>
      <c r="B4019" t="s">
        <v>1492</v>
      </c>
      <c r="C4019" s="1">
        <v>4.21</v>
      </c>
      <c r="D4019" s="1">
        <v>2</v>
      </c>
      <c r="E4019" s="1">
        <v>14.625</v>
      </c>
      <c r="F4019" s="1">
        <v>16</v>
      </c>
      <c r="G4019" s="1">
        <v>459.56</v>
      </c>
      <c r="H4019" s="1" t="s">
        <v>8</v>
      </c>
      <c r="I4019" t="str">
        <f t="shared" si="62"/>
        <v>HAND TOWEL PINK FLOWER AND DAISY [84915]</v>
      </c>
    </row>
    <row r="4020" spans="1:9" x14ac:dyDescent="0.3">
      <c r="A4020" s="1">
        <v>84916</v>
      </c>
      <c r="B4020" t="s">
        <v>1491</v>
      </c>
      <c r="C4020" s="1">
        <v>4.87</v>
      </c>
      <c r="D4020" s="1">
        <v>4</v>
      </c>
      <c r="E4020" s="1">
        <v>16.3125</v>
      </c>
      <c r="F4020" s="1">
        <v>16</v>
      </c>
      <c r="G4020" s="1">
        <v>646.42999999999995</v>
      </c>
      <c r="H4020" s="1" t="s">
        <v>8</v>
      </c>
      <c r="I4020" t="str">
        <f t="shared" si="62"/>
        <v>HAND TOWEL PALE BLUE W FLOWERS [84916]</v>
      </c>
    </row>
    <row r="4021" spans="1:9" x14ac:dyDescent="0.3">
      <c r="A4021" s="1">
        <v>84917</v>
      </c>
      <c r="B4021" t="s">
        <v>1490</v>
      </c>
      <c r="C4021" s="1">
        <v>4.21</v>
      </c>
      <c r="D4021" s="1">
        <v>7</v>
      </c>
      <c r="E4021" s="2">
        <v>17.538461538461501</v>
      </c>
      <c r="F4021" s="1">
        <v>13</v>
      </c>
      <c r="G4021" s="1">
        <v>674.16</v>
      </c>
      <c r="H4021" s="1" t="s">
        <v>8</v>
      </c>
      <c r="I4021" t="str">
        <f t="shared" si="62"/>
        <v>WHITE HAND TOWEL WITH BUTTERFLY [84917]</v>
      </c>
    </row>
    <row r="4022" spans="1:9" x14ac:dyDescent="0.3">
      <c r="A4022" s="1">
        <v>84918</v>
      </c>
      <c r="B4022" t="s">
        <v>1489</v>
      </c>
      <c r="C4022" s="2">
        <v>6.14</v>
      </c>
      <c r="D4022" s="1">
        <v>16.5</v>
      </c>
      <c r="E4022" s="1">
        <v>20.8</v>
      </c>
      <c r="F4022" s="1">
        <v>10</v>
      </c>
      <c r="G4022" s="1">
        <v>995.12</v>
      </c>
      <c r="H4022" s="1" t="s">
        <v>9</v>
      </c>
      <c r="I4022" t="str">
        <f t="shared" si="62"/>
        <v>CREAM C/COVER W YELLOW/GREEN FLOWER [84918]</v>
      </c>
    </row>
    <row r="4023" spans="1:9" x14ac:dyDescent="0.3">
      <c r="A4023" s="1">
        <v>84919</v>
      </c>
      <c r="B4023" t="s">
        <v>1488</v>
      </c>
      <c r="C4023" s="1">
        <v>6.95</v>
      </c>
      <c r="D4023" s="1">
        <v>6</v>
      </c>
      <c r="E4023" s="2">
        <v>19.3333333333333</v>
      </c>
      <c r="F4023" s="1">
        <v>15</v>
      </c>
      <c r="G4023" s="1">
        <v>1603.71</v>
      </c>
      <c r="H4023" s="1" t="s">
        <v>8</v>
      </c>
      <c r="I4023" t="str">
        <f t="shared" si="62"/>
        <v>L BLUE C/COVER W PINK/YELLOW FLOWER [84919]</v>
      </c>
    </row>
    <row r="4024" spans="1:9" x14ac:dyDescent="0.3">
      <c r="A4024" s="1">
        <v>84920</v>
      </c>
      <c r="B4024" t="s">
        <v>1487</v>
      </c>
      <c r="C4024" s="1">
        <v>3.75</v>
      </c>
      <c r="D4024" s="1">
        <v>7.5</v>
      </c>
      <c r="E4024" s="2">
        <v>9.1363636363636296</v>
      </c>
      <c r="F4024" s="1">
        <v>22</v>
      </c>
      <c r="G4024" s="1">
        <v>805.38</v>
      </c>
      <c r="H4024" s="1" t="s">
        <v>8</v>
      </c>
      <c r="I4024" t="str">
        <f t="shared" si="62"/>
        <v>PINK FLOWER FABRIC PONY [84920]</v>
      </c>
    </row>
    <row r="4025" spans="1:9" x14ac:dyDescent="0.3">
      <c r="A4025" s="1">
        <v>84921</v>
      </c>
      <c r="B4025" t="s">
        <v>1486</v>
      </c>
      <c r="C4025" s="1">
        <v>3.75</v>
      </c>
      <c r="D4025" s="1">
        <v>2</v>
      </c>
      <c r="E4025" s="2">
        <v>2.4545454545454501</v>
      </c>
      <c r="F4025" s="1">
        <v>11</v>
      </c>
      <c r="G4025" s="1">
        <v>101.25</v>
      </c>
      <c r="H4025" s="1" t="s">
        <v>8</v>
      </c>
      <c r="I4025" t="str">
        <f t="shared" si="62"/>
        <v>CREAM AND PINK FLOWERS PONY [84921]</v>
      </c>
    </row>
    <row r="4026" spans="1:9" x14ac:dyDescent="0.3">
      <c r="A4026" s="1">
        <v>84922</v>
      </c>
      <c r="B4026" t="s">
        <v>1485</v>
      </c>
      <c r="C4026" s="1">
        <v>4.25</v>
      </c>
      <c r="D4026" s="1">
        <v>3.5</v>
      </c>
      <c r="E4026" s="1">
        <v>34.200000000000003</v>
      </c>
      <c r="F4026" s="1">
        <v>10</v>
      </c>
      <c r="G4026" s="2">
        <v>808.219999999999</v>
      </c>
      <c r="H4026" s="1" t="s">
        <v>8</v>
      </c>
      <c r="I4026" t="str">
        <f t="shared" si="62"/>
        <v>PINK BUTTERFLY WASHBAG [84922]</v>
      </c>
    </row>
    <row r="4027" spans="1:9" x14ac:dyDescent="0.3">
      <c r="A4027" s="1">
        <v>84923</v>
      </c>
      <c r="B4027" t="s">
        <v>1484</v>
      </c>
      <c r="C4027" s="1">
        <v>4.1449999999999996</v>
      </c>
      <c r="D4027" s="1">
        <v>9</v>
      </c>
      <c r="E4027" s="2">
        <v>10.636363636363599</v>
      </c>
      <c r="F4027" s="1">
        <v>22</v>
      </c>
      <c r="G4027" s="1">
        <v>1017.64</v>
      </c>
      <c r="H4027" s="1" t="s">
        <v>8</v>
      </c>
      <c r="I4027" t="str">
        <f t="shared" si="62"/>
        <v>PINK BUTTERFLY HANDBAG W BOBBLES [84923]</v>
      </c>
    </row>
    <row r="4028" spans="1:9" x14ac:dyDescent="0.3">
      <c r="A4028" s="1" t="s">
        <v>1483</v>
      </c>
      <c r="B4028" t="s">
        <v>1482</v>
      </c>
      <c r="C4028" s="1">
        <v>4.3</v>
      </c>
      <c r="D4028" s="1">
        <v>5</v>
      </c>
      <c r="E4028" s="2">
        <v>6.3333333333333304</v>
      </c>
      <c r="F4028" s="1">
        <v>21</v>
      </c>
      <c r="G4028" s="1">
        <v>571</v>
      </c>
      <c r="H4028" s="1" t="s">
        <v>8</v>
      </c>
      <c r="I4028" t="str">
        <f t="shared" si="62"/>
        <v>WAKE UP COCKEREL CALENDAR SIGN [84924A]</v>
      </c>
    </row>
    <row r="4029" spans="1:9" x14ac:dyDescent="0.3">
      <c r="A4029" s="1" t="s">
        <v>1481</v>
      </c>
      <c r="B4029" t="s">
        <v>1480</v>
      </c>
      <c r="C4029" s="1">
        <v>3.75</v>
      </c>
      <c r="D4029" s="1">
        <v>2</v>
      </c>
      <c r="E4029" s="1">
        <v>2</v>
      </c>
      <c r="F4029" s="1">
        <v>9</v>
      </c>
      <c r="G4029" s="1">
        <v>79.11</v>
      </c>
      <c r="H4029" s="1" t="s">
        <v>8</v>
      </c>
      <c r="I4029" t="str">
        <f t="shared" si="62"/>
        <v>LA PALMIERA METAL SIGN CALENDAR [84924D]</v>
      </c>
    </row>
    <row r="4030" spans="1:9" x14ac:dyDescent="0.3">
      <c r="A4030" s="1" t="s">
        <v>1479</v>
      </c>
      <c r="B4030" t="s">
        <v>1478</v>
      </c>
      <c r="C4030" s="1">
        <v>0.26</v>
      </c>
      <c r="D4030" s="1">
        <v>480</v>
      </c>
      <c r="E4030" s="2">
        <v>323.666666666666</v>
      </c>
      <c r="F4030" s="1">
        <v>3</v>
      </c>
      <c r="G4030" s="1">
        <v>251.65</v>
      </c>
      <c r="H4030" s="1" t="s">
        <v>10</v>
      </c>
      <c r="I4030" t="str">
        <f t="shared" si="62"/>
        <v>PSYCHEDELIC METAL SIGN CALENDAR [84924F]</v>
      </c>
    </row>
    <row r="4031" spans="1:9" x14ac:dyDescent="0.3">
      <c r="A4031" s="1" t="s">
        <v>1477</v>
      </c>
      <c r="B4031" t="s">
        <v>1476</v>
      </c>
      <c r="C4031" s="1">
        <v>2.5499999999999998</v>
      </c>
      <c r="D4031" s="1">
        <v>11.5</v>
      </c>
      <c r="E4031" s="1">
        <v>44.75</v>
      </c>
      <c r="F4031" s="1">
        <v>4</v>
      </c>
      <c r="G4031" s="1">
        <v>339.29</v>
      </c>
      <c r="H4031" s="1" t="s">
        <v>9</v>
      </c>
      <c r="I4031" t="str">
        <f t="shared" si="62"/>
        <v>WAKE UP COCKEREL WALL THERMOMETER [84925A]</v>
      </c>
    </row>
    <row r="4032" spans="1:9" x14ac:dyDescent="0.3">
      <c r="A4032" s="1" t="s">
        <v>1475</v>
      </c>
      <c r="B4032" t="s">
        <v>1474</v>
      </c>
      <c r="C4032" s="1">
        <v>2.5499999999999998</v>
      </c>
      <c r="D4032" s="1">
        <v>5</v>
      </c>
      <c r="E4032" s="1">
        <v>5.6</v>
      </c>
      <c r="F4032" s="1">
        <v>5</v>
      </c>
      <c r="G4032" s="1">
        <v>71.400000000000006</v>
      </c>
      <c r="H4032" s="1" t="s">
        <v>8</v>
      </c>
      <c r="I4032" t="str">
        <f t="shared" si="62"/>
        <v>FAIRY CAKES  WALL THERMOMETER [84925C]</v>
      </c>
    </row>
    <row r="4033" spans="1:9" x14ac:dyDescent="0.3">
      <c r="A4033" s="1" t="s">
        <v>1473</v>
      </c>
      <c r="B4033" t="s">
        <v>1472</v>
      </c>
      <c r="C4033" s="1">
        <v>2.5499999999999998</v>
      </c>
      <c r="D4033" s="1">
        <v>3</v>
      </c>
      <c r="E4033" s="2">
        <v>32.285714285714199</v>
      </c>
      <c r="F4033" s="1">
        <v>14</v>
      </c>
      <c r="G4033" s="2">
        <v>677.44999999999902</v>
      </c>
      <c r="H4033" s="1" t="s">
        <v>8</v>
      </c>
      <c r="I4033" t="str">
        <f t="shared" si="62"/>
        <v>LA PALMIERA WALL THERMOMETER [84925D]</v>
      </c>
    </row>
    <row r="4034" spans="1:9" x14ac:dyDescent="0.3">
      <c r="A4034" s="1" t="s">
        <v>1471</v>
      </c>
      <c r="B4034" t="s">
        <v>1470</v>
      </c>
      <c r="C4034" s="1">
        <v>2.125</v>
      </c>
      <c r="D4034" s="1">
        <v>37.5</v>
      </c>
      <c r="E4034" s="1">
        <v>37.5</v>
      </c>
      <c r="F4034" s="1">
        <v>2</v>
      </c>
      <c r="G4034" s="1">
        <v>130.05000000000001</v>
      </c>
      <c r="H4034" s="1" t="s">
        <v>9</v>
      </c>
      <c r="I4034" t="str">
        <f t="shared" si="62"/>
        <v>FLOWERS WALL THERMOMETER [84925E]</v>
      </c>
    </row>
    <row r="4035" spans="1:9" x14ac:dyDescent="0.3">
      <c r="A4035" s="1" t="s">
        <v>1469</v>
      </c>
      <c r="B4035" t="s">
        <v>1468</v>
      </c>
      <c r="C4035" s="1">
        <v>2.5499999999999998</v>
      </c>
      <c r="D4035" s="1">
        <v>6</v>
      </c>
      <c r="E4035" s="1">
        <v>47.6</v>
      </c>
      <c r="F4035" s="1">
        <v>15</v>
      </c>
      <c r="G4035" s="1">
        <v>873.11</v>
      </c>
      <c r="H4035" s="1" t="s">
        <v>8</v>
      </c>
      <c r="I4035" t="str">
        <f t="shared" ref="I4035:I4098" si="63">B4035&amp;" ["&amp;A4035&amp;"]"</f>
        <v>PSYCHEDELIC WALL THERMOMETER [84925F]</v>
      </c>
    </row>
    <row r="4036" spans="1:9" x14ac:dyDescent="0.3">
      <c r="A4036" s="1" t="s">
        <v>1467</v>
      </c>
      <c r="B4036" t="s">
        <v>1466</v>
      </c>
      <c r="C4036" s="1">
        <v>1.33</v>
      </c>
      <c r="D4036" s="1">
        <v>3.5</v>
      </c>
      <c r="E4036" s="2">
        <v>6.6428571428571397</v>
      </c>
      <c r="F4036" s="1">
        <v>14</v>
      </c>
      <c r="G4036" s="2">
        <v>127.49</v>
      </c>
      <c r="H4036" s="1" t="s">
        <v>8</v>
      </c>
      <c r="I4036" t="str">
        <f t="shared" si="63"/>
        <v>WAKE UP COCKEREL TILE COASTER [84926A]</v>
      </c>
    </row>
    <row r="4037" spans="1:9" x14ac:dyDescent="0.3">
      <c r="A4037" s="1" t="s">
        <v>1465</v>
      </c>
      <c r="B4037" t="s">
        <v>1464</v>
      </c>
      <c r="C4037" s="1">
        <v>1.25</v>
      </c>
      <c r="D4037" s="1">
        <v>8.5</v>
      </c>
      <c r="E4037" s="1">
        <v>13.5</v>
      </c>
      <c r="F4037" s="1">
        <v>4</v>
      </c>
      <c r="G4037" s="1">
        <v>67.5</v>
      </c>
      <c r="H4037" s="1" t="s">
        <v>8</v>
      </c>
      <c r="I4037" t="str">
        <f t="shared" si="63"/>
        <v>SCOTTS ROSES TILE COASTER [84926B]</v>
      </c>
    </row>
    <row r="4038" spans="1:9" x14ac:dyDescent="0.3">
      <c r="A4038" s="1" t="s">
        <v>1463</v>
      </c>
      <c r="B4038" t="s">
        <v>1462</v>
      </c>
      <c r="C4038" s="1">
        <v>1.25</v>
      </c>
      <c r="D4038" s="1">
        <v>12.5</v>
      </c>
      <c r="E4038" s="1">
        <v>23</v>
      </c>
      <c r="F4038" s="1">
        <v>6</v>
      </c>
      <c r="G4038" s="1">
        <v>189.6</v>
      </c>
      <c r="H4038" s="1" t="s">
        <v>9</v>
      </c>
      <c r="I4038" t="str">
        <f t="shared" si="63"/>
        <v>FAIRY CAKES TILE COASTER [84926C]</v>
      </c>
    </row>
    <row r="4039" spans="1:9" x14ac:dyDescent="0.3">
      <c r="A4039" s="1" t="s">
        <v>1461</v>
      </c>
      <c r="B4039" t="s">
        <v>1460</v>
      </c>
      <c r="C4039" s="1">
        <v>1.25</v>
      </c>
      <c r="D4039" s="1">
        <v>11</v>
      </c>
      <c r="E4039" s="1">
        <v>25.5</v>
      </c>
      <c r="F4039" s="1">
        <v>16</v>
      </c>
      <c r="G4039" s="1">
        <v>257.33</v>
      </c>
      <c r="H4039" s="1" t="s">
        <v>9</v>
      </c>
      <c r="I4039" t="str">
        <f t="shared" si="63"/>
        <v>LA PALMIERA TILE COASTER [84926D]</v>
      </c>
    </row>
    <row r="4040" spans="1:9" x14ac:dyDescent="0.3">
      <c r="A4040" s="1" t="s">
        <v>1459</v>
      </c>
      <c r="B4040" t="s">
        <v>1458</v>
      </c>
      <c r="C4040" s="1">
        <v>1.25</v>
      </c>
      <c r="D4040" s="1">
        <v>6.5</v>
      </c>
      <c r="E4040" s="2">
        <v>24.6428571428571</v>
      </c>
      <c r="F4040" s="1">
        <v>14</v>
      </c>
      <c r="G4040" s="1">
        <v>253.79</v>
      </c>
      <c r="H4040" s="1" t="s">
        <v>8</v>
      </c>
      <c r="I4040" t="str">
        <f t="shared" si="63"/>
        <v>FLOWERS TILE COASTER [84926E]</v>
      </c>
    </row>
    <row r="4041" spans="1:9" x14ac:dyDescent="0.3">
      <c r="A4041" s="1" t="s">
        <v>1457</v>
      </c>
      <c r="B4041" t="s">
        <v>1456</v>
      </c>
      <c r="C4041" s="1">
        <v>1.3</v>
      </c>
      <c r="D4041" s="1">
        <v>9.5</v>
      </c>
      <c r="E4041" s="1">
        <v>19.6875</v>
      </c>
      <c r="F4041" s="1">
        <v>16</v>
      </c>
      <c r="G4041" s="1">
        <v>226.72</v>
      </c>
      <c r="H4041" s="1" t="s">
        <v>8</v>
      </c>
      <c r="I4041" t="str">
        <f t="shared" si="63"/>
        <v>PSYCHEDELIC TILE COASTER [84926F]</v>
      </c>
    </row>
    <row r="4042" spans="1:9" x14ac:dyDescent="0.3">
      <c r="A4042" s="1" t="s">
        <v>1455</v>
      </c>
      <c r="B4042" t="s">
        <v>1454</v>
      </c>
      <c r="C4042" s="1">
        <v>2.39</v>
      </c>
      <c r="D4042" s="1">
        <v>3</v>
      </c>
      <c r="E4042" s="2">
        <v>4.3846153846153797</v>
      </c>
      <c r="F4042" s="1">
        <v>13</v>
      </c>
      <c r="G4042" s="1">
        <v>136.34</v>
      </c>
      <c r="H4042" s="1" t="s">
        <v>8</v>
      </c>
      <c r="I4042" t="str">
        <f t="shared" si="63"/>
        <v>WAKE UP COCKEREL TILE HOOK [84927A]</v>
      </c>
    </row>
    <row r="4043" spans="1:9" x14ac:dyDescent="0.3">
      <c r="A4043" s="1" t="s">
        <v>1453</v>
      </c>
      <c r="B4043" t="s">
        <v>1452</v>
      </c>
      <c r="C4043" s="1">
        <v>2.1</v>
      </c>
      <c r="D4043" s="1">
        <v>5</v>
      </c>
      <c r="E4043" s="2">
        <v>4.5454545454545396</v>
      </c>
      <c r="F4043" s="1">
        <v>11</v>
      </c>
      <c r="G4043" s="1">
        <v>113.28</v>
      </c>
      <c r="H4043" s="1" t="s">
        <v>8</v>
      </c>
      <c r="I4043" t="str">
        <f t="shared" si="63"/>
        <v>LA PALMIERA TILE HOOK [84927D]</v>
      </c>
    </row>
    <row r="4044" spans="1:9" x14ac:dyDescent="0.3">
      <c r="A4044" s="1" t="s">
        <v>1451</v>
      </c>
      <c r="B4044" t="s">
        <v>1450</v>
      </c>
      <c r="C4044" s="1">
        <v>2.1</v>
      </c>
      <c r="D4044" s="1">
        <v>6</v>
      </c>
      <c r="E4044" s="1">
        <v>7.9</v>
      </c>
      <c r="F4044" s="1">
        <v>10</v>
      </c>
      <c r="G4044" s="1">
        <v>174.34</v>
      </c>
      <c r="H4044" s="1" t="s">
        <v>8</v>
      </c>
      <c r="I4044" t="str">
        <f t="shared" si="63"/>
        <v>FLOWERS TILE HOOK [84927E]</v>
      </c>
    </row>
    <row r="4045" spans="1:9" x14ac:dyDescent="0.3">
      <c r="A4045" s="1" t="s">
        <v>1449</v>
      </c>
      <c r="B4045" t="s">
        <v>1448</v>
      </c>
      <c r="C4045" s="1">
        <v>2.1</v>
      </c>
      <c r="D4045" s="1">
        <v>4</v>
      </c>
      <c r="E4045" s="2">
        <v>4.7647058823529402</v>
      </c>
      <c r="F4045" s="1">
        <v>17</v>
      </c>
      <c r="G4045" s="1">
        <v>170.52</v>
      </c>
      <c r="H4045" s="1" t="s">
        <v>8</v>
      </c>
      <c r="I4045" t="str">
        <f t="shared" si="63"/>
        <v>PSYCHEDELIC TILE HOOK [84927F]</v>
      </c>
    </row>
    <row r="4046" spans="1:9" x14ac:dyDescent="0.3">
      <c r="A4046" s="1">
        <v>84929</v>
      </c>
      <c r="B4046" t="s">
        <v>1447</v>
      </c>
      <c r="C4046" s="1">
        <v>0.55000000000000004</v>
      </c>
      <c r="D4046" s="1">
        <v>72</v>
      </c>
      <c r="E4046" s="2">
        <v>147.42857142857099</v>
      </c>
      <c r="F4046" s="1">
        <v>21</v>
      </c>
      <c r="G4046" s="1">
        <v>1007.52</v>
      </c>
      <c r="H4046" s="1" t="s">
        <v>10</v>
      </c>
      <c r="I4046" t="str">
        <f t="shared" si="63"/>
        <v>ASSTD FRUIT+FLOWERS FRIDGE MAGNETS [84929]</v>
      </c>
    </row>
    <row r="4047" spans="1:9" x14ac:dyDescent="0.3">
      <c r="A4047" s="1" t="s">
        <v>1446</v>
      </c>
      <c r="B4047" t="s">
        <v>1445</v>
      </c>
      <c r="C4047" s="1">
        <v>2.5499999999999998</v>
      </c>
      <c r="D4047" s="1">
        <v>6</v>
      </c>
      <c r="E4047" s="1">
        <v>8.5</v>
      </c>
      <c r="F4047" s="1">
        <v>24</v>
      </c>
      <c r="G4047" s="1">
        <v>513.69000000000005</v>
      </c>
      <c r="H4047" s="1" t="s">
        <v>8</v>
      </c>
      <c r="I4047" t="str">
        <f t="shared" si="63"/>
        <v>PINK SCOTTIE DOG W FLOWER PATTERN [84931A]</v>
      </c>
    </row>
    <row r="4048" spans="1:9" x14ac:dyDescent="0.3">
      <c r="A4048" s="1" t="s">
        <v>1444</v>
      </c>
      <c r="B4048" t="s">
        <v>1443</v>
      </c>
      <c r="C4048" s="1">
        <v>2.5499999999999998</v>
      </c>
      <c r="D4048" s="1">
        <v>7</v>
      </c>
      <c r="E4048" s="1">
        <v>10.96</v>
      </c>
      <c r="F4048" s="1">
        <v>25</v>
      </c>
      <c r="G4048" s="1">
        <v>688.73</v>
      </c>
      <c r="H4048" s="1" t="s">
        <v>8</v>
      </c>
      <c r="I4048" t="str">
        <f t="shared" si="63"/>
        <v>BLUE SCOTTIE DOG W FLOWER PATTERN [84931B]</v>
      </c>
    </row>
    <row r="4049" spans="1:9" x14ac:dyDescent="0.3">
      <c r="A4049" s="1" t="s">
        <v>1442</v>
      </c>
      <c r="B4049" t="s">
        <v>1441</v>
      </c>
      <c r="C4049" s="1">
        <v>2</v>
      </c>
      <c r="D4049" s="1">
        <v>24</v>
      </c>
      <c r="E4049" s="1">
        <v>51.2</v>
      </c>
      <c r="F4049" s="1">
        <v>5</v>
      </c>
      <c r="G4049" s="1">
        <v>551.6</v>
      </c>
      <c r="H4049" s="1" t="s">
        <v>9</v>
      </c>
      <c r="I4049" t="str">
        <f t="shared" si="63"/>
        <v>SMALL GREEN PEONY FOLDING STOOL [84932A]</v>
      </c>
    </row>
    <row r="4050" spans="1:9" x14ac:dyDescent="0.3">
      <c r="A4050" s="1" t="s">
        <v>1440</v>
      </c>
      <c r="B4050" t="s">
        <v>1439</v>
      </c>
      <c r="C4050" s="1">
        <v>2.0150000000000001</v>
      </c>
      <c r="D4050" s="1">
        <v>37</v>
      </c>
      <c r="E4050" s="1">
        <v>46.5</v>
      </c>
      <c r="F4050" s="1">
        <v>4</v>
      </c>
      <c r="G4050" s="2">
        <v>375.79999999999899</v>
      </c>
      <c r="H4050" s="1" t="s">
        <v>9</v>
      </c>
      <c r="I4050" t="str">
        <f t="shared" si="63"/>
        <v>SMALL PINK PEONY FOLDING STOOL [84932B]</v>
      </c>
    </row>
    <row r="4051" spans="1:9" x14ac:dyDescent="0.3">
      <c r="A4051" s="1" t="s">
        <v>1438</v>
      </c>
      <c r="B4051" t="s">
        <v>1437</v>
      </c>
      <c r="C4051" s="1">
        <v>2.11</v>
      </c>
      <c r="D4051" s="1">
        <v>41</v>
      </c>
      <c r="E4051" s="2">
        <v>40.285714285714199</v>
      </c>
      <c r="F4051" s="1">
        <v>7</v>
      </c>
      <c r="G4051" s="1">
        <v>615.4</v>
      </c>
      <c r="H4051" s="1" t="s">
        <v>9</v>
      </c>
      <c r="I4051" t="str">
        <f t="shared" si="63"/>
        <v>SMALL ORIENTAL BLUE FOLDING STOOL [84932C]</v>
      </c>
    </row>
    <row r="4052" spans="1:9" x14ac:dyDescent="0.3">
      <c r="A4052" s="1" t="s">
        <v>1436</v>
      </c>
      <c r="B4052" t="s">
        <v>1435</v>
      </c>
      <c r="C4052" s="1">
        <v>2.08</v>
      </c>
      <c r="D4052" s="1">
        <v>48.5</v>
      </c>
      <c r="E4052" s="1">
        <v>55</v>
      </c>
      <c r="F4052" s="1">
        <v>4</v>
      </c>
      <c r="G4052" s="1">
        <v>465.61</v>
      </c>
      <c r="H4052" s="1" t="s">
        <v>9</v>
      </c>
      <c r="I4052" t="str">
        <f t="shared" si="63"/>
        <v>SMALL ORIENTAL RED FOLDING STOOL [84932D]</v>
      </c>
    </row>
    <row r="4053" spans="1:9" x14ac:dyDescent="0.3">
      <c r="A4053" s="1" t="s">
        <v>1434</v>
      </c>
      <c r="B4053" t="s">
        <v>1433</v>
      </c>
      <c r="C4053" s="1">
        <v>2.4550000000000001</v>
      </c>
      <c r="D4053" s="1">
        <v>64.5</v>
      </c>
      <c r="E4053" s="1">
        <v>64.5</v>
      </c>
      <c r="F4053" s="1">
        <v>2</v>
      </c>
      <c r="G4053" s="1">
        <v>294.45</v>
      </c>
      <c r="H4053" s="1" t="s">
        <v>10</v>
      </c>
      <c r="I4053" t="str">
        <f t="shared" si="63"/>
        <v>LARGE GREEN PEONY FOLDING STOOL [84933A]</v>
      </c>
    </row>
    <row r="4054" spans="1:9" x14ac:dyDescent="0.3">
      <c r="A4054" s="1" t="s">
        <v>1432</v>
      </c>
      <c r="B4054" t="s">
        <v>1431</v>
      </c>
      <c r="C4054" s="2">
        <v>2.4</v>
      </c>
      <c r="D4054" s="1">
        <v>68</v>
      </c>
      <c r="E4054" s="1">
        <v>68</v>
      </c>
      <c r="F4054" s="1">
        <v>2</v>
      </c>
      <c r="G4054" s="1">
        <v>309.14999999999998</v>
      </c>
      <c r="H4054" s="1" t="s">
        <v>10</v>
      </c>
      <c r="I4054" t="str">
        <f t="shared" si="63"/>
        <v>LARGE PINK PEONY FOLDING STOOL [84933B]</v>
      </c>
    </row>
    <row r="4055" spans="1:9" x14ac:dyDescent="0.3">
      <c r="A4055" s="1" t="s">
        <v>1430</v>
      </c>
      <c r="B4055" t="s">
        <v>1429</v>
      </c>
      <c r="C4055" s="2">
        <v>2.4049999999999998</v>
      </c>
      <c r="D4055" s="1">
        <v>68</v>
      </c>
      <c r="E4055" s="1">
        <v>68</v>
      </c>
      <c r="F4055" s="1">
        <v>2</v>
      </c>
      <c r="G4055" s="1">
        <v>317</v>
      </c>
      <c r="H4055" s="1" t="s">
        <v>10</v>
      </c>
      <c r="I4055" t="str">
        <f t="shared" si="63"/>
        <v>LARGE BLUE ORIENTAL FOLDING STOOL [84933C]</v>
      </c>
    </row>
    <row r="4056" spans="1:9" x14ac:dyDescent="0.3">
      <c r="A4056" s="1">
        <v>84934</v>
      </c>
      <c r="B4056" t="s">
        <v>1428</v>
      </c>
      <c r="C4056" s="1">
        <v>0.85</v>
      </c>
      <c r="D4056" s="1">
        <v>80</v>
      </c>
      <c r="E4056" s="1">
        <v>137.4</v>
      </c>
      <c r="F4056" s="1">
        <v>5</v>
      </c>
      <c r="G4056" s="1">
        <v>586.5</v>
      </c>
      <c r="H4056" s="1" t="s">
        <v>10</v>
      </c>
      <c r="I4056" t="str">
        <f t="shared" si="63"/>
        <v>ASSTD DESIGN POP ART SLIM PEN [84934]</v>
      </c>
    </row>
    <row r="4057" spans="1:9" x14ac:dyDescent="0.3">
      <c r="A4057" s="1">
        <v>84937</v>
      </c>
      <c r="B4057" t="s">
        <v>1427</v>
      </c>
      <c r="C4057" s="1">
        <v>2.1749999999999998</v>
      </c>
      <c r="D4057" s="1">
        <v>350</v>
      </c>
      <c r="E4057" s="2">
        <v>423.666666666666</v>
      </c>
      <c r="F4057" s="1">
        <v>6</v>
      </c>
      <c r="G4057" s="1">
        <v>5394.54</v>
      </c>
      <c r="H4057" s="1" t="s">
        <v>10</v>
      </c>
      <c r="I4057" t="str">
        <f t="shared" si="63"/>
        <v>KASHMIR FOLKART TUMBLERS [84937]</v>
      </c>
    </row>
    <row r="4058" spans="1:9" x14ac:dyDescent="0.3">
      <c r="A4058" s="1">
        <v>84942</v>
      </c>
      <c r="B4058" t="s">
        <v>1426</v>
      </c>
      <c r="C4058" s="1">
        <v>1.69</v>
      </c>
      <c r="D4058" s="1">
        <v>1.5</v>
      </c>
      <c r="E4058" s="1">
        <v>1.5</v>
      </c>
      <c r="F4058" s="1">
        <v>2</v>
      </c>
      <c r="G4058" s="1">
        <v>5.07</v>
      </c>
      <c r="H4058" s="1" t="s">
        <v>8</v>
      </c>
      <c r="I4058" t="str">
        <f t="shared" si="63"/>
        <v>KASHMIR FOLKART HEART DISHES [84942]</v>
      </c>
    </row>
    <row r="4059" spans="1:9" x14ac:dyDescent="0.3">
      <c r="A4059" s="1">
        <v>84944</v>
      </c>
      <c r="B4059" t="s">
        <v>1425</v>
      </c>
      <c r="C4059" s="1">
        <v>4.25</v>
      </c>
      <c r="D4059" s="1">
        <v>25</v>
      </c>
      <c r="E4059" s="2">
        <v>59.736842105263101</v>
      </c>
      <c r="F4059" s="1">
        <v>19</v>
      </c>
      <c r="G4059" s="1">
        <v>3153.88</v>
      </c>
      <c r="H4059" s="1" t="s">
        <v>9</v>
      </c>
      <c r="I4059" t="str">
        <f t="shared" si="63"/>
        <v>SET OF 6 KASHMIR FOLKART BAUBLES [84944]</v>
      </c>
    </row>
    <row r="4060" spans="1:9" x14ac:dyDescent="0.3">
      <c r="A4060" s="1">
        <v>84945</v>
      </c>
      <c r="B4060" t="s">
        <v>1424</v>
      </c>
      <c r="C4060" s="1">
        <v>0.82</v>
      </c>
      <c r="D4060" s="1">
        <v>842</v>
      </c>
      <c r="E4060" s="1">
        <v>939.304347826087</v>
      </c>
      <c r="F4060" s="1">
        <v>23</v>
      </c>
      <c r="G4060" s="1">
        <v>17735.689999999999</v>
      </c>
      <c r="H4060" s="1" t="s">
        <v>10</v>
      </c>
      <c r="I4060" t="str">
        <f t="shared" si="63"/>
        <v>MULTI COLOUR SILVER T-LIGHT HOLDER [84945]</v>
      </c>
    </row>
    <row r="4061" spans="1:9" x14ac:dyDescent="0.3">
      <c r="A4061" s="1">
        <v>84946</v>
      </c>
      <c r="B4061" t="s">
        <v>1423</v>
      </c>
      <c r="C4061" s="1">
        <v>1.31</v>
      </c>
      <c r="D4061" s="1">
        <v>1285</v>
      </c>
      <c r="E4061" s="2">
        <v>1359.1111111111099</v>
      </c>
      <c r="F4061" s="1">
        <v>25</v>
      </c>
      <c r="G4061" s="1">
        <v>49210.400000000001</v>
      </c>
      <c r="H4061" s="1" t="s">
        <v>10</v>
      </c>
      <c r="I4061" t="str">
        <f t="shared" si="63"/>
        <v>ANTIQUE SILVER TEA GLASS ETCHED [84946]</v>
      </c>
    </row>
    <row r="4062" spans="1:9" x14ac:dyDescent="0.3">
      <c r="A4062" s="1">
        <v>84947</v>
      </c>
      <c r="B4062" t="s">
        <v>1422</v>
      </c>
      <c r="C4062" s="1">
        <v>1.19</v>
      </c>
      <c r="D4062" s="1">
        <v>594</v>
      </c>
      <c r="E4062" s="1">
        <v>632.4</v>
      </c>
      <c r="F4062" s="1">
        <v>25</v>
      </c>
      <c r="G4062" s="1">
        <v>18744.169999999998</v>
      </c>
      <c r="H4062" s="1" t="s">
        <v>10</v>
      </c>
      <c r="I4062" t="str">
        <f t="shared" si="63"/>
        <v>ANTIQUE SILVER TEA GLASS ENGRAVED [84947]</v>
      </c>
    </row>
    <row r="4063" spans="1:9" x14ac:dyDescent="0.3">
      <c r="A4063" s="1">
        <v>84948</v>
      </c>
      <c r="B4063" t="s">
        <v>1421</v>
      </c>
      <c r="C4063" s="1">
        <v>1.65</v>
      </c>
      <c r="D4063" s="1">
        <v>22.5</v>
      </c>
      <c r="E4063" s="1">
        <v>45.5</v>
      </c>
      <c r="F4063" s="1">
        <v>6</v>
      </c>
      <c r="G4063" s="2">
        <v>459.21</v>
      </c>
      <c r="H4063" s="1" t="s">
        <v>9</v>
      </c>
      <c r="I4063" t="str">
        <f t="shared" si="63"/>
        <v>SILVER HANGING T-LIGHT HOLDER DOME [84948]</v>
      </c>
    </row>
    <row r="4064" spans="1:9" x14ac:dyDescent="0.3">
      <c r="A4064" s="1">
        <v>84949</v>
      </c>
      <c r="B4064" t="s">
        <v>1420</v>
      </c>
      <c r="C4064" s="1">
        <v>1.6</v>
      </c>
      <c r="D4064" s="1">
        <v>419</v>
      </c>
      <c r="E4064" s="1">
        <v>477.8</v>
      </c>
      <c r="F4064" s="1">
        <v>25</v>
      </c>
      <c r="G4064" s="1">
        <v>19015.8</v>
      </c>
      <c r="H4064" s="1" t="s">
        <v>10</v>
      </c>
      <c r="I4064" t="str">
        <f t="shared" si="63"/>
        <v>SILVER HANGING T-LIGHT HOLDER [84949]</v>
      </c>
    </row>
    <row r="4065" spans="1:9" x14ac:dyDescent="0.3">
      <c r="A4065" s="1">
        <v>84950</v>
      </c>
      <c r="B4065" t="s">
        <v>1419</v>
      </c>
      <c r="C4065" s="1">
        <v>0.75</v>
      </c>
      <c r="D4065" s="1">
        <v>156</v>
      </c>
      <c r="E4065" s="1">
        <v>251.125</v>
      </c>
      <c r="F4065" s="1">
        <v>24</v>
      </c>
      <c r="G4065" s="1">
        <v>4168.7299999999996</v>
      </c>
      <c r="H4065" s="1" t="s">
        <v>10</v>
      </c>
      <c r="I4065" t="str">
        <f t="shared" si="63"/>
        <v>ASSORTED COLOUR T-LIGHT HOLDER [84950]</v>
      </c>
    </row>
    <row r="4066" spans="1:9" x14ac:dyDescent="0.3">
      <c r="A4066" s="1" t="s">
        <v>1418</v>
      </c>
      <c r="B4066" t="s">
        <v>1417</v>
      </c>
      <c r="C4066" s="1">
        <v>2.46</v>
      </c>
      <c r="D4066" s="1">
        <v>10</v>
      </c>
      <c r="E4066" s="1">
        <v>24.88</v>
      </c>
      <c r="F4066" s="1">
        <v>25</v>
      </c>
      <c r="G4066" s="1">
        <v>848.76</v>
      </c>
      <c r="H4066" s="1" t="s">
        <v>9</v>
      </c>
      <c r="I4066" t="str">
        <f t="shared" si="63"/>
        <v>S/4 PISTACHIO LOVEBIRD COASTERS [84951A]</v>
      </c>
    </row>
    <row r="4067" spans="1:9" x14ac:dyDescent="0.3">
      <c r="A4067" s="1" t="s">
        <v>1416</v>
      </c>
      <c r="B4067" t="s">
        <v>1414</v>
      </c>
      <c r="C4067" s="1">
        <v>2.46</v>
      </c>
      <c r="D4067" s="1">
        <v>7</v>
      </c>
      <c r="E4067" s="2">
        <v>24.565217391304301</v>
      </c>
      <c r="F4067" s="1">
        <v>22</v>
      </c>
      <c r="G4067" s="1">
        <v>802.73</v>
      </c>
      <c r="H4067" s="1" t="s">
        <v>8</v>
      </c>
      <c r="I4067" t="str">
        <f t="shared" si="63"/>
        <v>S/4 BLACK LOVEBIRD COASTERS [84951B]</v>
      </c>
    </row>
    <row r="4068" spans="1:9" x14ac:dyDescent="0.3">
      <c r="A4068" s="1" t="s">
        <v>1415</v>
      </c>
      <c r="B4068" t="s">
        <v>1414</v>
      </c>
      <c r="C4068" s="1">
        <v>5.0599999999999996</v>
      </c>
      <c r="D4068" s="1">
        <v>3</v>
      </c>
      <c r="E4068" s="2">
        <v>3.3333333333333299</v>
      </c>
      <c r="F4068" s="1">
        <v>3</v>
      </c>
      <c r="G4068" s="1">
        <v>51.26</v>
      </c>
      <c r="H4068" s="1" t="s">
        <v>8</v>
      </c>
      <c r="I4068" t="str">
        <f t="shared" si="63"/>
        <v>S/4 BLACK LOVEBIRD COASTERS [84951b]</v>
      </c>
    </row>
    <row r="4069" spans="1:9" x14ac:dyDescent="0.3">
      <c r="A4069" s="1" t="s">
        <v>1413</v>
      </c>
      <c r="B4069" t="s">
        <v>1412</v>
      </c>
      <c r="C4069" s="1">
        <v>3.75</v>
      </c>
      <c r="D4069" s="1">
        <v>6</v>
      </c>
      <c r="E4069" s="2">
        <v>10.5714285714285</v>
      </c>
      <c r="F4069" s="1">
        <v>14</v>
      </c>
      <c r="G4069" s="2">
        <v>392.53</v>
      </c>
      <c r="H4069" s="1" t="s">
        <v>8</v>
      </c>
      <c r="I4069" t="str">
        <f t="shared" si="63"/>
        <v>CLEAR LOVE BIRD T-LIGHT HOLDER [84952A]</v>
      </c>
    </row>
    <row r="4070" spans="1:9" x14ac:dyDescent="0.3">
      <c r="A4070" s="1" t="s">
        <v>1411</v>
      </c>
      <c r="B4070" t="s">
        <v>1410</v>
      </c>
      <c r="C4070" s="1">
        <v>3.75</v>
      </c>
      <c r="D4070" s="1">
        <v>5</v>
      </c>
      <c r="E4070" s="2">
        <v>22.6666666666666</v>
      </c>
      <c r="F4070" s="1">
        <v>15</v>
      </c>
      <c r="G4070" s="1">
        <v>595.09</v>
      </c>
      <c r="H4070" s="1" t="s">
        <v>8</v>
      </c>
      <c r="I4070" t="str">
        <f t="shared" si="63"/>
        <v>BLACK LOVE BIRD T-LIGHT HOLDER [84952B]</v>
      </c>
    </row>
    <row r="4071" spans="1:9" x14ac:dyDescent="0.3">
      <c r="A4071" s="1" t="s">
        <v>1409</v>
      </c>
      <c r="B4071" t="s">
        <v>1408</v>
      </c>
      <c r="C4071" s="1">
        <v>3.75</v>
      </c>
      <c r="D4071" s="1">
        <v>10</v>
      </c>
      <c r="E4071" s="2">
        <v>29.1666666666666</v>
      </c>
      <c r="F4071" s="1">
        <v>12</v>
      </c>
      <c r="G4071" s="1">
        <v>684.61</v>
      </c>
      <c r="H4071" s="1" t="s">
        <v>9</v>
      </c>
      <c r="I4071" t="str">
        <f t="shared" si="63"/>
        <v>MIRROR LOVE BIRD T-LIGHT HOLDER [84952C]</v>
      </c>
    </row>
    <row r="4072" spans="1:9" x14ac:dyDescent="0.3">
      <c r="A4072" s="1">
        <v>84962</v>
      </c>
      <c r="B4072" t="s">
        <v>1407</v>
      </c>
      <c r="C4072" s="1">
        <v>59.95</v>
      </c>
      <c r="D4072" s="1">
        <v>1.5</v>
      </c>
      <c r="E4072" s="1">
        <v>1.5</v>
      </c>
      <c r="F4072" s="1">
        <v>2</v>
      </c>
      <c r="G4072" s="2">
        <v>179.85</v>
      </c>
      <c r="H4072" s="1" t="s">
        <v>8</v>
      </c>
      <c r="I4072" t="str">
        <f t="shared" si="63"/>
        <v>SET/3 COLOUR PAINTED KASHMIRI STOOL [84962]</v>
      </c>
    </row>
    <row r="4073" spans="1:9" x14ac:dyDescent="0.3">
      <c r="A4073" s="1" t="s">
        <v>1406</v>
      </c>
      <c r="B4073" t="s">
        <v>1405</v>
      </c>
      <c r="C4073" s="1">
        <v>46.45</v>
      </c>
      <c r="D4073" s="1">
        <v>2</v>
      </c>
      <c r="E4073" s="1">
        <v>2.875</v>
      </c>
      <c r="F4073" s="1">
        <v>8</v>
      </c>
      <c r="G4073" s="1">
        <v>763.35</v>
      </c>
      <c r="H4073" s="1" t="s">
        <v>8</v>
      </c>
      <c r="I4073" t="str">
        <f t="shared" si="63"/>
        <v>PINK PAINTED KASHMIRI CHAIR [84963A]</v>
      </c>
    </row>
    <row r="4074" spans="1:9" x14ac:dyDescent="0.3">
      <c r="A4074" s="1" t="s">
        <v>1404</v>
      </c>
      <c r="B4074" t="s">
        <v>1403</v>
      </c>
      <c r="C4074" s="1">
        <v>49.95</v>
      </c>
      <c r="D4074" s="1">
        <v>3</v>
      </c>
      <c r="E4074" s="1">
        <v>3.6</v>
      </c>
      <c r="F4074" s="1">
        <v>5</v>
      </c>
      <c r="G4074" s="1">
        <v>591.5</v>
      </c>
      <c r="H4074" s="1" t="s">
        <v>8</v>
      </c>
      <c r="I4074" t="str">
        <f t="shared" si="63"/>
        <v>BLUE PAINTED KASHMIRI CHAIR [84963B]</v>
      </c>
    </row>
    <row r="4075" spans="1:9" x14ac:dyDescent="0.3">
      <c r="A4075" s="1" t="s">
        <v>1402</v>
      </c>
      <c r="B4075" t="s">
        <v>1401</v>
      </c>
      <c r="C4075" s="1">
        <v>45</v>
      </c>
      <c r="D4075" s="1">
        <v>5.5</v>
      </c>
      <c r="E4075" s="1">
        <v>5.5</v>
      </c>
      <c r="F4075" s="1">
        <v>2</v>
      </c>
      <c r="G4075" s="1">
        <v>630</v>
      </c>
      <c r="H4075" s="1" t="s">
        <v>8</v>
      </c>
      <c r="I4075" t="str">
        <f t="shared" si="63"/>
        <v>PINK PAINTED KASHMIRI TABLE [84964A]</v>
      </c>
    </row>
    <row r="4076" spans="1:9" x14ac:dyDescent="0.3">
      <c r="A4076" s="1" t="s">
        <v>1400</v>
      </c>
      <c r="B4076" t="s">
        <v>1399</v>
      </c>
      <c r="C4076" s="1">
        <v>45</v>
      </c>
      <c r="D4076" s="1">
        <v>8.5</v>
      </c>
      <c r="E4076" s="1">
        <v>8.5</v>
      </c>
      <c r="F4076" s="1">
        <v>2</v>
      </c>
      <c r="G4076" s="1">
        <v>990</v>
      </c>
      <c r="H4076" s="1" t="s">
        <v>8</v>
      </c>
      <c r="I4076" t="str">
        <f t="shared" si="63"/>
        <v>BLUE PAINTED KASHMIRI TABLE [84964B]</v>
      </c>
    </row>
    <row r="4077" spans="1:9" x14ac:dyDescent="0.3">
      <c r="A4077" s="1" t="s">
        <v>1398</v>
      </c>
      <c r="B4077" t="s">
        <v>1397</v>
      </c>
      <c r="C4077" s="1">
        <v>30</v>
      </c>
      <c r="D4077" s="1">
        <v>4</v>
      </c>
      <c r="E4077" s="2">
        <v>6.6666666666666599</v>
      </c>
      <c r="F4077" s="1">
        <v>3</v>
      </c>
      <c r="G4077" s="1">
        <v>1050</v>
      </c>
      <c r="H4077" s="1" t="s">
        <v>8</v>
      </c>
      <c r="I4077" t="str">
        <f t="shared" si="63"/>
        <v>PINK KASHMIRI COFFEE TABLE [84965A]</v>
      </c>
    </row>
    <row r="4078" spans="1:9" x14ac:dyDescent="0.3">
      <c r="A4078" s="1" t="s">
        <v>1396</v>
      </c>
      <c r="B4078" t="s">
        <v>1395</v>
      </c>
      <c r="C4078" s="1">
        <v>39.090000000000003</v>
      </c>
      <c r="D4078" s="1">
        <v>11</v>
      </c>
      <c r="E4078" s="1">
        <v>9</v>
      </c>
      <c r="F4078" s="1">
        <v>3</v>
      </c>
      <c r="G4078" s="1">
        <v>1359.95</v>
      </c>
      <c r="H4078" s="1" t="s">
        <v>9</v>
      </c>
      <c r="I4078" t="str">
        <f t="shared" si="63"/>
        <v>BLUE KASHMIRI COFFEE TABLE [84965B]</v>
      </c>
    </row>
    <row r="4079" spans="1:9" x14ac:dyDescent="0.3">
      <c r="A4079" s="1" t="s">
        <v>1394</v>
      </c>
      <c r="B4079" t="s">
        <v>1393</v>
      </c>
      <c r="C4079" s="1">
        <v>20</v>
      </c>
      <c r="D4079" s="1">
        <v>3</v>
      </c>
      <c r="E4079" s="1">
        <v>4</v>
      </c>
      <c r="F4079" s="1">
        <v>3</v>
      </c>
      <c r="G4079" s="1">
        <v>176</v>
      </c>
      <c r="H4079" s="1" t="s">
        <v>8</v>
      </c>
      <c r="I4079" t="str">
        <f t="shared" si="63"/>
        <v>PINK KASHMIRI BOXED MIRROR [84966A]</v>
      </c>
    </row>
    <row r="4080" spans="1:9" x14ac:dyDescent="0.3">
      <c r="A4080" s="1" t="s">
        <v>1392</v>
      </c>
      <c r="B4080" t="s">
        <v>1391</v>
      </c>
      <c r="C4080" s="1">
        <v>16</v>
      </c>
      <c r="D4080" s="1">
        <v>7.5</v>
      </c>
      <c r="E4080" s="1">
        <v>8.25</v>
      </c>
      <c r="F4080" s="1">
        <v>4</v>
      </c>
      <c r="G4080" s="1">
        <v>428</v>
      </c>
      <c r="H4080" s="1" t="s">
        <v>8</v>
      </c>
      <c r="I4080" t="str">
        <f t="shared" si="63"/>
        <v>BLUE KASHMIRI BOXED MIRROR [84966B]</v>
      </c>
    </row>
    <row r="4081" spans="1:9" x14ac:dyDescent="0.3">
      <c r="A4081" s="1" t="s">
        <v>1390</v>
      </c>
      <c r="B4081" t="s">
        <v>1389</v>
      </c>
      <c r="C4081" s="1">
        <v>12</v>
      </c>
      <c r="D4081" s="1">
        <v>11.5</v>
      </c>
      <c r="E4081" s="1">
        <v>11.5</v>
      </c>
      <c r="F4081" s="1">
        <v>2</v>
      </c>
      <c r="G4081" s="1">
        <v>276</v>
      </c>
      <c r="H4081" s="1" t="s">
        <v>9</v>
      </c>
      <c r="I4081" t="str">
        <f t="shared" si="63"/>
        <v>GREEN KASHMIRI BOXED MIRROR [84966C]</v>
      </c>
    </row>
    <row r="4082" spans="1:9" x14ac:dyDescent="0.3">
      <c r="A4082" s="1" t="s">
        <v>1388</v>
      </c>
      <c r="B4082" t="s">
        <v>1387</v>
      </c>
      <c r="C4082" s="1">
        <v>79.95</v>
      </c>
      <c r="D4082" s="1">
        <v>1</v>
      </c>
      <c r="E4082" s="1">
        <v>1</v>
      </c>
      <c r="F4082" s="1">
        <v>2</v>
      </c>
      <c r="G4082" s="1">
        <v>159.9</v>
      </c>
      <c r="H4082" s="1" t="s">
        <v>8</v>
      </c>
      <c r="I4082" t="str">
        <f t="shared" si="63"/>
        <v>PINK KASHMIRI OCCASIONAL TABLE [84967A]</v>
      </c>
    </row>
    <row r="4083" spans="1:9" x14ac:dyDescent="0.3">
      <c r="A4083" s="1" t="s">
        <v>1386</v>
      </c>
      <c r="B4083" t="s">
        <v>1385</v>
      </c>
      <c r="C4083" s="1">
        <v>79.95</v>
      </c>
      <c r="D4083" s="1">
        <v>2</v>
      </c>
      <c r="E4083" s="2">
        <v>3.4285714285714199</v>
      </c>
      <c r="F4083" s="1">
        <v>7</v>
      </c>
      <c r="G4083" s="1">
        <v>1249.45</v>
      </c>
      <c r="H4083" s="1" t="s">
        <v>8</v>
      </c>
      <c r="I4083" t="str">
        <f t="shared" si="63"/>
        <v>BLUE KASHMIRI OCCASIONAL TABLE [84967B]</v>
      </c>
    </row>
    <row r="4084" spans="1:9" x14ac:dyDescent="0.3">
      <c r="A4084" s="1" t="s">
        <v>1384</v>
      </c>
      <c r="B4084" t="s">
        <v>1383</v>
      </c>
      <c r="C4084" s="1">
        <v>79.95</v>
      </c>
      <c r="D4084" s="1">
        <v>1</v>
      </c>
      <c r="E4084" s="1">
        <v>2.25</v>
      </c>
      <c r="F4084" s="1">
        <v>4</v>
      </c>
      <c r="G4084" s="1">
        <v>419.85</v>
      </c>
      <c r="H4084" s="1" t="s">
        <v>8</v>
      </c>
      <c r="I4084" t="str">
        <f t="shared" si="63"/>
        <v>GREEN KASHMIRI OCCASIONAL TABLE [84967C]</v>
      </c>
    </row>
    <row r="4085" spans="1:9" x14ac:dyDescent="0.3">
      <c r="A4085" s="1" t="s">
        <v>1382</v>
      </c>
      <c r="B4085" t="s">
        <v>1373</v>
      </c>
      <c r="C4085" s="1">
        <v>12.875</v>
      </c>
      <c r="D4085" s="1">
        <v>15</v>
      </c>
      <c r="E4085" s="2">
        <v>20.346153846153801</v>
      </c>
      <c r="F4085" s="1">
        <v>25</v>
      </c>
      <c r="G4085" s="1">
        <v>6538.08</v>
      </c>
      <c r="H4085" s="1" t="s">
        <v>9</v>
      </c>
      <c r="I4085" t="str">
        <f t="shared" si="63"/>
        <v>S/16 VINTAGE ROSE CUTLERY [84968A]</v>
      </c>
    </row>
    <row r="4086" spans="1:9" x14ac:dyDescent="0.3">
      <c r="A4086" s="1" t="s">
        <v>1381</v>
      </c>
      <c r="B4086" t="s">
        <v>1371</v>
      </c>
      <c r="C4086" s="1">
        <v>13</v>
      </c>
      <c r="D4086" s="1">
        <v>20</v>
      </c>
      <c r="E4086" s="2">
        <v>32.923076923076898</v>
      </c>
      <c r="F4086" s="1">
        <v>12</v>
      </c>
      <c r="G4086" s="1">
        <v>5681.41</v>
      </c>
      <c r="H4086" s="1" t="s">
        <v>9</v>
      </c>
      <c r="I4086" t="str">
        <f t="shared" si="63"/>
        <v>S/16 VINTAGE IVORY CUTLERY [84968B]</v>
      </c>
    </row>
    <row r="4087" spans="1:9" x14ac:dyDescent="0.3">
      <c r="A4087" s="1" t="s">
        <v>1380</v>
      </c>
      <c r="B4087" t="s">
        <v>1379</v>
      </c>
      <c r="C4087" s="1">
        <v>14.87</v>
      </c>
      <c r="D4087" s="1">
        <v>10</v>
      </c>
      <c r="E4087" s="1">
        <v>25.48</v>
      </c>
      <c r="F4087" s="1">
        <v>24</v>
      </c>
      <c r="G4087" s="1">
        <v>7629.25</v>
      </c>
      <c r="H4087" s="1" t="s">
        <v>9</v>
      </c>
      <c r="I4087" t="str">
        <f t="shared" si="63"/>
        <v>S/16 VINTAGE PISTACHIO CUTLERY [84968C]</v>
      </c>
    </row>
    <row r="4088" spans="1:9" x14ac:dyDescent="0.3">
      <c r="A4088" s="1" t="s">
        <v>1378</v>
      </c>
      <c r="B4088" t="s">
        <v>1369</v>
      </c>
      <c r="C4088" s="1">
        <v>12.75</v>
      </c>
      <c r="D4088" s="1">
        <v>5</v>
      </c>
      <c r="E4088" s="2">
        <v>20.5217391304347</v>
      </c>
      <c r="F4088" s="1">
        <v>22</v>
      </c>
      <c r="G4088" s="1">
        <v>5393.71</v>
      </c>
      <c r="H4088" s="1" t="s">
        <v>8</v>
      </c>
      <c r="I4088" t="str">
        <f t="shared" si="63"/>
        <v>S/16 VINTAGE RED CUTLERY [84968D]</v>
      </c>
    </row>
    <row r="4089" spans="1:9" x14ac:dyDescent="0.3">
      <c r="A4089" s="1" t="s">
        <v>1377</v>
      </c>
      <c r="B4089" t="s">
        <v>1367</v>
      </c>
      <c r="C4089" s="1">
        <v>12.75</v>
      </c>
      <c r="D4089" s="1">
        <v>7.5</v>
      </c>
      <c r="E4089" s="1">
        <v>16.125</v>
      </c>
      <c r="F4089" s="1">
        <v>23</v>
      </c>
      <c r="G4089" s="1">
        <v>4490.4799999999996</v>
      </c>
      <c r="H4089" s="1" t="s">
        <v>8</v>
      </c>
      <c r="I4089" t="str">
        <f t="shared" si="63"/>
        <v>S/16 VINTAGE BLACK CUTLERY [84968E]</v>
      </c>
    </row>
    <row r="4090" spans="1:9" x14ac:dyDescent="0.3">
      <c r="A4090" s="1" t="s">
        <v>1376</v>
      </c>
      <c r="B4090" t="s">
        <v>1375</v>
      </c>
      <c r="C4090" s="1">
        <v>13.33</v>
      </c>
      <c r="D4090" s="1">
        <v>7</v>
      </c>
      <c r="E4090" s="1">
        <v>11.92</v>
      </c>
      <c r="F4090" s="1">
        <v>24</v>
      </c>
      <c r="G4090" s="1">
        <v>3571.77</v>
      </c>
      <c r="H4090" s="1" t="s">
        <v>8</v>
      </c>
      <c r="I4090" t="str">
        <f t="shared" si="63"/>
        <v>S/16 VINTAGE SKY BLUE CUTLERY [84968F]</v>
      </c>
    </row>
    <row r="4091" spans="1:9" x14ac:dyDescent="0.3">
      <c r="A4091" s="1" t="s">
        <v>1374</v>
      </c>
      <c r="B4091" t="s">
        <v>1373</v>
      </c>
      <c r="C4091" s="1">
        <v>25.225000000000001</v>
      </c>
      <c r="D4091" s="1">
        <v>1</v>
      </c>
      <c r="E4091" s="1">
        <v>1.5</v>
      </c>
      <c r="F4091" s="1">
        <v>4</v>
      </c>
      <c r="G4091" s="1">
        <v>150.82</v>
      </c>
      <c r="H4091" s="1" t="s">
        <v>8</v>
      </c>
      <c r="I4091" t="str">
        <f t="shared" si="63"/>
        <v>S/16 VINTAGE ROSE CUTLERY [84968a]</v>
      </c>
    </row>
    <row r="4092" spans="1:9" x14ac:dyDescent="0.3">
      <c r="A4092" s="1" t="s">
        <v>1372</v>
      </c>
      <c r="B4092" t="s">
        <v>1371</v>
      </c>
      <c r="C4092" s="1">
        <v>25.49</v>
      </c>
      <c r="D4092" s="1">
        <v>1</v>
      </c>
      <c r="E4092" s="1">
        <v>1</v>
      </c>
      <c r="F4092" s="1">
        <v>2</v>
      </c>
      <c r="G4092" s="1">
        <v>50.98</v>
      </c>
      <c r="H4092" s="1" t="s">
        <v>8</v>
      </c>
      <c r="I4092" t="str">
        <f t="shared" si="63"/>
        <v>S/16 VINTAGE IVORY CUTLERY [84968b]</v>
      </c>
    </row>
    <row r="4093" spans="1:9" x14ac:dyDescent="0.3">
      <c r="A4093" s="1" t="s">
        <v>1370</v>
      </c>
      <c r="B4093" t="s">
        <v>1369</v>
      </c>
      <c r="C4093" s="1">
        <v>24.96</v>
      </c>
      <c r="D4093" s="1">
        <v>1</v>
      </c>
      <c r="E4093" s="1">
        <v>1</v>
      </c>
      <c r="F4093" s="1">
        <v>4</v>
      </c>
      <c r="G4093" s="1">
        <v>100.37</v>
      </c>
      <c r="H4093" s="1" t="s">
        <v>8</v>
      </c>
      <c r="I4093" t="str">
        <f t="shared" si="63"/>
        <v>S/16 VINTAGE RED CUTLERY [84968d]</v>
      </c>
    </row>
    <row r="4094" spans="1:9" x14ac:dyDescent="0.3">
      <c r="A4094" s="1" t="s">
        <v>1368</v>
      </c>
      <c r="B4094" t="s">
        <v>1367</v>
      </c>
      <c r="C4094" s="1">
        <v>25.49</v>
      </c>
      <c r="D4094" s="1">
        <v>1</v>
      </c>
      <c r="E4094" s="1">
        <v>1.6</v>
      </c>
      <c r="F4094" s="1">
        <v>10</v>
      </c>
      <c r="G4094" s="1">
        <v>404.13</v>
      </c>
      <c r="H4094" s="1" t="s">
        <v>8</v>
      </c>
      <c r="I4094" t="str">
        <f t="shared" si="63"/>
        <v>S/16 VINTAGE BLACK CUTLERY [84968e]</v>
      </c>
    </row>
    <row r="4095" spans="1:9" x14ac:dyDescent="0.3">
      <c r="A4095" s="1" t="s">
        <v>1366</v>
      </c>
      <c r="B4095" t="s">
        <v>1365</v>
      </c>
      <c r="C4095" s="1">
        <v>25.49</v>
      </c>
      <c r="D4095" s="1">
        <v>1</v>
      </c>
      <c r="E4095" s="1">
        <v>1</v>
      </c>
      <c r="F4095" s="1">
        <v>2</v>
      </c>
      <c r="G4095" s="1">
        <v>50.98</v>
      </c>
      <c r="H4095" s="1" t="s">
        <v>8</v>
      </c>
      <c r="I4095" t="str">
        <f t="shared" si="63"/>
        <v>SET OF 16 VINTAGE SKY BLUE CUTLERY [84968f]</v>
      </c>
    </row>
    <row r="4096" spans="1:9" x14ac:dyDescent="0.3">
      <c r="A4096" s="1">
        <v>84969</v>
      </c>
      <c r="B4096" t="s">
        <v>1364</v>
      </c>
      <c r="C4096" s="2">
        <v>4.55</v>
      </c>
      <c r="D4096" s="1">
        <v>35</v>
      </c>
      <c r="E4096" s="2">
        <v>37.269230769230703</v>
      </c>
      <c r="F4096" s="1">
        <v>25</v>
      </c>
      <c r="G4096" s="1">
        <v>4279.93</v>
      </c>
      <c r="H4096" s="1" t="s">
        <v>9</v>
      </c>
      <c r="I4096" t="str">
        <f t="shared" si="63"/>
        <v>ASSORTED COLOUR SET 6 TEASPOONS [84969]</v>
      </c>
    </row>
    <row r="4097" spans="1:9" x14ac:dyDescent="0.3">
      <c r="A4097" s="1" t="s">
        <v>1363</v>
      </c>
      <c r="B4097" t="s">
        <v>1360</v>
      </c>
      <c r="C4097" s="1">
        <v>0.98</v>
      </c>
      <c r="D4097" s="1">
        <v>748</v>
      </c>
      <c r="E4097" s="1">
        <v>696</v>
      </c>
      <c r="F4097" s="1">
        <v>25</v>
      </c>
      <c r="G4097" s="1">
        <v>17177.04</v>
      </c>
      <c r="H4097" s="1" t="s">
        <v>10</v>
      </c>
      <c r="I4097" t="str">
        <f t="shared" si="63"/>
        <v>SINGLE HEART ZINC T-LIGHT HOLDER [84970L]</v>
      </c>
    </row>
    <row r="4098" spans="1:9" x14ac:dyDescent="0.3">
      <c r="A4098" s="1" t="s">
        <v>1362</v>
      </c>
      <c r="B4098" t="s">
        <v>1358</v>
      </c>
      <c r="C4098" s="1">
        <v>0.83</v>
      </c>
      <c r="D4098" s="1">
        <v>1104</v>
      </c>
      <c r="E4098" s="1">
        <v>1057.76</v>
      </c>
      <c r="F4098" s="1">
        <v>25</v>
      </c>
      <c r="G4098" s="2">
        <v>21794.26</v>
      </c>
      <c r="H4098" s="1" t="s">
        <v>10</v>
      </c>
      <c r="I4098" t="str">
        <f t="shared" si="63"/>
        <v>HANGING HEART ZINC T-LIGHT HOLDER [84970S]</v>
      </c>
    </row>
    <row r="4099" spans="1:9" x14ac:dyDescent="0.3">
      <c r="A4099" s="1" t="s">
        <v>1361</v>
      </c>
      <c r="B4099" t="s">
        <v>1360</v>
      </c>
      <c r="C4099" s="1">
        <v>2.08</v>
      </c>
      <c r="D4099" s="1">
        <v>9</v>
      </c>
      <c r="E4099" s="2">
        <v>13.705882352941099</v>
      </c>
      <c r="F4099" s="1">
        <v>17</v>
      </c>
      <c r="G4099" s="1">
        <v>487.14</v>
      </c>
      <c r="H4099" s="1" t="s">
        <v>8</v>
      </c>
      <c r="I4099" t="str">
        <f t="shared" ref="I4099:I4162" si="64">B4099&amp;" ["&amp;A4099&amp;"]"</f>
        <v>SINGLE HEART ZINC T-LIGHT HOLDER [84970l]</v>
      </c>
    </row>
    <row r="4100" spans="1:9" x14ac:dyDescent="0.3">
      <c r="A4100" s="1" t="s">
        <v>1359</v>
      </c>
      <c r="B4100" t="s">
        <v>1358</v>
      </c>
      <c r="C4100" s="1">
        <v>2.08</v>
      </c>
      <c r="D4100" s="1">
        <v>25.5</v>
      </c>
      <c r="E4100" s="1">
        <v>23.3125</v>
      </c>
      <c r="F4100" s="1">
        <v>16</v>
      </c>
      <c r="G4100" s="1">
        <v>784.04</v>
      </c>
      <c r="H4100" s="1" t="s">
        <v>9</v>
      </c>
      <c r="I4100" t="str">
        <f t="shared" si="64"/>
        <v>HANGING HEART ZINC T-LIGHT HOLDER [84970s]</v>
      </c>
    </row>
    <row r="4101" spans="1:9" x14ac:dyDescent="0.3">
      <c r="A4101" s="1" t="s">
        <v>1357</v>
      </c>
      <c r="B4101" t="s">
        <v>1354</v>
      </c>
      <c r="C4101" s="1">
        <v>1.29</v>
      </c>
      <c r="D4101" s="1">
        <v>121</v>
      </c>
      <c r="E4101" s="1">
        <v>117</v>
      </c>
      <c r="F4101" s="1">
        <v>5</v>
      </c>
      <c r="G4101" s="1">
        <v>723.51</v>
      </c>
      <c r="H4101" s="1" t="s">
        <v>10</v>
      </c>
      <c r="I4101" t="str">
        <f t="shared" si="64"/>
        <v>LARGE HEART FLOWERS HOOK [84971L]</v>
      </c>
    </row>
    <row r="4102" spans="1:9" x14ac:dyDescent="0.3">
      <c r="A4102" s="1" t="s">
        <v>1356</v>
      </c>
      <c r="B4102" t="s">
        <v>1352</v>
      </c>
      <c r="C4102" s="1">
        <v>0.88</v>
      </c>
      <c r="D4102" s="1">
        <v>199</v>
      </c>
      <c r="E4102" s="1">
        <v>259.56</v>
      </c>
      <c r="F4102" s="1">
        <v>25</v>
      </c>
      <c r="G4102" s="2">
        <v>5493.3099999999904</v>
      </c>
      <c r="H4102" s="1" t="s">
        <v>10</v>
      </c>
      <c r="I4102" t="str">
        <f t="shared" si="64"/>
        <v>SMALL HEART FLOWERS HOOK [84971S]</v>
      </c>
    </row>
    <row r="4103" spans="1:9" x14ac:dyDescent="0.3">
      <c r="A4103" s="1" t="s">
        <v>1355</v>
      </c>
      <c r="B4103" t="s">
        <v>1354</v>
      </c>
      <c r="C4103" s="1">
        <v>2.46</v>
      </c>
      <c r="D4103" s="1">
        <v>2</v>
      </c>
      <c r="E4103" s="1">
        <v>2</v>
      </c>
      <c r="F4103" s="1">
        <v>1</v>
      </c>
      <c r="G4103" s="1">
        <v>4.92</v>
      </c>
      <c r="H4103" s="1" t="s">
        <v>8</v>
      </c>
      <c r="I4103" t="str">
        <f t="shared" si="64"/>
        <v>LARGE HEART FLOWERS HOOK [84971l]</v>
      </c>
    </row>
    <row r="4104" spans="1:9" x14ac:dyDescent="0.3">
      <c r="A4104" s="1" t="s">
        <v>1353</v>
      </c>
      <c r="B4104" t="s">
        <v>1352</v>
      </c>
      <c r="C4104" s="1">
        <v>1.66</v>
      </c>
      <c r="D4104" s="1">
        <v>1</v>
      </c>
      <c r="E4104" s="1">
        <v>2</v>
      </c>
      <c r="F4104" s="1">
        <v>3</v>
      </c>
      <c r="G4104" s="2">
        <v>9.9599999999999902</v>
      </c>
      <c r="H4104" s="1" t="s">
        <v>8</v>
      </c>
      <c r="I4104" t="str">
        <f t="shared" si="64"/>
        <v>SMALL HEART FLOWERS HOOK [84971s]</v>
      </c>
    </row>
    <row r="4105" spans="1:9" x14ac:dyDescent="0.3">
      <c r="A4105" s="1" t="s">
        <v>1351</v>
      </c>
      <c r="B4105" t="s">
        <v>1350</v>
      </c>
      <c r="C4105" s="1">
        <v>3.95</v>
      </c>
      <c r="D4105" s="1">
        <v>31.5</v>
      </c>
      <c r="E4105" s="1">
        <v>29.25</v>
      </c>
      <c r="F4105" s="1">
        <v>4</v>
      </c>
      <c r="G4105" s="1">
        <v>462.15</v>
      </c>
      <c r="H4105" s="1" t="s">
        <v>9</v>
      </c>
      <c r="I4105" t="str">
        <f t="shared" si="64"/>
        <v>GIANT PINK HEART MEMO HOLDER [84972L]</v>
      </c>
    </row>
    <row r="4106" spans="1:9" x14ac:dyDescent="0.3">
      <c r="A4106" s="1">
        <v>84974</v>
      </c>
      <c r="B4106" t="s">
        <v>1349</v>
      </c>
      <c r="C4106" s="1">
        <v>9.9499999999999993</v>
      </c>
      <c r="D4106" s="1">
        <v>4</v>
      </c>
      <c r="E4106" s="2">
        <v>4.2380952380952301</v>
      </c>
      <c r="F4106" s="1">
        <v>21</v>
      </c>
      <c r="G4106" s="1">
        <v>879.55</v>
      </c>
      <c r="H4106" s="1" t="s">
        <v>8</v>
      </c>
      <c r="I4106" t="str">
        <f t="shared" si="64"/>
        <v>S/2 ZINC HEART DESIGN PLANTERS [84974]</v>
      </c>
    </row>
    <row r="4107" spans="1:9" x14ac:dyDescent="0.3">
      <c r="A4107" s="1">
        <v>84975</v>
      </c>
      <c r="B4107" t="s">
        <v>1348</v>
      </c>
      <c r="C4107" s="1">
        <v>1.68</v>
      </c>
      <c r="D4107" s="1">
        <v>162</v>
      </c>
      <c r="E4107" s="2">
        <v>153.07692307692301</v>
      </c>
      <c r="F4107" s="1">
        <v>13</v>
      </c>
      <c r="G4107" s="1">
        <v>3266.4</v>
      </c>
      <c r="H4107" s="1" t="s">
        <v>10</v>
      </c>
      <c r="I4107" t="str">
        <f t="shared" si="64"/>
        <v>HEART SHAPED MIRROR [84975]</v>
      </c>
    </row>
    <row r="4108" spans="1:9" x14ac:dyDescent="0.3">
      <c r="A4108" s="1">
        <v>84976</v>
      </c>
      <c r="B4108" t="s">
        <v>1347</v>
      </c>
      <c r="C4108" s="1">
        <v>1.69</v>
      </c>
      <c r="D4108" s="1">
        <v>7</v>
      </c>
      <c r="E4108" s="2">
        <v>29.3043478260869</v>
      </c>
      <c r="F4108" s="1">
        <v>23</v>
      </c>
      <c r="G4108" s="1">
        <v>722.76</v>
      </c>
      <c r="H4108" s="1" t="s">
        <v>8</v>
      </c>
      <c r="I4108" t="str">
        <f t="shared" si="64"/>
        <v>RECTANGULAR SHAPED MIRROR [84976]</v>
      </c>
    </row>
    <row r="4109" spans="1:9" x14ac:dyDescent="0.3">
      <c r="A4109" s="1">
        <v>84977</v>
      </c>
      <c r="B4109" t="s">
        <v>1346</v>
      </c>
      <c r="C4109" s="1">
        <v>1.25</v>
      </c>
      <c r="D4109" s="1">
        <v>16</v>
      </c>
      <c r="E4109" s="2">
        <v>17.1538461538461</v>
      </c>
      <c r="F4109" s="1">
        <v>13</v>
      </c>
      <c r="G4109" s="1">
        <v>281.33</v>
      </c>
      <c r="H4109" s="1" t="s">
        <v>9</v>
      </c>
      <c r="I4109" t="str">
        <f t="shared" si="64"/>
        <v>WIRE FLOWER T-LIGHT HOLDER [84977]</v>
      </c>
    </row>
    <row r="4110" spans="1:9" x14ac:dyDescent="0.3">
      <c r="A4110" s="1">
        <v>84978</v>
      </c>
      <c r="B4110" t="s">
        <v>1345</v>
      </c>
      <c r="C4110" s="1">
        <v>1.27</v>
      </c>
      <c r="D4110" s="1">
        <v>782</v>
      </c>
      <c r="E4110" s="1">
        <v>867.56</v>
      </c>
      <c r="F4110" s="1">
        <v>25</v>
      </c>
      <c r="G4110" s="1">
        <v>28475.96</v>
      </c>
      <c r="H4110" s="1" t="s">
        <v>10</v>
      </c>
      <c r="I4110" t="str">
        <f t="shared" si="64"/>
        <v>HANGING HEART JAR T-LIGHT HOLDER [84978]</v>
      </c>
    </row>
    <row r="4111" spans="1:9" x14ac:dyDescent="0.3">
      <c r="A4111" s="1" t="s">
        <v>1344</v>
      </c>
      <c r="B4111" t="s">
        <v>1343</v>
      </c>
      <c r="C4111" s="1">
        <v>4.6500000000000004</v>
      </c>
      <c r="D4111" s="1">
        <v>3</v>
      </c>
      <c r="E4111" s="1">
        <v>4</v>
      </c>
      <c r="F4111" s="1">
        <v>8</v>
      </c>
      <c r="G4111" s="1">
        <v>156.02000000000001</v>
      </c>
      <c r="H4111" s="1" t="s">
        <v>8</v>
      </c>
      <c r="I4111" t="str">
        <f t="shared" si="64"/>
        <v>GREEN PEONY DES C/COVER [84984A]</v>
      </c>
    </row>
    <row r="4112" spans="1:9" x14ac:dyDescent="0.3">
      <c r="A4112" s="1" t="s">
        <v>1342</v>
      </c>
      <c r="B4112" t="s">
        <v>1341</v>
      </c>
      <c r="C4112" s="1">
        <v>4.6500000000000004</v>
      </c>
      <c r="D4112" s="1">
        <v>4</v>
      </c>
      <c r="E4112" s="2">
        <v>4.6666666666666599</v>
      </c>
      <c r="F4112" s="1">
        <v>9</v>
      </c>
      <c r="G4112" s="1">
        <v>191.3</v>
      </c>
      <c r="H4112" s="1" t="s">
        <v>8</v>
      </c>
      <c r="I4112" t="str">
        <f t="shared" si="64"/>
        <v>RED PEONY DES C/COVER [84984B]</v>
      </c>
    </row>
    <row r="4113" spans="1:9" x14ac:dyDescent="0.3">
      <c r="A4113" s="1" t="s">
        <v>1340</v>
      </c>
      <c r="B4113" t="s">
        <v>1339</v>
      </c>
      <c r="C4113" s="1">
        <v>4.6500000000000004</v>
      </c>
      <c r="D4113" s="1">
        <v>4.5</v>
      </c>
      <c r="E4113" s="2">
        <v>38.6666666666666</v>
      </c>
      <c r="F4113" s="1">
        <v>6</v>
      </c>
      <c r="G4113" s="1">
        <v>401.16</v>
      </c>
      <c r="H4113" s="1" t="s">
        <v>8</v>
      </c>
      <c r="I4113" t="str">
        <f t="shared" si="64"/>
        <v>ORIENTAL BLUE C/COVER [84984C]</v>
      </c>
    </row>
    <row r="4114" spans="1:9" x14ac:dyDescent="0.3">
      <c r="A4114" s="1" t="s">
        <v>1338</v>
      </c>
      <c r="B4114" t="s">
        <v>1337</v>
      </c>
      <c r="C4114" s="1">
        <v>4.6500000000000004</v>
      </c>
      <c r="D4114" s="1">
        <v>5</v>
      </c>
      <c r="E4114" s="1">
        <v>5.875</v>
      </c>
      <c r="F4114" s="1">
        <v>8</v>
      </c>
      <c r="G4114" s="1">
        <v>258.11</v>
      </c>
      <c r="H4114" s="1" t="s">
        <v>8</v>
      </c>
      <c r="I4114" t="str">
        <f t="shared" si="64"/>
        <v>ORIENTAL RED C/COVER [84984D]</v>
      </c>
    </row>
    <row r="4115" spans="1:9" x14ac:dyDescent="0.3">
      <c r="A4115" s="1" t="s">
        <v>1336</v>
      </c>
      <c r="B4115" t="s">
        <v>1333</v>
      </c>
      <c r="C4115" s="2">
        <v>1.5349999999999999</v>
      </c>
      <c r="D4115" s="1">
        <v>35</v>
      </c>
      <c r="E4115" s="1">
        <v>40.25</v>
      </c>
      <c r="F4115" s="1">
        <v>16</v>
      </c>
      <c r="G4115" s="1">
        <v>1018.13</v>
      </c>
      <c r="H4115" s="1" t="s">
        <v>9</v>
      </c>
      <c r="I4115" t="str">
        <f t="shared" si="64"/>
        <v>SET OF 72 GREEN PAPER DOILIES [84985A]</v>
      </c>
    </row>
    <row r="4116" spans="1:9" x14ac:dyDescent="0.3">
      <c r="A4116" s="1" t="s">
        <v>1335</v>
      </c>
      <c r="B4116" t="s">
        <v>1331</v>
      </c>
      <c r="C4116" s="1">
        <v>1.5</v>
      </c>
      <c r="D4116" s="1">
        <v>31.5</v>
      </c>
      <c r="E4116" s="1">
        <v>32</v>
      </c>
      <c r="F4116" s="1">
        <v>4</v>
      </c>
      <c r="G4116" s="1">
        <v>194.96</v>
      </c>
      <c r="H4116" s="1" t="s">
        <v>9</v>
      </c>
      <c r="I4116" t="str">
        <f t="shared" si="64"/>
        <v>SET OF 72 BLACK PAPER DOILIES [84985B]</v>
      </c>
    </row>
    <row r="4117" spans="1:9" x14ac:dyDescent="0.3">
      <c r="A4117" s="1" t="s">
        <v>1334</v>
      </c>
      <c r="B4117" t="s">
        <v>1333</v>
      </c>
      <c r="C4117" s="1">
        <v>2.98</v>
      </c>
      <c r="D4117" s="1">
        <v>2</v>
      </c>
      <c r="E4117" s="1">
        <v>2</v>
      </c>
      <c r="F4117" s="1">
        <v>5</v>
      </c>
      <c r="G4117" s="1">
        <v>29.8</v>
      </c>
      <c r="H4117" s="1" t="s">
        <v>8</v>
      </c>
      <c r="I4117" t="str">
        <f t="shared" si="64"/>
        <v>SET OF 72 GREEN PAPER DOILIES [84985a]</v>
      </c>
    </row>
    <row r="4118" spans="1:9" x14ac:dyDescent="0.3">
      <c r="A4118" s="1" t="s">
        <v>1332</v>
      </c>
      <c r="B4118" t="s">
        <v>1331</v>
      </c>
      <c r="C4118" s="1">
        <v>2.98</v>
      </c>
      <c r="D4118" s="1">
        <v>1</v>
      </c>
      <c r="E4118" s="1">
        <v>1</v>
      </c>
      <c r="F4118" s="1">
        <v>1</v>
      </c>
      <c r="G4118" s="1">
        <v>2.98</v>
      </c>
      <c r="H4118" s="1" t="s">
        <v>8</v>
      </c>
      <c r="I4118" t="str">
        <f t="shared" si="64"/>
        <v>SET OF 72 BLACK PAPER DOILIES [84985b]</v>
      </c>
    </row>
    <row r="4119" spans="1:9" x14ac:dyDescent="0.3">
      <c r="A4119" s="1" t="s">
        <v>1330</v>
      </c>
      <c r="B4119" t="s">
        <v>1328</v>
      </c>
      <c r="C4119" s="1">
        <v>1.45</v>
      </c>
      <c r="D4119" s="1">
        <v>37</v>
      </c>
      <c r="E4119" s="2">
        <v>39.272727272727202</v>
      </c>
      <c r="F4119" s="1">
        <v>11</v>
      </c>
      <c r="G4119" s="1">
        <v>639.05999999999995</v>
      </c>
      <c r="H4119" s="1" t="s">
        <v>9</v>
      </c>
      <c r="I4119" t="str">
        <f t="shared" si="64"/>
        <v>SET OF 36 SILVER PAPER DOILIES [84986B]</v>
      </c>
    </row>
    <row r="4120" spans="1:9" x14ac:dyDescent="0.3">
      <c r="A4120" s="1" t="s">
        <v>1329</v>
      </c>
      <c r="B4120" t="s">
        <v>1328</v>
      </c>
      <c r="C4120" s="1">
        <v>2.98</v>
      </c>
      <c r="D4120" s="1">
        <v>1</v>
      </c>
      <c r="E4120" s="1">
        <v>1.5</v>
      </c>
      <c r="F4120" s="1">
        <v>4</v>
      </c>
      <c r="G4120" s="1">
        <v>17.88</v>
      </c>
      <c r="H4120" s="1" t="s">
        <v>8</v>
      </c>
      <c r="I4120" t="str">
        <f t="shared" si="64"/>
        <v>SET OF 36 SILVER PAPER DOILIES [84986b]</v>
      </c>
    </row>
    <row r="4121" spans="1:9" x14ac:dyDescent="0.3">
      <c r="A4121" s="1">
        <v>84987</v>
      </c>
      <c r="B4121" t="s">
        <v>1327</v>
      </c>
      <c r="C4121" s="1">
        <v>1.47</v>
      </c>
      <c r="D4121" s="1">
        <v>341</v>
      </c>
      <c r="E4121" s="1">
        <v>325.52</v>
      </c>
      <c r="F4121" s="1">
        <v>25</v>
      </c>
      <c r="G4121" s="1">
        <v>11864.15</v>
      </c>
      <c r="H4121" s="1" t="s">
        <v>10</v>
      </c>
      <c r="I4121" t="str">
        <f t="shared" si="64"/>
        <v>SET OF 36 TEATIME PAPER DOILIES [84987]</v>
      </c>
    </row>
    <row r="4122" spans="1:9" x14ac:dyDescent="0.3">
      <c r="A4122" s="1">
        <v>84988</v>
      </c>
      <c r="B4122" t="s">
        <v>1326</v>
      </c>
      <c r="C4122" s="1">
        <v>1.6</v>
      </c>
      <c r="D4122" s="1">
        <v>309</v>
      </c>
      <c r="E4122" s="1">
        <v>332.2</v>
      </c>
      <c r="F4122" s="1">
        <v>25</v>
      </c>
      <c r="G4122" s="1">
        <v>12913.24</v>
      </c>
      <c r="H4122" s="1" t="s">
        <v>10</v>
      </c>
      <c r="I4122" t="str">
        <f t="shared" si="64"/>
        <v>SET OF 72 PINK HEART PAPER DOILIES [84988]</v>
      </c>
    </row>
    <row r="4123" spans="1:9" x14ac:dyDescent="0.3">
      <c r="A4123" s="1" t="s">
        <v>1325</v>
      </c>
      <c r="B4123" t="s">
        <v>1322</v>
      </c>
      <c r="C4123" s="1">
        <v>0.55000000000000004</v>
      </c>
      <c r="D4123" s="1">
        <v>35.5</v>
      </c>
      <c r="E4123" s="1">
        <v>106</v>
      </c>
      <c r="F4123" s="1">
        <v>20</v>
      </c>
      <c r="G4123" s="1">
        <v>1093.42</v>
      </c>
      <c r="H4123" s="1" t="s">
        <v>9</v>
      </c>
      <c r="I4123" t="str">
        <f t="shared" si="64"/>
        <v>75 GREEN FAIRY CAKE CASES [84989A]</v>
      </c>
    </row>
    <row r="4124" spans="1:9" x14ac:dyDescent="0.3">
      <c r="A4124" s="1" t="s">
        <v>1324</v>
      </c>
      <c r="B4124" t="s">
        <v>1320</v>
      </c>
      <c r="C4124" s="1">
        <v>0.55000000000000004</v>
      </c>
      <c r="D4124" s="1">
        <v>118</v>
      </c>
      <c r="E4124" s="2">
        <v>112.111111111111</v>
      </c>
      <c r="F4124" s="1">
        <v>9</v>
      </c>
      <c r="G4124" s="2">
        <v>510.15</v>
      </c>
      <c r="H4124" s="1" t="s">
        <v>10</v>
      </c>
      <c r="I4124" t="str">
        <f t="shared" si="64"/>
        <v>75 BLACK FAIRY CAKE CASES [84989B]</v>
      </c>
    </row>
    <row r="4125" spans="1:9" x14ac:dyDescent="0.3">
      <c r="A4125" s="1" t="s">
        <v>1323</v>
      </c>
      <c r="B4125" t="s">
        <v>1322</v>
      </c>
      <c r="C4125" s="1">
        <v>2.08</v>
      </c>
      <c r="D4125" s="1">
        <v>5</v>
      </c>
      <c r="E4125" s="2">
        <v>4.93333333333333</v>
      </c>
      <c r="F4125" s="1">
        <v>15</v>
      </c>
      <c r="G4125" s="1">
        <v>150.57</v>
      </c>
      <c r="H4125" s="1" t="s">
        <v>8</v>
      </c>
      <c r="I4125" t="str">
        <f t="shared" si="64"/>
        <v>75 GREEN FAIRY CAKE CASES [84989a]</v>
      </c>
    </row>
    <row r="4126" spans="1:9" x14ac:dyDescent="0.3">
      <c r="A4126" s="1" t="s">
        <v>1321</v>
      </c>
      <c r="B4126" t="s">
        <v>1320</v>
      </c>
      <c r="C4126" s="1">
        <v>1.28</v>
      </c>
      <c r="D4126" s="1">
        <v>5</v>
      </c>
      <c r="E4126" s="1">
        <v>5</v>
      </c>
      <c r="F4126" s="1">
        <v>2</v>
      </c>
      <c r="G4126" s="2">
        <v>12.799999999999899</v>
      </c>
      <c r="H4126" s="1" t="s">
        <v>8</v>
      </c>
      <c r="I4126" t="str">
        <f t="shared" si="64"/>
        <v>75 BLACK FAIRY CAKE CASES [84989b]</v>
      </c>
    </row>
    <row r="4127" spans="1:9" x14ac:dyDescent="0.3">
      <c r="A4127" s="1">
        <v>84990</v>
      </c>
      <c r="B4127" t="s">
        <v>1319</v>
      </c>
      <c r="C4127" s="1">
        <v>0.52500000000000002</v>
      </c>
      <c r="D4127" s="1">
        <v>350</v>
      </c>
      <c r="E4127" s="2">
        <v>303.42857142857099</v>
      </c>
      <c r="F4127" s="1">
        <v>14</v>
      </c>
      <c r="G4127" s="1">
        <v>2062.19</v>
      </c>
      <c r="H4127" s="1" t="s">
        <v>10</v>
      </c>
      <c r="I4127" t="str">
        <f t="shared" si="64"/>
        <v>60 GOLD AND SILVER FAIRY CAKE CASES [84990]</v>
      </c>
    </row>
    <row r="4128" spans="1:9" x14ac:dyDescent="0.3">
      <c r="A4128" s="1">
        <v>84991</v>
      </c>
      <c r="B4128" t="s">
        <v>1318</v>
      </c>
      <c r="C4128" s="1">
        <v>0.5</v>
      </c>
      <c r="D4128" s="1">
        <v>2268</v>
      </c>
      <c r="E4128" s="1">
        <v>2161.12</v>
      </c>
      <c r="F4128" s="1">
        <v>25</v>
      </c>
      <c r="G4128" s="1">
        <v>27041.21</v>
      </c>
      <c r="H4128" s="1" t="s">
        <v>10</v>
      </c>
      <c r="I4128" t="str">
        <f t="shared" si="64"/>
        <v>60 TEATIME FAIRY CAKE CASES [84991]</v>
      </c>
    </row>
    <row r="4129" spans="1:9" x14ac:dyDescent="0.3">
      <c r="A4129" s="1">
        <v>84992</v>
      </c>
      <c r="B4129" t="s">
        <v>1317</v>
      </c>
      <c r="C4129" s="1">
        <v>0.5</v>
      </c>
      <c r="D4129" s="1">
        <v>1469</v>
      </c>
      <c r="E4129" s="1">
        <v>1391.88</v>
      </c>
      <c r="F4129" s="1">
        <v>25</v>
      </c>
      <c r="G4129" s="1">
        <v>17259.849999999999</v>
      </c>
      <c r="H4129" s="1" t="s">
        <v>10</v>
      </c>
      <c r="I4129" t="str">
        <f t="shared" si="64"/>
        <v>72 SWEETHEART FAIRY CAKE CASES [84992]</v>
      </c>
    </row>
    <row r="4130" spans="1:9" x14ac:dyDescent="0.3">
      <c r="A4130" s="1" t="s">
        <v>1316</v>
      </c>
      <c r="B4130" t="s">
        <v>1313</v>
      </c>
      <c r="C4130" s="1">
        <v>0.44</v>
      </c>
      <c r="D4130" s="1">
        <v>42</v>
      </c>
      <c r="E4130" s="1">
        <v>58.84</v>
      </c>
      <c r="F4130" s="1">
        <v>25</v>
      </c>
      <c r="G4130" s="1">
        <v>648.61</v>
      </c>
      <c r="H4130" s="1" t="s">
        <v>9</v>
      </c>
      <c r="I4130" t="str">
        <f t="shared" si="64"/>
        <v>75 GREEN PETIT FOUR CASES [84993A]</v>
      </c>
    </row>
    <row r="4131" spans="1:9" x14ac:dyDescent="0.3">
      <c r="A4131" s="1" t="s">
        <v>1315</v>
      </c>
      <c r="B4131" t="s">
        <v>1311</v>
      </c>
      <c r="C4131" s="1">
        <v>0.42</v>
      </c>
      <c r="D4131" s="1">
        <v>14.5</v>
      </c>
      <c r="E4131" s="2">
        <v>30.6111111111111</v>
      </c>
      <c r="F4131" s="1">
        <v>18</v>
      </c>
      <c r="G4131" s="1">
        <v>243.66</v>
      </c>
      <c r="H4131" s="1" t="s">
        <v>9</v>
      </c>
      <c r="I4131" t="str">
        <f t="shared" si="64"/>
        <v>75 BLACK PETIT FOUR CASES [84993B]</v>
      </c>
    </row>
    <row r="4132" spans="1:9" x14ac:dyDescent="0.3">
      <c r="A4132" s="1" t="s">
        <v>1314</v>
      </c>
      <c r="B4132" t="s">
        <v>1313</v>
      </c>
      <c r="C4132" s="1">
        <v>0.83</v>
      </c>
      <c r="D4132" s="1">
        <v>2</v>
      </c>
      <c r="E4132" s="1">
        <v>2.5499999999999998</v>
      </c>
      <c r="F4132" s="1">
        <v>20</v>
      </c>
      <c r="G4132" s="1">
        <v>42.71</v>
      </c>
      <c r="H4132" s="1" t="s">
        <v>8</v>
      </c>
      <c r="I4132" t="str">
        <f t="shared" si="64"/>
        <v>75 GREEN PETIT FOUR CASES [84993a]</v>
      </c>
    </row>
    <row r="4133" spans="1:9" x14ac:dyDescent="0.3">
      <c r="A4133" s="1" t="s">
        <v>1312</v>
      </c>
      <c r="B4133" t="s">
        <v>1311</v>
      </c>
      <c r="C4133" s="1">
        <v>0.85</v>
      </c>
      <c r="D4133" s="1">
        <v>5</v>
      </c>
      <c r="E4133" s="1">
        <v>5</v>
      </c>
      <c r="F4133" s="1">
        <v>4</v>
      </c>
      <c r="G4133" s="2">
        <v>16.989999999999998</v>
      </c>
      <c r="H4133" s="1" t="s">
        <v>8</v>
      </c>
      <c r="I4133" t="str">
        <f t="shared" si="64"/>
        <v>75 BLACK PETIT FOUR CASES [84993b]</v>
      </c>
    </row>
    <row r="4134" spans="1:9" x14ac:dyDescent="0.3">
      <c r="A4134" s="1" t="s">
        <v>1310</v>
      </c>
      <c r="B4134" t="s">
        <v>1305</v>
      </c>
      <c r="C4134" s="1">
        <v>3.75</v>
      </c>
      <c r="D4134" s="1">
        <v>160</v>
      </c>
      <c r="E4134" s="2">
        <v>178.79310344827499</v>
      </c>
      <c r="F4134" s="1">
        <v>24</v>
      </c>
      <c r="G4134" s="1">
        <v>19400.7</v>
      </c>
      <c r="H4134" s="1" t="s">
        <v>10</v>
      </c>
      <c r="I4134" t="str">
        <f t="shared" si="64"/>
        <v>GREEN 3 PIECE MINI DOTS CUTLERY SET [84997A]</v>
      </c>
    </row>
    <row r="4135" spans="1:9" x14ac:dyDescent="0.3">
      <c r="A4135" s="1" t="s">
        <v>1309</v>
      </c>
      <c r="B4135" t="s">
        <v>1303</v>
      </c>
      <c r="C4135" s="1">
        <v>3.7549999999999999</v>
      </c>
      <c r="D4135" s="1">
        <v>315.5</v>
      </c>
      <c r="E4135" s="2">
        <v>308.56666666666598</v>
      </c>
      <c r="F4135" s="1">
        <v>25</v>
      </c>
      <c r="G4135" s="1">
        <v>34488.07</v>
      </c>
      <c r="H4135" s="1" t="s">
        <v>10</v>
      </c>
      <c r="I4135" t="str">
        <f t="shared" si="64"/>
        <v>RED 3 PIECE MINI DOTS CUTLERY SET [84997B]</v>
      </c>
    </row>
    <row r="4136" spans="1:9" x14ac:dyDescent="0.3">
      <c r="A4136" s="1" t="s">
        <v>1308</v>
      </c>
      <c r="B4136" t="s">
        <v>1301</v>
      </c>
      <c r="C4136" s="1">
        <v>3.75</v>
      </c>
      <c r="D4136" s="1">
        <v>245</v>
      </c>
      <c r="E4136" s="2">
        <v>283.806451612903</v>
      </c>
      <c r="F4136" s="1">
        <v>25</v>
      </c>
      <c r="G4136" s="1">
        <v>32740.36</v>
      </c>
      <c r="H4136" s="1" t="s">
        <v>10</v>
      </c>
      <c r="I4136" t="str">
        <f t="shared" si="64"/>
        <v>BLUE 3 PIECE MINI DOTS CUTLERY SET [84997C]</v>
      </c>
    </row>
    <row r="4137" spans="1:9" x14ac:dyDescent="0.3">
      <c r="A4137" s="1" t="s">
        <v>1307</v>
      </c>
      <c r="B4137" t="s">
        <v>1299</v>
      </c>
      <c r="C4137" s="1">
        <v>3.77</v>
      </c>
      <c r="D4137" s="1">
        <v>360</v>
      </c>
      <c r="E4137" s="2">
        <v>367.34482758620601</v>
      </c>
      <c r="F4137" s="1">
        <v>24</v>
      </c>
      <c r="G4137" s="1">
        <v>39875.14</v>
      </c>
      <c r="H4137" s="1" t="s">
        <v>10</v>
      </c>
      <c r="I4137" t="str">
        <f t="shared" si="64"/>
        <v>PINK 3 PIECE MINI DOTS CUTLERY SET [84997D]</v>
      </c>
    </row>
    <row r="4138" spans="1:9" x14ac:dyDescent="0.3">
      <c r="A4138" s="1" t="s">
        <v>1306</v>
      </c>
      <c r="B4138" t="s">
        <v>1305</v>
      </c>
      <c r="C4138" s="1">
        <v>8.2899999999999991</v>
      </c>
      <c r="D4138" s="1">
        <v>7.5</v>
      </c>
      <c r="E4138" s="1">
        <v>8.9</v>
      </c>
      <c r="F4138" s="1">
        <v>18</v>
      </c>
      <c r="G4138" s="1">
        <v>1481.78</v>
      </c>
      <c r="H4138" s="1" t="s">
        <v>8</v>
      </c>
      <c r="I4138" t="str">
        <f t="shared" si="64"/>
        <v>GREEN 3 PIECE MINI DOTS CUTLERY SET [84997a]</v>
      </c>
    </row>
    <row r="4139" spans="1:9" x14ac:dyDescent="0.3">
      <c r="A4139" s="1" t="s">
        <v>1304</v>
      </c>
      <c r="B4139" t="s">
        <v>1303</v>
      </c>
      <c r="C4139" s="1">
        <v>8.35</v>
      </c>
      <c r="D4139" s="1">
        <v>27</v>
      </c>
      <c r="E4139" s="2">
        <v>27.052631578947299</v>
      </c>
      <c r="F4139" s="1">
        <v>17</v>
      </c>
      <c r="G4139" s="1">
        <v>4322.57</v>
      </c>
      <c r="H4139" s="1" t="s">
        <v>9</v>
      </c>
      <c r="I4139" t="str">
        <f t="shared" si="64"/>
        <v>RED 3 PIECE MINI DOTS CUTLERY SET [84997b]</v>
      </c>
    </row>
    <row r="4140" spans="1:9" x14ac:dyDescent="0.3">
      <c r="A4140" s="1" t="s">
        <v>1302</v>
      </c>
      <c r="B4140" t="s">
        <v>1301</v>
      </c>
      <c r="C4140" s="1">
        <v>8.4149999999999991</v>
      </c>
      <c r="D4140" s="1">
        <v>16</v>
      </c>
      <c r="E4140" s="2">
        <v>19.6111111111111</v>
      </c>
      <c r="F4140" s="1">
        <v>16</v>
      </c>
      <c r="G4140" s="1">
        <v>2958.87</v>
      </c>
      <c r="H4140" s="1" t="s">
        <v>9</v>
      </c>
      <c r="I4140" t="str">
        <f t="shared" si="64"/>
        <v>BLUE 3 PIECE MINI DOTS CUTLERY SET [84997c]</v>
      </c>
    </row>
    <row r="4141" spans="1:9" x14ac:dyDescent="0.3">
      <c r="A4141" s="1" t="s">
        <v>1300</v>
      </c>
      <c r="B4141" t="s">
        <v>1299</v>
      </c>
      <c r="C4141" s="1">
        <v>8.2899999999999991</v>
      </c>
      <c r="D4141" s="1">
        <v>17</v>
      </c>
      <c r="E4141" s="2">
        <v>21.823529411764699</v>
      </c>
      <c r="F4141" s="1">
        <v>16</v>
      </c>
      <c r="G4141" s="1">
        <v>3097.38</v>
      </c>
      <c r="H4141" s="1" t="s">
        <v>9</v>
      </c>
      <c r="I4141" t="str">
        <f t="shared" si="64"/>
        <v>PINK 3 PIECE MINI DOTS CUTLERY SET [84997d]</v>
      </c>
    </row>
    <row r="4142" spans="1:9" x14ac:dyDescent="0.3">
      <c r="A4142" s="1">
        <v>85006</v>
      </c>
      <c r="B4142" t="s">
        <v>1298</v>
      </c>
      <c r="C4142" s="1">
        <v>2.95</v>
      </c>
      <c r="D4142" s="1">
        <v>7</v>
      </c>
      <c r="E4142" s="2">
        <v>13.636363636363599</v>
      </c>
      <c r="F4142" s="1">
        <v>11</v>
      </c>
      <c r="G4142" s="1">
        <v>340.46</v>
      </c>
      <c r="H4142" s="1" t="s">
        <v>8</v>
      </c>
      <c r="I4142" t="str">
        <f t="shared" si="64"/>
        <v>SET 4 NURSERY DES ROUND BOXES [85006]</v>
      </c>
    </row>
    <row r="4143" spans="1:9" x14ac:dyDescent="0.3">
      <c r="A4143" s="1">
        <v>85007</v>
      </c>
      <c r="B4143" t="s">
        <v>1297</v>
      </c>
      <c r="C4143" s="2">
        <v>2.78</v>
      </c>
      <c r="D4143" s="1">
        <v>36</v>
      </c>
      <c r="E4143" s="1">
        <v>35.75</v>
      </c>
      <c r="F4143" s="1">
        <v>4</v>
      </c>
      <c r="G4143" s="1">
        <v>399.62</v>
      </c>
      <c r="H4143" s="1" t="s">
        <v>9</v>
      </c>
      <c r="I4143" t="str">
        <f t="shared" si="64"/>
        <v>SET OF 3 VINTAGE TEA TIME BOXES [85007]</v>
      </c>
    </row>
    <row r="4144" spans="1:9" x14ac:dyDescent="0.3">
      <c r="A4144" s="1">
        <v>85008</v>
      </c>
      <c r="B4144" t="s">
        <v>1296</v>
      </c>
      <c r="C4144" s="1">
        <v>4.95</v>
      </c>
      <c r="D4144" s="1">
        <v>13.5</v>
      </c>
      <c r="E4144" s="1">
        <v>16.8125</v>
      </c>
      <c r="F4144" s="1">
        <v>16</v>
      </c>
      <c r="G4144" s="1">
        <v>1058.72</v>
      </c>
      <c r="H4144" s="1" t="s">
        <v>9</v>
      </c>
      <c r="I4144" t="str">
        <f t="shared" si="64"/>
        <v>SET OF 3 CONEY ISLAND OVAL BOXES [85008]</v>
      </c>
    </row>
    <row r="4145" spans="1:9" x14ac:dyDescent="0.3">
      <c r="A4145" s="1" t="s">
        <v>1295</v>
      </c>
      <c r="B4145" t="s">
        <v>1288</v>
      </c>
      <c r="C4145" s="1">
        <v>5.95</v>
      </c>
      <c r="D4145" s="1">
        <v>98</v>
      </c>
      <c r="E4145" s="2">
        <v>165.10714285714201</v>
      </c>
      <c r="F4145" s="1">
        <v>25</v>
      </c>
      <c r="G4145" s="1">
        <v>21797.58</v>
      </c>
      <c r="H4145" s="1" t="s">
        <v>10</v>
      </c>
      <c r="I4145" t="str">
        <f t="shared" si="64"/>
        <v>BLACK/BLUE DOTS RUFFLED UMBRELLA [85014A]</v>
      </c>
    </row>
    <row r="4146" spans="1:9" x14ac:dyDescent="0.3">
      <c r="A4146" s="1" t="s">
        <v>1294</v>
      </c>
      <c r="B4146" t="s">
        <v>1286</v>
      </c>
      <c r="C4146" s="1">
        <v>5.93</v>
      </c>
      <c r="D4146" s="1">
        <v>152</v>
      </c>
      <c r="E4146" s="2">
        <v>219.82142857142799</v>
      </c>
      <c r="F4146" s="1">
        <v>25</v>
      </c>
      <c r="G4146" s="2">
        <v>30776.5799999999</v>
      </c>
      <c r="H4146" s="1" t="s">
        <v>10</v>
      </c>
      <c r="I4146" t="str">
        <f t="shared" si="64"/>
        <v>RED/WHITE DOTS RUFFLED UMBRELLA [85014B]</v>
      </c>
    </row>
    <row r="4147" spans="1:9" x14ac:dyDescent="0.3">
      <c r="A4147" s="1" t="s">
        <v>1293</v>
      </c>
      <c r="B4147" t="s">
        <v>1292</v>
      </c>
      <c r="C4147" s="1">
        <v>5.95</v>
      </c>
      <c r="D4147" s="1">
        <v>18</v>
      </c>
      <c r="E4147" s="2">
        <v>78.142857142857096</v>
      </c>
      <c r="F4147" s="1">
        <v>7</v>
      </c>
      <c r="G4147" s="1">
        <v>2270.73</v>
      </c>
      <c r="H4147" s="1" t="s">
        <v>9</v>
      </c>
      <c r="I4147" t="str">
        <f t="shared" si="64"/>
        <v>BLUE/BROWN DOTS RUFFLED UMBRELLA [85014C]</v>
      </c>
    </row>
    <row r="4148" spans="1:9" x14ac:dyDescent="0.3">
      <c r="A4148" s="1" t="s">
        <v>1291</v>
      </c>
      <c r="B4148" t="s">
        <v>1290</v>
      </c>
      <c r="C4148" s="1">
        <v>4.375</v>
      </c>
      <c r="D4148" s="1">
        <v>291.5</v>
      </c>
      <c r="E4148" s="1">
        <v>479.5</v>
      </c>
      <c r="F4148" s="1">
        <v>4</v>
      </c>
      <c r="G4148" s="2">
        <v>6664.45</v>
      </c>
      <c r="H4148" s="1" t="s">
        <v>10</v>
      </c>
      <c r="I4148" t="str">
        <f t="shared" si="64"/>
        <v>PINK/BROWN DOTS RUFFLED UMBRELLA [85014D]</v>
      </c>
    </row>
    <row r="4149" spans="1:9" x14ac:dyDescent="0.3">
      <c r="A4149" s="1" t="s">
        <v>1289</v>
      </c>
      <c r="B4149" t="s">
        <v>1288</v>
      </c>
      <c r="C4149" s="1">
        <v>12.46</v>
      </c>
      <c r="D4149" s="1">
        <v>2.5</v>
      </c>
      <c r="E4149" s="1">
        <v>2.75</v>
      </c>
      <c r="F4149" s="1">
        <v>12</v>
      </c>
      <c r="G4149" s="1">
        <v>416.12</v>
      </c>
      <c r="H4149" s="1" t="s">
        <v>8</v>
      </c>
      <c r="I4149" t="str">
        <f t="shared" si="64"/>
        <v>BLACK/BLUE DOTS RUFFLED UMBRELLA [85014a]</v>
      </c>
    </row>
    <row r="4150" spans="1:9" x14ac:dyDescent="0.3">
      <c r="A4150" s="1" t="s">
        <v>1287</v>
      </c>
      <c r="B4150" t="s">
        <v>1286</v>
      </c>
      <c r="C4150" s="1">
        <v>12.46</v>
      </c>
      <c r="D4150" s="1">
        <v>2</v>
      </c>
      <c r="E4150" s="1">
        <v>2.6</v>
      </c>
      <c r="F4150" s="1">
        <v>15</v>
      </c>
      <c r="G4150" s="1">
        <v>491.42</v>
      </c>
      <c r="H4150" s="1" t="s">
        <v>8</v>
      </c>
      <c r="I4150" t="str">
        <f t="shared" si="64"/>
        <v>RED/WHITE DOTS RUFFLED UMBRELLA [85014b]</v>
      </c>
    </row>
    <row r="4151" spans="1:9" x14ac:dyDescent="0.3">
      <c r="A4151" s="1">
        <v>85015</v>
      </c>
      <c r="B4151" t="s">
        <v>1285</v>
      </c>
      <c r="C4151" s="1">
        <v>2.5299999999999998</v>
      </c>
      <c r="D4151" s="1">
        <v>35</v>
      </c>
      <c r="E4151" s="2">
        <v>73.105263157894697</v>
      </c>
      <c r="F4151" s="1">
        <v>19</v>
      </c>
      <c r="G4151" s="1">
        <v>1744.55</v>
      </c>
      <c r="H4151" s="1" t="s">
        <v>9</v>
      </c>
      <c r="I4151" t="str">
        <f t="shared" si="64"/>
        <v>SET OF 12  VINTAGE POSTCARD SET [85015]</v>
      </c>
    </row>
    <row r="4152" spans="1:9" x14ac:dyDescent="0.3">
      <c r="A4152" s="1">
        <v>85016</v>
      </c>
      <c r="B4152" t="s">
        <v>1284</v>
      </c>
      <c r="C4152" s="1">
        <v>2.52</v>
      </c>
      <c r="D4152" s="1">
        <v>35</v>
      </c>
      <c r="E4152" s="2">
        <v>91.411764705882305</v>
      </c>
      <c r="F4152" s="1">
        <v>17</v>
      </c>
      <c r="G4152" s="1">
        <v>1948.37</v>
      </c>
      <c r="H4152" s="1" t="s">
        <v>9</v>
      </c>
      <c r="I4152" t="str">
        <f t="shared" si="64"/>
        <v>SET OF 6 VINTAGE NOTELETS KIT [85016]</v>
      </c>
    </row>
    <row r="4153" spans="1:9" x14ac:dyDescent="0.3">
      <c r="A4153" s="1" t="s">
        <v>1283</v>
      </c>
      <c r="B4153" t="s">
        <v>1282</v>
      </c>
      <c r="C4153" s="1">
        <v>0.84499999999999997</v>
      </c>
      <c r="D4153" s="1">
        <v>45</v>
      </c>
      <c r="E4153" s="2">
        <v>82.642857142857096</v>
      </c>
      <c r="F4153" s="1">
        <v>14</v>
      </c>
      <c r="G4153" s="1">
        <v>792.15</v>
      </c>
      <c r="H4153" s="1" t="s">
        <v>9</v>
      </c>
      <c r="I4153" t="str">
        <f t="shared" si="64"/>
        <v>ENVELOPE 50 ROMANTIC IMAGES [85017A]</v>
      </c>
    </row>
    <row r="4154" spans="1:9" x14ac:dyDescent="0.3">
      <c r="A4154" s="1" t="s">
        <v>1281</v>
      </c>
      <c r="B4154" t="s">
        <v>1280</v>
      </c>
      <c r="C4154" s="1">
        <v>0.84</v>
      </c>
      <c r="D4154" s="1">
        <v>77.5</v>
      </c>
      <c r="E4154" s="2">
        <v>92.9583333333333</v>
      </c>
      <c r="F4154" s="1">
        <v>24</v>
      </c>
      <c r="G4154" s="1">
        <v>1390.39</v>
      </c>
      <c r="H4154" s="1" t="s">
        <v>10</v>
      </c>
      <c r="I4154" t="str">
        <f t="shared" si="64"/>
        <v>ENVELOPE 50 BLOSSOM IMAGES [85017B]</v>
      </c>
    </row>
    <row r="4155" spans="1:9" x14ac:dyDescent="0.3">
      <c r="A4155" s="1" t="s">
        <v>1279</v>
      </c>
      <c r="B4155" t="s">
        <v>1278</v>
      </c>
      <c r="C4155" s="1">
        <v>0.85</v>
      </c>
      <c r="D4155" s="1">
        <v>34</v>
      </c>
      <c r="E4155" s="2">
        <v>63.941176470588204</v>
      </c>
      <c r="F4155" s="1">
        <v>17</v>
      </c>
      <c r="G4155" s="1">
        <v>719.67</v>
      </c>
      <c r="H4155" s="1" t="s">
        <v>9</v>
      </c>
      <c r="I4155" t="str">
        <f t="shared" si="64"/>
        <v>ENVELOPE 50 CURIOUS IMAGES [85017C]</v>
      </c>
    </row>
    <row r="4156" spans="1:9" x14ac:dyDescent="0.3">
      <c r="A4156" s="1" t="s">
        <v>1277</v>
      </c>
      <c r="B4156" t="s">
        <v>1276</v>
      </c>
      <c r="C4156" s="1">
        <v>4.25</v>
      </c>
      <c r="D4156" s="1">
        <v>3</v>
      </c>
      <c r="E4156" s="1">
        <v>2.5</v>
      </c>
      <c r="F4156" s="1">
        <v>6</v>
      </c>
      <c r="G4156" s="1">
        <v>63.75</v>
      </c>
      <c r="H4156" s="1" t="s">
        <v>8</v>
      </c>
      <c r="I4156" t="str">
        <f t="shared" si="64"/>
        <v>S/6 PAPER BOXES ROMANTIC IMAGES [85018A]</v>
      </c>
    </row>
    <row r="4157" spans="1:9" x14ac:dyDescent="0.3">
      <c r="A4157" s="1" t="s">
        <v>1275</v>
      </c>
      <c r="B4157" t="s">
        <v>1274</v>
      </c>
      <c r="C4157" s="1">
        <v>4.25</v>
      </c>
      <c r="D4157" s="1">
        <v>1.5</v>
      </c>
      <c r="E4157" s="1">
        <v>2.5</v>
      </c>
      <c r="F4157" s="1">
        <v>6</v>
      </c>
      <c r="G4157" s="1">
        <v>63.75</v>
      </c>
      <c r="H4157" s="1" t="s">
        <v>8</v>
      </c>
      <c r="I4157" t="str">
        <f t="shared" si="64"/>
        <v>S/6 PAPER BOXES BLOSSOM IMAGES [85018B]</v>
      </c>
    </row>
    <row r="4158" spans="1:9" x14ac:dyDescent="0.3">
      <c r="A4158" s="1" t="s">
        <v>1273</v>
      </c>
      <c r="B4158" t="s">
        <v>1272</v>
      </c>
      <c r="C4158" s="1">
        <v>4.25</v>
      </c>
      <c r="D4158" s="1">
        <v>3</v>
      </c>
      <c r="E4158" s="1">
        <v>12</v>
      </c>
      <c r="F4158" s="1">
        <v>3</v>
      </c>
      <c r="G4158" s="1">
        <v>127.2</v>
      </c>
      <c r="H4158" s="1" t="s">
        <v>8</v>
      </c>
      <c r="I4158" t="str">
        <f t="shared" si="64"/>
        <v>S/6 PAPER BOXES CURIOUS IMAGES [85018C]</v>
      </c>
    </row>
    <row r="4159" spans="1:9" x14ac:dyDescent="0.3">
      <c r="A4159" s="1" t="s">
        <v>1271</v>
      </c>
      <c r="B4159" t="s">
        <v>1270</v>
      </c>
      <c r="C4159" s="1">
        <v>2.5499999999999998</v>
      </c>
      <c r="D4159" s="1">
        <v>9.5</v>
      </c>
      <c r="E4159" s="1">
        <v>78.7</v>
      </c>
      <c r="F4159" s="1">
        <v>10</v>
      </c>
      <c r="G4159" s="1">
        <v>969.9</v>
      </c>
      <c r="H4159" s="1" t="s">
        <v>8</v>
      </c>
      <c r="I4159" t="str">
        <f t="shared" si="64"/>
        <v>YULETIDE IMAGES S/6 PAPER BOXES [85018D]</v>
      </c>
    </row>
    <row r="4160" spans="1:9" x14ac:dyDescent="0.3">
      <c r="A4160" s="1" t="s">
        <v>1269</v>
      </c>
      <c r="B4160" t="s">
        <v>1268</v>
      </c>
      <c r="C4160" s="1">
        <v>1.25</v>
      </c>
      <c r="D4160" s="1">
        <v>30</v>
      </c>
      <c r="E4160" s="2">
        <v>45.071428571428498</v>
      </c>
      <c r="F4160" s="1">
        <v>14</v>
      </c>
      <c r="G4160" s="1">
        <v>834.38</v>
      </c>
      <c r="H4160" s="1" t="s">
        <v>9</v>
      </c>
      <c r="I4160" t="str">
        <f t="shared" si="64"/>
        <v>ROMANTIC IMAGES NOTEBOOK SET [85019A]</v>
      </c>
    </row>
    <row r="4161" spans="1:9" x14ac:dyDescent="0.3">
      <c r="A4161" s="1" t="s">
        <v>1267</v>
      </c>
      <c r="B4161" t="s">
        <v>1266</v>
      </c>
      <c r="C4161" s="1">
        <v>1.25</v>
      </c>
      <c r="D4161" s="1">
        <v>28</v>
      </c>
      <c r="E4161" s="1">
        <v>54</v>
      </c>
      <c r="F4161" s="1">
        <v>13</v>
      </c>
      <c r="G4161" s="1">
        <v>914.47</v>
      </c>
      <c r="H4161" s="1" t="s">
        <v>9</v>
      </c>
      <c r="I4161" t="str">
        <f t="shared" si="64"/>
        <v>BLOSSOM  IMAGES NOTEBOOK SET [85019B]</v>
      </c>
    </row>
    <row r="4162" spans="1:9" x14ac:dyDescent="0.3">
      <c r="A4162" s="1" t="s">
        <v>1265</v>
      </c>
      <c r="B4162" t="s">
        <v>1264</v>
      </c>
      <c r="C4162" s="1">
        <v>1.26</v>
      </c>
      <c r="D4162" s="1">
        <v>27.5</v>
      </c>
      <c r="E4162" s="1">
        <v>41.3</v>
      </c>
      <c r="F4162" s="1">
        <v>10</v>
      </c>
      <c r="G4162" s="1">
        <v>604.47</v>
      </c>
      <c r="H4162" s="1" t="s">
        <v>9</v>
      </c>
      <c r="I4162" t="str">
        <f t="shared" si="64"/>
        <v>CURIOUS  IMAGES NOTEBOOK SET [85019C]</v>
      </c>
    </row>
    <row r="4163" spans="1:9" x14ac:dyDescent="0.3">
      <c r="A4163" s="1">
        <v>85020</v>
      </c>
      <c r="B4163" t="s">
        <v>1263</v>
      </c>
      <c r="C4163" s="1">
        <v>2.1</v>
      </c>
      <c r="D4163" s="1">
        <v>9</v>
      </c>
      <c r="E4163" s="2">
        <v>11.4285714285714</v>
      </c>
      <c r="F4163" s="1">
        <v>21</v>
      </c>
      <c r="G4163" s="1">
        <v>533.48</v>
      </c>
      <c r="H4163" s="1" t="s">
        <v>8</v>
      </c>
      <c r="I4163" t="str">
        <f t="shared" ref="I4163:I4226" si="65">B4163&amp;" ["&amp;A4163&amp;"]"</f>
        <v>ROUND PINK HEART MIRROR [85020]</v>
      </c>
    </row>
    <row r="4164" spans="1:9" x14ac:dyDescent="0.3">
      <c r="A4164" s="1" t="s">
        <v>1262</v>
      </c>
      <c r="B4164" t="s">
        <v>1261</v>
      </c>
      <c r="C4164" s="1">
        <v>2.5499999999999998</v>
      </c>
      <c r="D4164" s="1">
        <v>1</v>
      </c>
      <c r="E4164" s="1">
        <v>4.4000000000000004</v>
      </c>
      <c r="F4164" s="1">
        <v>5</v>
      </c>
      <c r="G4164" s="2">
        <v>56.099999999999902</v>
      </c>
      <c r="H4164" s="1" t="s">
        <v>8</v>
      </c>
      <c r="I4164" t="str">
        <f t="shared" si="65"/>
        <v>CRYSTAL LARGE JEWELLED PHOTO FRAME [85023A]</v>
      </c>
    </row>
    <row r="4165" spans="1:9" x14ac:dyDescent="0.3">
      <c r="A4165" s="1" t="s">
        <v>1260</v>
      </c>
      <c r="B4165" t="s">
        <v>1254</v>
      </c>
      <c r="C4165" s="1">
        <v>2.5499999999999998</v>
      </c>
      <c r="D4165" s="1">
        <v>6</v>
      </c>
      <c r="E4165" s="2">
        <v>16.2777777777777</v>
      </c>
      <c r="F4165" s="1">
        <v>18</v>
      </c>
      <c r="G4165" s="1">
        <v>682.35</v>
      </c>
      <c r="H4165" s="1" t="s">
        <v>8</v>
      </c>
      <c r="I4165" t="str">
        <f t="shared" si="65"/>
        <v>EAU DE NILE JEWELLED PHOTOFRAME [85023B]</v>
      </c>
    </row>
    <row r="4166" spans="1:9" x14ac:dyDescent="0.3">
      <c r="A4166" s="1" t="s">
        <v>1259</v>
      </c>
      <c r="B4166" t="s">
        <v>1258</v>
      </c>
      <c r="C4166" s="1">
        <v>2.5499999999999998</v>
      </c>
      <c r="D4166" s="1">
        <v>4</v>
      </c>
      <c r="E4166" s="2">
        <v>3.8333333333333299</v>
      </c>
      <c r="F4166" s="1">
        <v>6</v>
      </c>
      <c r="G4166" s="1">
        <v>58.65</v>
      </c>
      <c r="H4166" s="1" t="s">
        <v>8</v>
      </c>
      <c r="I4166" t="str">
        <f t="shared" si="65"/>
        <v>PINK LARGE JEWELED PHOTOFRAME [85023C]</v>
      </c>
    </row>
    <row r="4167" spans="1:9" x14ac:dyDescent="0.3">
      <c r="A4167" s="1" t="s">
        <v>1257</v>
      </c>
      <c r="B4167" t="s">
        <v>1256</v>
      </c>
      <c r="C4167" s="1">
        <v>1.65</v>
      </c>
      <c r="D4167" s="1">
        <v>1</v>
      </c>
      <c r="E4167" s="1">
        <v>1</v>
      </c>
      <c r="F4167" s="1">
        <v>1</v>
      </c>
      <c r="G4167" s="1">
        <v>1.65</v>
      </c>
      <c r="H4167" s="1" t="s">
        <v>8</v>
      </c>
      <c r="I4167" t="str">
        <f t="shared" si="65"/>
        <v>CRYSTAL SMALL JEWELLED PHOTOFRAME [85024A]</v>
      </c>
    </row>
    <row r="4168" spans="1:9" x14ac:dyDescent="0.3">
      <c r="A4168" s="1" t="s">
        <v>1255</v>
      </c>
      <c r="B4168" t="s">
        <v>1254</v>
      </c>
      <c r="C4168" s="1">
        <v>1.65</v>
      </c>
      <c r="D4168" s="1">
        <v>2</v>
      </c>
      <c r="E4168" s="2">
        <v>14.533333333333299</v>
      </c>
      <c r="F4168" s="1">
        <v>15</v>
      </c>
      <c r="G4168" s="1">
        <v>330.9</v>
      </c>
      <c r="H4168" s="1" t="s">
        <v>8</v>
      </c>
      <c r="I4168" t="str">
        <f t="shared" si="65"/>
        <v>EAU DE NILE JEWELLED PHOTOFRAME [85024B]</v>
      </c>
    </row>
    <row r="4169" spans="1:9" x14ac:dyDescent="0.3">
      <c r="A4169" s="1" t="s">
        <v>1253</v>
      </c>
      <c r="B4169" t="s">
        <v>1252</v>
      </c>
      <c r="C4169" s="1">
        <v>1.65</v>
      </c>
      <c r="D4169" s="1">
        <v>5</v>
      </c>
      <c r="E4169" s="1">
        <v>6.1875</v>
      </c>
      <c r="F4169" s="1">
        <v>16</v>
      </c>
      <c r="G4169" s="1">
        <v>163.35</v>
      </c>
      <c r="H4169" s="1" t="s">
        <v>8</v>
      </c>
      <c r="I4169" t="str">
        <f t="shared" si="65"/>
        <v>PINK SMALL JEWELLED PHOTOFRAME [85024C]</v>
      </c>
    </row>
    <row r="4170" spans="1:9" x14ac:dyDescent="0.3">
      <c r="A4170" s="1" t="s">
        <v>1251</v>
      </c>
      <c r="B4170" t="s">
        <v>1250</v>
      </c>
      <c r="C4170" s="1">
        <v>1.855</v>
      </c>
      <c r="D4170" s="1">
        <v>12.5</v>
      </c>
      <c r="E4170" s="1">
        <v>23.75</v>
      </c>
      <c r="F4170" s="1">
        <v>24</v>
      </c>
      <c r="G4170" s="1">
        <v>985.4</v>
      </c>
      <c r="H4170" s="1" t="s">
        <v>9</v>
      </c>
      <c r="I4170" t="str">
        <f t="shared" si="65"/>
        <v>EAU DE NILE HEART SHAPE PHOTO FRAME [85025B]</v>
      </c>
    </row>
    <row r="4171" spans="1:9" x14ac:dyDescent="0.3">
      <c r="A4171" s="1" t="s">
        <v>1249</v>
      </c>
      <c r="B4171" t="s">
        <v>1248</v>
      </c>
      <c r="C4171" s="1">
        <v>1.76</v>
      </c>
      <c r="D4171" s="1">
        <v>21</v>
      </c>
      <c r="E4171" s="2">
        <v>34.285714285714199</v>
      </c>
      <c r="F4171" s="1">
        <v>21</v>
      </c>
      <c r="G4171" s="1">
        <v>1285.9100000000001</v>
      </c>
      <c r="H4171" s="1" t="s">
        <v>9</v>
      </c>
      <c r="I4171" t="str">
        <f t="shared" si="65"/>
        <v>PINK HEART SHAPE PHOTO FRAME [85025C]</v>
      </c>
    </row>
    <row r="4172" spans="1:9" x14ac:dyDescent="0.3">
      <c r="A4172" s="1" t="s">
        <v>1247</v>
      </c>
      <c r="B4172" t="s">
        <v>1246</v>
      </c>
      <c r="C4172" s="1">
        <v>0.85</v>
      </c>
      <c r="D4172" s="1">
        <v>10</v>
      </c>
      <c r="E4172" s="2">
        <v>16.6666666666666</v>
      </c>
      <c r="F4172" s="1">
        <v>18</v>
      </c>
      <c r="G4172" s="1">
        <v>367.55</v>
      </c>
      <c r="H4172" s="1" t="s">
        <v>9</v>
      </c>
      <c r="I4172" t="str">
        <f t="shared" si="65"/>
        <v>EAU DE NILE JEWELLED T-LIGHT HOLDER [85026B]</v>
      </c>
    </row>
    <row r="4173" spans="1:9" x14ac:dyDescent="0.3">
      <c r="A4173" s="1" t="s">
        <v>1245</v>
      </c>
      <c r="B4173" t="s">
        <v>1244</v>
      </c>
      <c r="C4173" s="1">
        <v>7.95</v>
      </c>
      <c r="D4173" s="1">
        <v>3</v>
      </c>
      <c r="E4173" s="2">
        <v>6.4444444444444402</v>
      </c>
      <c r="F4173" s="1">
        <v>9</v>
      </c>
      <c r="G4173" s="1">
        <v>281.10000000000002</v>
      </c>
      <c r="H4173" s="1" t="s">
        <v>8</v>
      </c>
      <c r="I4173" t="str">
        <f t="shared" si="65"/>
        <v>FRENCH CHATEAU LARGE PLATTER [85027L]</v>
      </c>
    </row>
    <row r="4174" spans="1:9" x14ac:dyDescent="0.3">
      <c r="A4174" s="1" t="s">
        <v>1243</v>
      </c>
      <c r="B4174" t="s">
        <v>1242</v>
      </c>
      <c r="C4174" s="1">
        <v>7.95</v>
      </c>
      <c r="D4174" s="1">
        <v>3</v>
      </c>
      <c r="E4174" s="1">
        <v>3.6</v>
      </c>
      <c r="F4174" s="1">
        <v>5</v>
      </c>
      <c r="G4174" s="1">
        <v>159.46</v>
      </c>
      <c r="H4174" s="1" t="s">
        <v>8</v>
      </c>
      <c r="I4174" t="str">
        <f t="shared" si="65"/>
        <v>FRENCH CHATEAU LARGE FRUIT BOWL [85028L]</v>
      </c>
    </row>
    <row r="4175" spans="1:9" x14ac:dyDescent="0.3">
      <c r="A4175" s="1" t="s">
        <v>1241</v>
      </c>
      <c r="B4175" t="s">
        <v>1240</v>
      </c>
      <c r="C4175" s="1">
        <v>4.95</v>
      </c>
      <c r="D4175" s="1">
        <v>4.5</v>
      </c>
      <c r="E4175" s="1">
        <v>5.75</v>
      </c>
      <c r="F4175" s="1">
        <v>8</v>
      </c>
      <c r="G4175" s="1">
        <v>165.72</v>
      </c>
      <c r="H4175" s="1" t="s">
        <v>8</v>
      </c>
      <c r="I4175" t="str">
        <f t="shared" si="65"/>
        <v>FRENCH CHATEAU SMALL FRUITBOWL [85028S]</v>
      </c>
    </row>
    <row r="4176" spans="1:9" x14ac:dyDescent="0.3">
      <c r="A4176" s="1">
        <v>85030</v>
      </c>
      <c r="B4176" t="s">
        <v>1239</v>
      </c>
      <c r="C4176" s="1">
        <v>7.95</v>
      </c>
      <c r="D4176" s="1">
        <v>2</v>
      </c>
      <c r="E4176" s="1">
        <v>2.125</v>
      </c>
      <c r="F4176" s="1">
        <v>8</v>
      </c>
      <c r="G4176" s="1">
        <v>135.15</v>
      </c>
      <c r="H4176" s="1" t="s">
        <v>8</v>
      </c>
      <c r="I4176" t="str">
        <f t="shared" si="65"/>
        <v>FRENCH CHATEAU OVAL PLATTER [85030]</v>
      </c>
    </row>
    <row r="4177" spans="1:9" x14ac:dyDescent="0.3">
      <c r="A4177" s="1" t="s">
        <v>1238</v>
      </c>
      <c r="B4177" t="s">
        <v>1237</v>
      </c>
      <c r="C4177" s="1">
        <v>3.56</v>
      </c>
      <c r="D4177" s="1">
        <v>10</v>
      </c>
      <c r="E4177" s="1">
        <v>31.8</v>
      </c>
      <c r="F4177" s="1">
        <v>15</v>
      </c>
      <c r="G4177" s="2">
        <v>943.43999999999903</v>
      </c>
      <c r="H4177" s="1" t="s">
        <v>9</v>
      </c>
      <c r="I4177" t="str">
        <f t="shared" si="65"/>
        <v>ROMANTIC IMAGES SCRAP BOOK SET [85031A]</v>
      </c>
    </row>
    <row r="4178" spans="1:9" x14ac:dyDescent="0.3">
      <c r="A4178" s="1" t="s">
        <v>1236</v>
      </c>
      <c r="B4178" t="s">
        <v>1235</v>
      </c>
      <c r="C4178" s="1">
        <v>2.3199999999999998</v>
      </c>
      <c r="D4178" s="1">
        <v>29</v>
      </c>
      <c r="E4178" s="2">
        <v>38.153846153846096</v>
      </c>
      <c r="F4178" s="1">
        <v>13</v>
      </c>
      <c r="G4178" s="1">
        <v>896.09</v>
      </c>
      <c r="H4178" s="1" t="s">
        <v>9</v>
      </c>
      <c r="I4178" t="str">
        <f t="shared" si="65"/>
        <v>BLOSSOM IMAGES SCRAP BOOK SET [85031B]</v>
      </c>
    </row>
    <row r="4179" spans="1:9" x14ac:dyDescent="0.3">
      <c r="A4179" s="1" t="s">
        <v>1234</v>
      </c>
      <c r="B4179" t="s">
        <v>1233</v>
      </c>
      <c r="C4179" s="1">
        <v>3.55</v>
      </c>
      <c r="D4179" s="1">
        <v>24</v>
      </c>
      <c r="E4179" s="1">
        <v>37</v>
      </c>
      <c r="F4179" s="1">
        <v>13</v>
      </c>
      <c r="G4179" s="1">
        <v>1017.48</v>
      </c>
      <c r="H4179" s="1" t="s">
        <v>9</v>
      </c>
      <c r="I4179" t="str">
        <f t="shared" si="65"/>
        <v>CURIOUS IMAGES SCRAP BOOK SET [85031C]</v>
      </c>
    </row>
    <row r="4180" spans="1:9" x14ac:dyDescent="0.3">
      <c r="A4180" s="1" t="s">
        <v>1232</v>
      </c>
      <c r="B4180" t="s">
        <v>1231</v>
      </c>
      <c r="C4180" s="1">
        <v>2.1</v>
      </c>
      <c r="D4180" s="1">
        <v>28</v>
      </c>
      <c r="E4180" s="1">
        <v>65.5</v>
      </c>
      <c r="F4180" s="1">
        <v>22</v>
      </c>
      <c r="G4180" s="1">
        <v>1323.51</v>
      </c>
      <c r="H4180" s="1" t="s">
        <v>9</v>
      </c>
      <c r="I4180" t="str">
        <f t="shared" si="65"/>
        <v>ROMANTIC IMAGES GIFT WRAP SET [85032A]</v>
      </c>
    </row>
    <row r="4181" spans="1:9" x14ac:dyDescent="0.3">
      <c r="A4181" s="1" t="s">
        <v>1230</v>
      </c>
      <c r="B4181" t="s">
        <v>1229</v>
      </c>
      <c r="C4181" s="1">
        <v>2.1</v>
      </c>
      <c r="D4181" s="1">
        <v>34</v>
      </c>
      <c r="E4181" s="2">
        <v>44.636363636363598</v>
      </c>
      <c r="F4181" s="1">
        <v>22</v>
      </c>
      <c r="G4181" s="1">
        <v>953.34</v>
      </c>
      <c r="H4181" s="1" t="s">
        <v>9</v>
      </c>
      <c r="I4181" t="str">
        <f t="shared" si="65"/>
        <v>BLOSSOM IMAGES GIFT WRAP SET [85032B]</v>
      </c>
    </row>
    <row r="4182" spans="1:9" x14ac:dyDescent="0.3">
      <c r="A4182" s="1" t="s">
        <v>1228</v>
      </c>
      <c r="B4182" t="s">
        <v>1227</v>
      </c>
      <c r="C4182" s="1">
        <v>2.1</v>
      </c>
      <c r="D4182" s="1">
        <v>12</v>
      </c>
      <c r="E4182" s="2">
        <v>38.521739130434703</v>
      </c>
      <c r="F4182" s="1">
        <v>23</v>
      </c>
      <c r="G4182" s="1">
        <v>946.59</v>
      </c>
      <c r="H4182" s="1" t="s">
        <v>9</v>
      </c>
      <c r="I4182" t="str">
        <f t="shared" si="65"/>
        <v>CURIOUS IMAGES GIFT WRAP SET [85032C]</v>
      </c>
    </row>
    <row r="4183" spans="1:9" x14ac:dyDescent="0.3">
      <c r="A4183" s="1" t="s">
        <v>1226</v>
      </c>
      <c r="B4183" t="s">
        <v>1225</v>
      </c>
      <c r="C4183" s="1">
        <v>1.65</v>
      </c>
      <c r="D4183" s="1">
        <v>47</v>
      </c>
      <c r="E4183" s="2">
        <v>76.533333333333303</v>
      </c>
      <c r="F4183" s="1">
        <v>15</v>
      </c>
      <c r="G4183" s="1">
        <v>1327.68</v>
      </c>
      <c r="H4183" s="1" t="s">
        <v>9</v>
      </c>
      <c r="I4183" t="str">
        <f t="shared" si="65"/>
        <v>YULETIDE IMAGES GIFT WRAP SET [85032D]</v>
      </c>
    </row>
    <row r="4184" spans="1:9" x14ac:dyDescent="0.3">
      <c r="A4184" s="1" t="s">
        <v>1224</v>
      </c>
      <c r="B4184" t="s">
        <v>1223</v>
      </c>
      <c r="C4184" s="1">
        <v>0.65</v>
      </c>
      <c r="D4184" s="1">
        <v>39</v>
      </c>
      <c r="E4184" s="1">
        <v>39</v>
      </c>
      <c r="F4184" s="1">
        <v>2</v>
      </c>
      <c r="G4184" s="1">
        <v>50.7</v>
      </c>
      <c r="H4184" s="1" t="s">
        <v>9</v>
      </c>
      <c r="I4184" t="str">
        <f t="shared" si="65"/>
        <v>SET/6 GOLD REINDEER T-LIGHT CANDLES [85033G]</v>
      </c>
    </row>
    <row r="4185" spans="1:9" x14ac:dyDescent="0.3">
      <c r="A4185" s="1" t="s">
        <v>1222</v>
      </c>
      <c r="B4185" t="s">
        <v>1221</v>
      </c>
      <c r="C4185" s="1">
        <v>0.65</v>
      </c>
      <c r="D4185" s="1">
        <v>33.5</v>
      </c>
      <c r="E4185" s="1">
        <v>64.5</v>
      </c>
      <c r="F4185" s="1">
        <v>4</v>
      </c>
      <c r="G4185" s="2">
        <v>317.349999999999</v>
      </c>
      <c r="H4185" s="1" t="s">
        <v>9</v>
      </c>
      <c r="I4185" t="str">
        <f t="shared" si="65"/>
        <v>SET/6 SILVER REINDEER T-LIGHTS [85033S]</v>
      </c>
    </row>
    <row r="4186" spans="1:9" x14ac:dyDescent="0.3">
      <c r="A4186" s="1" t="s">
        <v>1220</v>
      </c>
      <c r="B4186" t="s">
        <v>1215</v>
      </c>
      <c r="C4186" s="1">
        <v>4.25</v>
      </c>
      <c r="D4186" s="1">
        <v>13</v>
      </c>
      <c r="E4186" s="2">
        <v>36.782608695652101</v>
      </c>
      <c r="F4186" s="1">
        <v>23</v>
      </c>
      <c r="G4186" s="1">
        <v>2364.8200000000002</v>
      </c>
      <c r="H4186" s="1" t="s">
        <v>9</v>
      </c>
      <c r="I4186" t="str">
        <f t="shared" si="65"/>
        <v>3 GARDENIA MORRIS BOXED CANDLES [85034A]</v>
      </c>
    </row>
    <row r="4187" spans="1:9" x14ac:dyDescent="0.3">
      <c r="A4187" s="1" t="s">
        <v>1219</v>
      </c>
      <c r="B4187" t="s">
        <v>1213</v>
      </c>
      <c r="C4187" s="1">
        <v>4.1900000000000004</v>
      </c>
      <c r="D4187" s="1">
        <v>24</v>
      </c>
      <c r="E4187" s="2">
        <v>62.2631578947368</v>
      </c>
      <c r="F4187" s="1">
        <v>19</v>
      </c>
      <c r="G4187" s="1">
        <v>2606.64</v>
      </c>
      <c r="H4187" s="1" t="s">
        <v>9</v>
      </c>
      <c r="I4187" t="str">
        <f t="shared" si="65"/>
        <v>3 WHITE CHOC MORRIS BOXED CANDLES [85034B]</v>
      </c>
    </row>
    <row r="4188" spans="1:9" x14ac:dyDescent="0.3">
      <c r="A4188" s="1" t="s">
        <v>1218</v>
      </c>
      <c r="B4188" t="s">
        <v>1217</v>
      </c>
      <c r="C4188" s="1">
        <v>4.25</v>
      </c>
      <c r="D4188" s="1">
        <v>13</v>
      </c>
      <c r="E4188" s="2">
        <v>59.727272727272698</v>
      </c>
      <c r="F4188" s="1">
        <v>22</v>
      </c>
      <c r="G4188" s="1">
        <v>2604.15</v>
      </c>
      <c r="H4188" s="1" t="s">
        <v>9</v>
      </c>
      <c r="I4188" t="str">
        <f t="shared" si="65"/>
        <v>3 ROSE MORRIS BOXED CANDLES [85034C]</v>
      </c>
    </row>
    <row r="4189" spans="1:9" x14ac:dyDescent="0.3">
      <c r="A4189" s="1" t="s">
        <v>1216</v>
      </c>
      <c r="B4189" t="s">
        <v>1215</v>
      </c>
      <c r="C4189" s="1">
        <v>8.2899999999999991</v>
      </c>
      <c r="D4189" s="1">
        <v>1</v>
      </c>
      <c r="E4189" s="1">
        <v>1</v>
      </c>
      <c r="F4189" s="1">
        <v>3</v>
      </c>
      <c r="G4189" s="2">
        <v>24.869999999999902</v>
      </c>
      <c r="H4189" s="1" t="s">
        <v>8</v>
      </c>
      <c r="I4189" t="str">
        <f t="shared" si="65"/>
        <v>3 GARDENIA MORRIS BOXED CANDLES [85034a]</v>
      </c>
    </row>
    <row r="4190" spans="1:9" x14ac:dyDescent="0.3">
      <c r="A4190" s="1" t="s">
        <v>1214</v>
      </c>
      <c r="B4190" t="s">
        <v>1213</v>
      </c>
      <c r="C4190" s="1">
        <v>8.2899999999999991</v>
      </c>
      <c r="D4190" s="1">
        <v>1</v>
      </c>
      <c r="E4190" s="1">
        <v>1</v>
      </c>
      <c r="F4190" s="1">
        <v>1</v>
      </c>
      <c r="G4190" s="1">
        <v>8.2899999999999991</v>
      </c>
      <c r="H4190" s="1" t="s">
        <v>8</v>
      </c>
      <c r="I4190" t="str">
        <f t="shared" si="65"/>
        <v>3 WHITE CHOC MORRIS BOXED CANDLES [85034b]</v>
      </c>
    </row>
    <row r="4191" spans="1:9" x14ac:dyDescent="0.3">
      <c r="A4191" s="1" t="s">
        <v>1212</v>
      </c>
      <c r="B4191" t="s">
        <v>1208</v>
      </c>
      <c r="C4191" s="1">
        <v>4.25</v>
      </c>
      <c r="D4191" s="1">
        <v>22.5</v>
      </c>
      <c r="E4191" s="2">
        <v>29.363636363636299</v>
      </c>
      <c r="F4191" s="1">
        <v>22</v>
      </c>
      <c r="G4191" s="1">
        <v>2344.9</v>
      </c>
      <c r="H4191" s="1" t="s">
        <v>9</v>
      </c>
      <c r="I4191" t="str">
        <f t="shared" si="65"/>
        <v>GARDENIA 3 WICK MORRIS BOXED CANDLE [85035A]</v>
      </c>
    </row>
    <row r="4192" spans="1:9" x14ac:dyDescent="0.3">
      <c r="A4192" s="1" t="s">
        <v>1211</v>
      </c>
      <c r="B4192" t="s">
        <v>1206</v>
      </c>
      <c r="C4192" s="1">
        <v>4.25</v>
      </c>
      <c r="D4192" s="1">
        <v>8</v>
      </c>
      <c r="E4192" s="2">
        <v>44.818181818181799</v>
      </c>
      <c r="F4192" s="1">
        <v>22</v>
      </c>
      <c r="G4192" s="1">
        <v>2539.29</v>
      </c>
      <c r="H4192" s="1" t="s">
        <v>8</v>
      </c>
      <c r="I4192" t="str">
        <f t="shared" si="65"/>
        <v>CHOCOLATE 3 WICK MORRIS BOX CANDLE [85035B]</v>
      </c>
    </row>
    <row r="4193" spans="1:9" x14ac:dyDescent="0.3">
      <c r="A4193" s="1" t="s">
        <v>1210</v>
      </c>
      <c r="B4193" t="s">
        <v>1204</v>
      </c>
      <c r="C4193" s="1">
        <v>4.25</v>
      </c>
      <c r="D4193" s="1">
        <v>15</v>
      </c>
      <c r="E4193" s="2">
        <v>61.636363636363598</v>
      </c>
      <c r="F4193" s="1">
        <v>22</v>
      </c>
      <c r="G4193" s="1">
        <v>2693.85</v>
      </c>
      <c r="H4193" s="1" t="s">
        <v>9</v>
      </c>
      <c r="I4193" t="str">
        <f t="shared" si="65"/>
        <v>ROSE 3 WICK MORRIS BOX CANDLE [85035C]</v>
      </c>
    </row>
    <row r="4194" spans="1:9" x14ac:dyDescent="0.3">
      <c r="A4194" s="1" t="s">
        <v>1209</v>
      </c>
      <c r="B4194" t="s">
        <v>1208</v>
      </c>
      <c r="C4194" s="1">
        <v>8.4700000000000006</v>
      </c>
      <c r="D4194" s="1">
        <v>1.5</v>
      </c>
      <c r="E4194" s="1">
        <v>1.5</v>
      </c>
      <c r="F4194" s="1">
        <v>2</v>
      </c>
      <c r="G4194" s="2">
        <v>25.41</v>
      </c>
      <c r="H4194" s="1" t="s">
        <v>8</v>
      </c>
      <c r="I4194" t="str">
        <f t="shared" si="65"/>
        <v>GARDENIA 3 WICK MORRIS BOXED CANDLE [85035a]</v>
      </c>
    </row>
    <row r="4195" spans="1:9" x14ac:dyDescent="0.3">
      <c r="A4195" s="1" t="s">
        <v>1207</v>
      </c>
      <c r="B4195" t="s">
        <v>1206</v>
      </c>
      <c r="C4195" s="1">
        <v>8.4700000000000006</v>
      </c>
      <c r="D4195" s="1">
        <v>1</v>
      </c>
      <c r="E4195" s="1">
        <v>1.2</v>
      </c>
      <c r="F4195" s="1">
        <v>5</v>
      </c>
      <c r="G4195" s="2">
        <v>50.82</v>
      </c>
      <c r="H4195" s="1" t="s">
        <v>8</v>
      </c>
      <c r="I4195" t="str">
        <f t="shared" si="65"/>
        <v>CHOCOLATE 3 WICK MORRIS BOX CANDLE [85035b]</v>
      </c>
    </row>
    <row r="4196" spans="1:9" x14ac:dyDescent="0.3">
      <c r="A4196" s="1" t="s">
        <v>1205</v>
      </c>
      <c r="B4196" t="s">
        <v>1204</v>
      </c>
      <c r="C4196" s="1">
        <v>8.4700000000000006</v>
      </c>
      <c r="D4196" s="1">
        <v>1</v>
      </c>
      <c r="E4196" s="1">
        <v>1</v>
      </c>
      <c r="F4196" s="1">
        <v>2</v>
      </c>
      <c r="G4196" s="1">
        <v>16.940000000000001</v>
      </c>
      <c r="H4196" s="1" t="s">
        <v>8</v>
      </c>
      <c r="I4196" t="str">
        <f t="shared" si="65"/>
        <v>ROSE 3 WICK MORRIS BOX CANDLE [85035c]</v>
      </c>
    </row>
    <row r="4197" spans="1:9" x14ac:dyDescent="0.3">
      <c r="A4197" s="1" t="s">
        <v>1203</v>
      </c>
      <c r="B4197" t="s">
        <v>1198</v>
      </c>
      <c r="C4197" s="1">
        <v>4.25</v>
      </c>
      <c r="D4197" s="1">
        <v>14</v>
      </c>
      <c r="E4197" s="2">
        <v>26.9130434782608</v>
      </c>
      <c r="F4197" s="1">
        <v>23</v>
      </c>
      <c r="G4197" s="1">
        <v>2389.21</v>
      </c>
      <c r="H4197" s="1" t="s">
        <v>9</v>
      </c>
      <c r="I4197" t="str">
        <f t="shared" si="65"/>
        <v>GARDENIA 1 WICK MORRIS BOXED CANDLE [85036A]</v>
      </c>
    </row>
    <row r="4198" spans="1:9" x14ac:dyDescent="0.3">
      <c r="A4198" s="1" t="s">
        <v>1202</v>
      </c>
      <c r="B4198" t="s">
        <v>1196</v>
      </c>
      <c r="C4198" s="1">
        <v>4.1749999999999998</v>
      </c>
      <c r="D4198" s="1">
        <v>18.5</v>
      </c>
      <c r="E4198" s="1">
        <v>22.95</v>
      </c>
      <c r="F4198" s="1">
        <v>20</v>
      </c>
      <c r="G4198" s="1">
        <v>1405.91</v>
      </c>
      <c r="H4198" s="1" t="s">
        <v>9</v>
      </c>
      <c r="I4198" t="str">
        <f t="shared" si="65"/>
        <v>CHOCOLATE 1 WICK MORRIS BOX CANDLE [85036B]</v>
      </c>
    </row>
    <row r="4199" spans="1:9" x14ac:dyDescent="0.3">
      <c r="A4199" s="1" t="s">
        <v>1201</v>
      </c>
      <c r="B4199" t="s">
        <v>1200</v>
      </c>
      <c r="C4199" s="1">
        <v>4.25</v>
      </c>
      <c r="D4199" s="1">
        <v>7</v>
      </c>
      <c r="E4199" s="2">
        <v>21.590909090909001</v>
      </c>
      <c r="F4199" s="1">
        <v>22</v>
      </c>
      <c r="G4199" s="1">
        <v>1170.27</v>
      </c>
      <c r="H4199" s="1" t="s">
        <v>8</v>
      </c>
      <c r="I4199" t="str">
        <f t="shared" si="65"/>
        <v>ROSE 1 WICK MORRIS BOXED CANDLE [85036C]</v>
      </c>
    </row>
    <row r="4200" spans="1:9" x14ac:dyDescent="0.3">
      <c r="A4200" s="1" t="s">
        <v>1199</v>
      </c>
      <c r="B4200" t="s">
        <v>1198</v>
      </c>
      <c r="C4200" s="1">
        <v>8.2899999999999991</v>
      </c>
      <c r="D4200" s="1">
        <v>2</v>
      </c>
      <c r="E4200" s="1">
        <v>2</v>
      </c>
      <c r="F4200" s="1">
        <v>1</v>
      </c>
      <c r="G4200" s="1">
        <v>16.579999999999998</v>
      </c>
      <c r="H4200" s="1" t="s">
        <v>8</v>
      </c>
      <c r="I4200" t="str">
        <f t="shared" si="65"/>
        <v>GARDENIA 1 WICK MORRIS BOXED CANDLE [85036a]</v>
      </c>
    </row>
    <row r="4201" spans="1:9" x14ac:dyDescent="0.3">
      <c r="A4201" s="1" t="s">
        <v>1197</v>
      </c>
      <c r="B4201" t="s">
        <v>1196</v>
      </c>
      <c r="C4201" s="1">
        <v>8.4700000000000006</v>
      </c>
      <c r="D4201" s="1">
        <v>1</v>
      </c>
      <c r="E4201" s="1">
        <v>1</v>
      </c>
      <c r="F4201" s="1">
        <v>2</v>
      </c>
      <c r="G4201" s="1">
        <v>16.940000000000001</v>
      </c>
      <c r="H4201" s="1" t="s">
        <v>8</v>
      </c>
      <c r="I4201" t="str">
        <f t="shared" si="65"/>
        <v>CHOCOLATE 1 WICK MORRIS BOX CANDLE [85036b]</v>
      </c>
    </row>
    <row r="4202" spans="1:9" x14ac:dyDescent="0.3">
      <c r="A4202" s="1">
        <v>85038</v>
      </c>
      <c r="B4202" t="s">
        <v>1195</v>
      </c>
      <c r="C4202" s="1">
        <v>2.13</v>
      </c>
      <c r="D4202" s="1">
        <v>49</v>
      </c>
      <c r="E4202" s="1">
        <v>111.12</v>
      </c>
      <c r="F4202" s="1">
        <v>25</v>
      </c>
      <c r="G4202" s="1">
        <v>5803.58</v>
      </c>
      <c r="H4202" s="1" t="s">
        <v>9</v>
      </c>
      <c r="I4202" t="str">
        <f t="shared" si="65"/>
        <v>6 CHOCOLATE LOVE HEART T-LIGHTS [85038]</v>
      </c>
    </row>
    <row r="4203" spans="1:9" x14ac:dyDescent="0.3">
      <c r="A4203" s="1" t="s">
        <v>1194</v>
      </c>
      <c r="B4203" t="s">
        <v>1189</v>
      </c>
      <c r="C4203" s="1">
        <v>1.65</v>
      </c>
      <c r="D4203" s="1">
        <v>25</v>
      </c>
      <c r="E4203" s="1">
        <v>57.92</v>
      </c>
      <c r="F4203" s="1">
        <v>25</v>
      </c>
      <c r="G4203" s="1">
        <v>1661.37</v>
      </c>
      <c r="H4203" s="1" t="s">
        <v>9</v>
      </c>
      <c r="I4203" t="str">
        <f t="shared" si="65"/>
        <v>SET/4 RED MINI ROSE CANDLE IN BOWL [85039A]</v>
      </c>
    </row>
    <row r="4204" spans="1:9" x14ac:dyDescent="0.3">
      <c r="A4204" s="1" t="s">
        <v>1193</v>
      </c>
      <c r="B4204" t="s">
        <v>1187</v>
      </c>
      <c r="C4204" s="1">
        <v>1.65</v>
      </c>
      <c r="D4204" s="1">
        <v>42</v>
      </c>
      <c r="E4204" s="1">
        <v>66.12</v>
      </c>
      <c r="F4204" s="1">
        <v>25</v>
      </c>
      <c r="G4204" s="1">
        <v>2178.52</v>
      </c>
      <c r="H4204" s="1" t="s">
        <v>9</v>
      </c>
      <c r="I4204" t="str">
        <f t="shared" si="65"/>
        <v>S/4 IVORY MINI ROSE CANDLE IN BOWL [85039B]</v>
      </c>
    </row>
    <row r="4205" spans="1:9" x14ac:dyDescent="0.3">
      <c r="A4205" s="1" t="s">
        <v>1192</v>
      </c>
      <c r="B4205" t="s">
        <v>1191</v>
      </c>
      <c r="C4205" s="1">
        <v>1.65</v>
      </c>
      <c r="D4205" s="1">
        <v>10</v>
      </c>
      <c r="E4205" s="2">
        <v>18.571428571428498</v>
      </c>
      <c r="F4205" s="1">
        <v>21</v>
      </c>
      <c r="G4205" s="1">
        <v>452.51</v>
      </c>
      <c r="H4205" s="1" t="s">
        <v>9</v>
      </c>
      <c r="I4205" t="str">
        <f t="shared" si="65"/>
        <v>S/4 BLACK MINI ROSE CANDLE IN BOWL [85039C]</v>
      </c>
    </row>
    <row r="4206" spans="1:9" x14ac:dyDescent="0.3">
      <c r="A4206" s="1" t="s">
        <v>1190</v>
      </c>
      <c r="B4206" t="s">
        <v>1189</v>
      </c>
      <c r="C4206" s="1">
        <v>3.29</v>
      </c>
      <c r="D4206" s="1">
        <v>2.5</v>
      </c>
      <c r="E4206" s="2">
        <v>3.55555555555555</v>
      </c>
      <c r="F4206" s="1">
        <v>18</v>
      </c>
      <c r="G4206" s="1">
        <v>212.45</v>
      </c>
      <c r="H4206" s="1" t="s">
        <v>8</v>
      </c>
      <c r="I4206" t="str">
        <f t="shared" si="65"/>
        <v>SET/4 RED MINI ROSE CANDLE IN BOWL [85039a]</v>
      </c>
    </row>
    <row r="4207" spans="1:9" x14ac:dyDescent="0.3">
      <c r="A4207" s="1" t="s">
        <v>1188</v>
      </c>
      <c r="B4207" t="s">
        <v>1187</v>
      </c>
      <c r="C4207" s="1">
        <v>3.36</v>
      </c>
      <c r="D4207" s="1">
        <v>4</v>
      </c>
      <c r="E4207" s="1">
        <v>4</v>
      </c>
      <c r="F4207" s="1">
        <v>1</v>
      </c>
      <c r="G4207" s="1">
        <v>13.44</v>
      </c>
      <c r="H4207" s="1" t="s">
        <v>8</v>
      </c>
      <c r="I4207" t="str">
        <f t="shared" si="65"/>
        <v>S/4 IVORY MINI ROSE CANDLE IN BOWL [85039b]</v>
      </c>
    </row>
    <row r="4208" spans="1:9" x14ac:dyDescent="0.3">
      <c r="A4208" s="1" t="s">
        <v>1186</v>
      </c>
      <c r="B4208" t="s">
        <v>1183</v>
      </c>
      <c r="C4208" s="1">
        <v>1.76</v>
      </c>
      <c r="D4208" s="1">
        <v>87</v>
      </c>
      <c r="E4208" s="1">
        <v>82.6</v>
      </c>
      <c r="F4208" s="1">
        <v>25</v>
      </c>
      <c r="G4208" s="1">
        <v>3639.89</v>
      </c>
      <c r="H4208" s="1" t="s">
        <v>10</v>
      </c>
      <c r="I4208" t="str">
        <f t="shared" si="65"/>
        <v>S/4 PINK FLOWER CANDLES IN BOWL [85040A]</v>
      </c>
    </row>
    <row r="4209" spans="1:9" x14ac:dyDescent="0.3">
      <c r="A4209" s="1" t="s">
        <v>1185</v>
      </c>
      <c r="B4209" t="s">
        <v>1181</v>
      </c>
      <c r="C4209" s="1">
        <v>1.65</v>
      </c>
      <c r="D4209" s="1">
        <v>53</v>
      </c>
      <c r="E4209" s="2">
        <v>144.17647058823499</v>
      </c>
      <c r="F4209" s="1">
        <v>17</v>
      </c>
      <c r="G4209" s="1">
        <v>3813.78</v>
      </c>
      <c r="H4209" s="1" t="s">
        <v>9</v>
      </c>
      <c r="I4209" t="str">
        <f t="shared" si="65"/>
        <v>SET/4 BLUE FLOWER CANDLES IN BOWL [85040B]</v>
      </c>
    </row>
    <row r="4210" spans="1:9" x14ac:dyDescent="0.3">
      <c r="A4210" s="1" t="s">
        <v>1184</v>
      </c>
      <c r="B4210" t="s">
        <v>1183</v>
      </c>
      <c r="C4210" s="1">
        <v>3.29</v>
      </c>
      <c r="D4210" s="1">
        <v>3</v>
      </c>
      <c r="E4210" s="1">
        <v>3.4</v>
      </c>
      <c r="F4210" s="1">
        <v>15</v>
      </c>
      <c r="G4210" s="1">
        <v>169.75</v>
      </c>
      <c r="H4210" s="1" t="s">
        <v>8</v>
      </c>
      <c r="I4210" t="str">
        <f t="shared" si="65"/>
        <v>S/4 PINK FLOWER CANDLES IN BOWL [85040a]</v>
      </c>
    </row>
    <row r="4211" spans="1:9" x14ac:dyDescent="0.3">
      <c r="A4211" s="1" t="s">
        <v>1182</v>
      </c>
      <c r="B4211" t="s">
        <v>1181</v>
      </c>
      <c r="C4211" s="1">
        <v>3.36</v>
      </c>
      <c r="D4211" s="1">
        <v>3.5</v>
      </c>
      <c r="E4211" s="1">
        <v>3.5</v>
      </c>
      <c r="F4211" s="1">
        <v>2</v>
      </c>
      <c r="G4211" s="1">
        <v>23.52</v>
      </c>
      <c r="H4211" s="1" t="s">
        <v>8</v>
      </c>
      <c r="I4211" t="str">
        <f t="shared" si="65"/>
        <v>SET/4 BLUE FLOWER CANDLES IN BOWL [85040b]</v>
      </c>
    </row>
    <row r="4212" spans="1:9" x14ac:dyDescent="0.3">
      <c r="A4212" s="1">
        <v>85041</v>
      </c>
      <c r="B4212" t="s">
        <v>1180</v>
      </c>
      <c r="C4212" s="1">
        <v>1.56</v>
      </c>
      <c r="D4212" s="1">
        <v>112.5</v>
      </c>
      <c r="E4212" s="1">
        <v>231.625</v>
      </c>
      <c r="F4212" s="1">
        <v>8</v>
      </c>
      <c r="G4212" s="1">
        <v>2489.87</v>
      </c>
      <c r="H4212" s="1" t="s">
        <v>10</v>
      </c>
      <c r="I4212" t="str">
        <f t="shared" si="65"/>
        <v>SET/4 PINK ORCHID CANDLES IN BOWL [85041]</v>
      </c>
    </row>
    <row r="4213" spans="1:9" x14ac:dyDescent="0.3">
      <c r="A4213" s="1">
        <v>85042</v>
      </c>
      <c r="B4213" t="s">
        <v>1179</v>
      </c>
      <c r="C4213" s="2">
        <v>4.5949999999999998</v>
      </c>
      <c r="D4213" s="1">
        <v>201.5</v>
      </c>
      <c r="E4213" s="1">
        <v>223.75</v>
      </c>
      <c r="F4213" s="1">
        <v>12</v>
      </c>
      <c r="G4213" s="1">
        <v>12234.56</v>
      </c>
      <c r="H4213" s="1" t="s">
        <v>10</v>
      </c>
      <c r="I4213" t="str">
        <f t="shared" si="65"/>
        <v>ANTIQUE LILY FAIRY LIGHTS [85042]</v>
      </c>
    </row>
    <row r="4214" spans="1:9" x14ac:dyDescent="0.3">
      <c r="A4214" s="1">
        <v>85043</v>
      </c>
      <c r="B4214" t="s">
        <v>1178</v>
      </c>
      <c r="C4214" s="1">
        <v>4.95</v>
      </c>
      <c r="D4214" s="1">
        <v>1</v>
      </c>
      <c r="E4214" s="1">
        <v>1</v>
      </c>
      <c r="F4214" s="1">
        <v>1</v>
      </c>
      <c r="G4214" s="1">
        <v>4.95</v>
      </c>
      <c r="H4214" s="1" t="s">
        <v>8</v>
      </c>
      <c r="I4214" t="str">
        <f t="shared" si="65"/>
        <v>RED HEART CANDY POP LIGHTS [85043]</v>
      </c>
    </row>
    <row r="4215" spans="1:9" x14ac:dyDescent="0.3">
      <c r="A4215" s="1">
        <v>85044</v>
      </c>
      <c r="B4215" t="s">
        <v>1177</v>
      </c>
      <c r="C4215" s="1">
        <v>4.95</v>
      </c>
      <c r="D4215" s="1">
        <v>13</v>
      </c>
      <c r="E4215" s="2">
        <v>21.285714285714199</v>
      </c>
      <c r="F4215" s="1">
        <v>7</v>
      </c>
      <c r="G4215" s="1">
        <v>801.4</v>
      </c>
      <c r="H4215" s="1" t="s">
        <v>9</v>
      </c>
      <c r="I4215" t="str">
        <f t="shared" si="65"/>
        <v>RED REINDEER STRING OF 20 LIGHTS [85044]</v>
      </c>
    </row>
    <row r="4216" spans="1:9" x14ac:dyDescent="0.3">
      <c r="A4216" s="1">
        <v>85045</v>
      </c>
      <c r="B4216" t="s">
        <v>1176</v>
      </c>
      <c r="C4216" s="1">
        <v>4.95</v>
      </c>
      <c r="D4216" s="1">
        <v>17</v>
      </c>
      <c r="E4216" s="1">
        <v>39.25</v>
      </c>
      <c r="F4216" s="1">
        <v>12</v>
      </c>
      <c r="G4216" s="1">
        <v>2239.34</v>
      </c>
      <c r="H4216" s="1" t="s">
        <v>9</v>
      </c>
      <c r="I4216" t="str">
        <f t="shared" si="65"/>
        <v>GREEN CHRISTMAS TREE STRING 20LIGHT [85045]</v>
      </c>
    </row>
    <row r="4217" spans="1:9" x14ac:dyDescent="0.3">
      <c r="A4217" s="1">
        <v>85047</v>
      </c>
      <c r="B4217" t="s">
        <v>1175</v>
      </c>
      <c r="C4217" s="1">
        <v>6.35</v>
      </c>
      <c r="D4217" s="1">
        <v>73</v>
      </c>
      <c r="E4217" s="2">
        <v>80.846153846153797</v>
      </c>
      <c r="F4217" s="1">
        <v>13</v>
      </c>
      <c r="G4217" s="1">
        <v>6664.33</v>
      </c>
      <c r="H4217" s="1" t="s">
        <v>10</v>
      </c>
      <c r="I4217" t="str">
        <f t="shared" si="65"/>
        <v>WHITE BEADED GARLAND STRING 20LIGHT [85047]</v>
      </c>
    </row>
    <row r="4218" spans="1:9" x14ac:dyDescent="0.3">
      <c r="A4218" s="1">
        <v>85048</v>
      </c>
      <c r="B4218" t="s">
        <v>1174</v>
      </c>
      <c r="C4218" s="1">
        <v>7.95</v>
      </c>
      <c r="D4218" s="1">
        <v>21</v>
      </c>
      <c r="E4218" s="2">
        <v>127.85714285714199</v>
      </c>
      <c r="F4218" s="1">
        <v>21</v>
      </c>
      <c r="G4218" s="1">
        <v>21201.13</v>
      </c>
      <c r="H4218" s="1" t="s">
        <v>9</v>
      </c>
      <c r="I4218" t="str">
        <f t="shared" si="65"/>
        <v>15CM CHRISTMAS GLASS BALL 20 LIGHTS [85048]</v>
      </c>
    </row>
    <row r="4219" spans="1:9" x14ac:dyDescent="0.3">
      <c r="A4219" s="1" t="s">
        <v>1173</v>
      </c>
      <c r="B4219" t="s">
        <v>1162</v>
      </c>
      <c r="C4219" s="1">
        <v>1.27</v>
      </c>
      <c r="D4219" s="1">
        <v>127</v>
      </c>
      <c r="E4219" s="1">
        <v>246.04</v>
      </c>
      <c r="F4219" s="1">
        <v>25</v>
      </c>
      <c r="G4219" s="1">
        <v>8114.78</v>
      </c>
      <c r="H4219" s="1" t="s">
        <v>10</v>
      </c>
      <c r="I4219" t="str">
        <f t="shared" si="65"/>
        <v>TRADITIONAL CHRISTMAS RIBBONS [85049A]</v>
      </c>
    </row>
    <row r="4220" spans="1:9" x14ac:dyDescent="0.3">
      <c r="A4220" s="1" t="s">
        <v>1172</v>
      </c>
      <c r="B4220" t="s">
        <v>1160</v>
      </c>
      <c r="C4220" s="1">
        <v>1.26</v>
      </c>
      <c r="D4220" s="1">
        <v>145.5</v>
      </c>
      <c r="E4220" s="2">
        <v>151.85714285714201</v>
      </c>
      <c r="F4220" s="1">
        <v>14</v>
      </c>
      <c r="G4220" s="1">
        <v>2653.3</v>
      </c>
      <c r="H4220" s="1" t="s">
        <v>10</v>
      </c>
      <c r="I4220" t="str">
        <f t="shared" si="65"/>
        <v>LUSH GREENS RIBBONS [85049B]</v>
      </c>
    </row>
    <row r="4221" spans="1:9" x14ac:dyDescent="0.3">
      <c r="A4221" s="1" t="s">
        <v>1171</v>
      </c>
      <c r="B4221" t="s">
        <v>1158</v>
      </c>
      <c r="C4221" s="2">
        <v>1.2649999999999999</v>
      </c>
      <c r="D4221" s="1">
        <v>119</v>
      </c>
      <c r="E4221" s="2">
        <v>124.208333333333</v>
      </c>
      <c r="F4221" s="1">
        <v>24</v>
      </c>
      <c r="G4221" s="1">
        <v>3746.29</v>
      </c>
      <c r="H4221" s="1" t="s">
        <v>10</v>
      </c>
      <c r="I4221" t="str">
        <f t="shared" si="65"/>
        <v>ROMANTIC PINKS RIBBONS [85049C]</v>
      </c>
    </row>
    <row r="4222" spans="1:9" x14ac:dyDescent="0.3">
      <c r="A4222" s="1" t="s">
        <v>1170</v>
      </c>
      <c r="B4222" t="s">
        <v>1156</v>
      </c>
      <c r="C4222" s="1">
        <v>1.26</v>
      </c>
      <c r="D4222" s="1">
        <v>102.5</v>
      </c>
      <c r="E4222" s="2">
        <v>105.90909090909</v>
      </c>
      <c r="F4222" s="1">
        <v>22</v>
      </c>
      <c r="G4222" s="1">
        <v>2922.96</v>
      </c>
      <c r="H4222" s="1" t="s">
        <v>10</v>
      </c>
      <c r="I4222" t="str">
        <f t="shared" si="65"/>
        <v>BRIGHT BLUES RIBBONS [85049D]</v>
      </c>
    </row>
    <row r="4223" spans="1:9" x14ac:dyDescent="0.3">
      <c r="A4223" s="1" t="s">
        <v>1169</v>
      </c>
      <c r="B4223" t="s">
        <v>1154</v>
      </c>
      <c r="C4223" s="1">
        <v>1.29</v>
      </c>
      <c r="D4223" s="1">
        <v>119</v>
      </c>
      <c r="E4223" s="1">
        <v>252.64</v>
      </c>
      <c r="F4223" s="1">
        <v>25</v>
      </c>
      <c r="G4223" s="1">
        <v>8453.4699999999993</v>
      </c>
      <c r="H4223" s="1" t="s">
        <v>10</v>
      </c>
      <c r="I4223" t="str">
        <f t="shared" si="65"/>
        <v>SCANDINAVIAN REDS RIBBONS [85049E]</v>
      </c>
    </row>
    <row r="4224" spans="1:9" x14ac:dyDescent="0.3">
      <c r="A4224" s="1" t="s">
        <v>1168</v>
      </c>
      <c r="B4224" t="s">
        <v>1167</v>
      </c>
      <c r="C4224" s="1">
        <v>1.25</v>
      </c>
      <c r="D4224" s="1">
        <v>88.5</v>
      </c>
      <c r="E4224" s="1">
        <v>95.909090909090907</v>
      </c>
      <c r="F4224" s="1">
        <v>22</v>
      </c>
      <c r="G4224" s="1">
        <v>2634</v>
      </c>
      <c r="H4224" s="1" t="s">
        <v>10</v>
      </c>
      <c r="I4224" t="str">
        <f t="shared" si="65"/>
        <v>BABY BOOM RIBBONS [85049F]</v>
      </c>
    </row>
    <row r="4225" spans="1:9" x14ac:dyDescent="0.3">
      <c r="A4225" s="1" t="s">
        <v>1166</v>
      </c>
      <c r="B4225" t="s">
        <v>1152</v>
      </c>
      <c r="C4225" s="1">
        <v>1.27</v>
      </c>
      <c r="D4225" s="1">
        <v>127</v>
      </c>
      <c r="E4225" s="2">
        <v>159.541666666666</v>
      </c>
      <c r="F4225" s="1">
        <v>24</v>
      </c>
      <c r="G4225" s="1">
        <v>4718.62</v>
      </c>
      <c r="H4225" s="1" t="s">
        <v>10</v>
      </c>
      <c r="I4225" t="str">
        <f t="shared" si="65"/>
        <v>CHOCOLATE BOX RIBBONS [85049G]</v>
      </c>
    </row>
    <row r="4226" spans="1:9" x14ac:dyDescent="0.3">
      <c r="A4226" s="1" t="s">
        <v>1165</v>
      </c>
      <c r="B4226" t="s">
        <v>1164</v>
      </c>
      <c r="C4226" s="1">
        <v>1.25</v>
      </c>
      <c r="D4226" s="1">
        <v>65</v>
      </c>
      <c r="E4226" s="1">
        <v>82.64</v>
      </c>
      <c r="F4226" s="1">
        <v>25</v>
      </c>
      <c r="G4226" s="1">
        <v>2067.1799999999998</v>
      </c>
      <c r="H4226" s="1" t="s">
        <v>10</v>
      </c>
      <c r="I4226" t="str">
        <f t="shared" si="65"/>
        <v>URBAN BLACK RIBBONS [85049H]</v>
      </c>
    </row>
    <row r="4227" spans="1:9" x14ac:dyDescent="0.3">
      <c r="A4227" s="1" t="s">
        <v>1163</v>
      </c>
      <c r="B4227" t="s">
        <v>1162</v>
      </c>
      <c r="C4227" s="1">
        <v>3.29</v>
      </c>
      <c r="D4227" s="1">
        <v>12</v>
      </c>
      <c r="E4227" s="2">
        <v>36.1666666666666</v>
      </c>
      <c r="F4227" s="1">
        <v>12</v>
      </c>
      <c r="G4227" s="1">
        <v>1451.24</v>
      </c>
      <c r="H4227" s="1" t="s">
        <v>9</v>
      </c>
      <c r="I4227" t="str">
        <f t="shared" ref="I4227:I4290" si="66">B4227&amp;" ["&amp;A4227&amp;"]"</f>
        <v>TRADITIONAL CHRISTMAS RIBBONS [85049a]</v>
      </c>
    </row>
    <row r="4228" spans="1:9" x14ac:dyDescent="0.3">
      <c r="A4228" s="1" t="s">
        <v>1161</v>
      </c>
      <c r="B4228" t="s">
        <v>1160</v>
      </c>
      <c r="C4228" s="1">
        <v>2.46</v>
      </c>
      <c r="D4228" s="1">
        <v>1</v>
      </c>
      <c r="E4228" s="2">
        <v>1.3333333333333299</v>
      </c>
      <c r="F4228" s="1">
        <v>3</v>
      </c>
      <c r="G4228" s="1">
        <v>9.94</v>
      </c>
      <c r="H4228" s="1" t="s">
        <v>8</v>
      </c>
      <c r="I4228" t="str">
        <f t="shared" si="66"/>
        <v>LUSH GREENS RIBBONS [85049b]</v>
      </c>
    </row>
    <row r="4229" spans="1:9" x14ac:dyDescent="0.3">
      <c r="A4229" s="1" t="s">
        <v>1159</v>
      </c>
      <c r="B4229" t="s">
        <v>1158</v>
      </c>
      <c r="C4229" s="1">
        <v>2.46</v>
      </c>
      <c r="D4229" s="1">
        <v>1</v>
      </c>
      <c r="E4229" s="1">
        <v>1</v>
      </c>
      <c r="F4229" s="1">
        <v>1</v>
      </c>
      <c r="G4229" s="1">
        <v>2.46</v>
      </c>
      <c r="H4229" s="1" t="s">
        <v>8</v>
      </c>
      <c r="I4229" t="str">
        <f t="shared" si="66"/>
        <v>ROMANTIC PINKS RIBBONS [85049c]</v>
      </c>
    </row>
    <row r="4230" spans="1:9" x14ac:dyDescent="0.3">
      <c r="A4230" s="1" t="s">
        <v>1157</v>
      </c>
      <c r="B4230" t="s">
        <v>1156</v>
      </c>
      <c r="C4230" s="1">
        <v>2.46</v>
      </c>
      <c r="D4230" s="1">
        <v>1</v>
      </c>
      <c r="E4230" s="1">
        <v>1</v>
      </c>
      <c r="F4230" s="1">
        <v>2</v>
      </c>
      <c r="G4230" s="1">
        <v>4.92</v>
      </c>
      <c r="H4230" s="1" t="s">
        <v>8</v>
      </c>
      <c r="I4230" t="str">
        <f t="shared" si="66"/>
        <v>BRIGHT BLUES RIBBONS [85049d]</v>
      </c>
    </row>
    <row r="4231" spans="1:9" x14ac:dyDescent="0.3">
      <c r="A4231" s="1" t="s">
        <v>1155</v>
      </c>
      <c r="B4231" t="s">
        <v>1154</v>
      </c>
      <c r="C4231" s="1">
        <v>3.29</v>
      </c>
      <c r="D4231" s="1">
        <v>6</v>
      </c>
      <c r="E4231" s="2">
        <v>15.764705882352899</v>
      </c>
      <c r="F4231" s="1">
        <v>17</v>
      </c>
      <c r="G4231" s="1">
        <v>893.25</v>
      </c>
      <c r="H4231" s="1" t="s">
        <v>8</v>
      </c>
      <c r="I4231" t="str">
        <f t="shared" si="66"/>
        <v>SCANDINAVIAN REDS RIBBONS [85049e]</v>
      </c>
    </row>
    <row r="4232" spans="1:9" x14ac:dyDescent="0.3">
      <c r="A4232" s="1" t="s">
        <v>1153</v>
      </c>
      <c r="B4232" t="s">
        <v>1152</v>
      </c>
      <c r="C4232" s="1">
        <v>2.46</v>
      </c>
      <c r="D4232" s="1">
        <v>10</v>
      </c>
      <c r="E4232" s="2">
        <v>8.8461538461538396</v>
      </c>
      <c r="F4232" s="1">
        <v>13</v>
      </c>
      <c r="G4232" s="1">
        <v>281.44</v>
      </c>
      <c r="H4232" s="1" t="s">
        <v>9</v>
      </c>
      <c r="I4232" t="str">
        <f t="shared" si="66"/>
        <v>CHOCOLATE BOX RIBBONS [85049g]</v>
      </c>
    </row>
    <row r="4233" spans="1:9" x14ac:dyDescent="0.3">
      <c r="A4233" s="1">
        <v>85050</v>
      </c>
      <c r="B4233" t="s">
        <v>1151</v>
      </c>
      <c r="C4233" s="1">
        <v>2.1</v>
      </c>
      <c r="D4233" s="1">
        <v>48</v>
      </c>
      <c r="E4233" s="1">
        <v>48</v>
      </c>
      <c r="F4233" s="1">
        <v>1</v>
      </c>
      <c r="G4233" s="1">
        <v>100.8</v>
      </c>
      <c r="H4233" s="1" t="s">
        <v>9</v>
      </c>
      <c r="I4233" t="str">
        <f t="shared" si="66"/>
        <v>FRENCH ENAMEL SOAP DISH WITH LID [85050]</v>
      </c>
    </row>
    <row r="4234" spans="1:9" x14ac:dyDescent="0.3">
      <c r="A4234" s="1">
        <v>85053</v>
      </c>
      <c r="B4234" t="s">
        <v>1150</v>
      </c>
      <c r="C4234" s="1">
        <v>2.1800000000000002</v>
      </c>
      <c r="D4234" s="1">
        <v>80</v>
      </c>
      <c r="E4234" s="2">
        <v>96.761904761904702</v>
      </c>
      <c r="F4234" s="1">
        <v>21</v>
      </c>
      <c r="G4234" s="1">
        <v>4363.28</v>
      </c>
      <c r="H4234" s="1" t="s">
        <v>10</v>
      </c>
      <c r="I4234" t="str">
        <f t="shared" si="66"/>
        <v>FRENCH ENAMEL CANDLEHOLDER [85053]</v>
      </c>
    </row>
    <row r="4235" spans="1:9" x14ac:dyDescent="0.3">
      <c r="A4235" s="1">
        <v>85054</v>
      </c>
      <c r="B4235" t="s">
        <v>1149</v>
      </c>
      <c r="C4235" s="1">
        <v>3.1850000000000001</v>
      </c>
      <c r="D4235" s="1">
        <v>30.5</v>
      </c>
      <c r="E4235" s="2">
        <v>38.1666666666666</v>
      </c>
      <c r="F4235" s="1">
        <v>24</v>
      </c>
      <c r="G4235" s="1">
        <v>2495.02</v>
      </c>
      <c r="H4235" s="1" t="s">
        <v>9</v>
      </c>
      <c r="I4235" t="str">
        <f t="shared" si="66"/>
        <v>FRENCH ENAMEL POT W LID [85054]</v>
      </c>
    </row>
    <row r="4236" spans="1:9" x14ac:dyDescent="0.3">
      <c r="A4236" s="1">
        <v>85055</v>
      </c>
      <c r="B4236" t="s">
        <v>1148</v>
      </c>
      <c r="C4236" s="1">
        <v>4.01</v>
      </c>
      <c r="D4236" s="1">
        <v>23</v>
      </c>
      <c r="E4236" s="2">
        <v>25.6428571428571</v>
      </c>
      <c r="F4236" s="1">
        <v>14</v>
      </c>
      <c r="G4236" s="1">
        <v>1442.94</v>
      </c>
      <c r="H4236" s="1" t="s">
        <v>9</v>
      </c>
      <c r="I4236" t="str">
        <f t="shared" si="66"/>
        <v>FRENCH ENAMEL UTENSIL HOLDER [85055]</v>
      </c>
    </row>
    <row r="4237" spans="1:9" x14ac:dyDescent="0.3">
      <c r="A4237" s="1">
        <v>85059</v>
      </c>
      <c r="B4237" t="s">
        <v>1147</v>
      </c>
      <c r="C4237" s="1">
        <v>4.0999999999999996</v>
      </c>
      <c r="D4237" s="1">
        <v>21</v>
      </c>
      <c r="E4237" s="1">
        <v>28.04</v>
      </c>
      <c r="F4237" s="1">
        <v>25</v>
      </c>
      <c r="G4237" s="1">
        <v>2399.89</v>
      </c>
      <c r="H4237" s="1" t="s">
        <v>9</v>
      </c>
      <c r="I4237" t="str">
        <f t="shared" si="66"/>
        <v>FRENCH ENAMEL WATER BASIN [85059]</v>
      </c>
    </row>
    <row r="4238" spans="1:9" x14ac:dyDescent="0.3">
      <c r="A4238" s="1">
        <v>85060</v>
      </c>
      <c r="B4238" t="s">
        <v>1146</v>
      </c>
      <c r="C4238" s="1">
        <v>1.22</v>
      </c>
      <c r="D4238" s="1">
        <v>122</v>
      </c>
      <c r="E4238" s="1">
        <v>181</v>
      </c>
      <c r="F4238" s="1">
        <v>8</v>
      </c>
      <c r="G4238" s="2">
        <v>1745.62</v>
      </c>
      <c r="H4238" s="1" t="s">
        <v>10</v>
      </c>
      <c r="I4238" t="str">
        <f t="shared" si="66"/>
        <v>WOOD FAN WITH FLOWER DESIGN [85060]</v>
      </c>
    </row>
    <row r="4239" spans="1:9" x14ac:dyDescent="0.3">
      <c r="A4239" s="1" t="s">
        <v>1145</v>
      </c>
      <c r="B4239" t="s">
        <v>1144</v>
      </c>
      <c r="C4239" s="1">
        <v>0.89</v>
      </c>
      <c r="D4239" s="1">
        <v>214</v>
      </c>
      <c r="E4239" s="1">
        <v>252.24</v>
      </c>
      <c r="F4239" s="1">
        <v>25</v>
      </c>
      <c r="G4239" s="1">
        <v>5451.49</v>
      </c>
      <c r="H4239" s="1" t="s">
        <v>10</v>
      </c>
      <c r="I4239" t="str">
        <f t="shared" si="66"/>
        <v>WHITE JEWELLED HEART DECORATION [85061W]</v>
      </c>
    </row>
    <row r="4240" spans="1:9" x14ac:dyDescent="0.3">
      <c r="A4240" s="1">
        <v>85062</v>
      </c>
      <c r="B4240" t="s">
        <v>1143</v>
      </c>
      <c r="C4240" s="1">
        <v>1.66</v>
      </c>
      <c r="D4240" s="1">
        <v>154</v>
      </c>
      <c r="E4240" s="1">
        <v>155.44</v>
      </c>
      <c r="F4240" s="1">
        <v>25</v>
      </c>
      <c r="G4240" s="1">
        <v>6363.28</v>
      </c>
      <c r="H4240" s="1" t="s">
        <v>10</v>
      </c>
      <c r="I4240" t="str">
        <f t="shared" si="66"/>
        <v>PEARL CRYSTAL PUMPKIN T-LIGHT HLDR [85062]</v>
      </c>
    </row>
    <row r="4241" spans="1:9" x14ac:dyDescent="0.3">
      <c r="A4241" s="1">
        <v>85063</v>
      </c>
      <c r="B4241" t="s">
        <v>1142</v>
      </c>
      <c r="C4241" s="1">
        <v>18.079999999999998</v>
      </c>
      <c r="D4241" s="1">
        <v>24.5</v>
      </c>
      <c r="E4241" s="2">
        <v>25.6666666666666</v>
      </c>
      <c r="F4241" s="1">
        <v>12</v>
      </c>
      <c r="G4241" s="1">
        <v>5426.74</v>
      </c>
      <c r="H4241" s="1" t="s">
        <v>9</v>
      </c>
      <c r="I4241" t="str">
        <f t="shared" si="66"/>
        <v>CREAM SWEETHEART MAGAZINE RACK [85063]</v>
      </c>
    </row>
    <row r="4242" spans="1:9" x14ac:dyDescent="0.3">
      <c r="A4242" s="1">
        <v>85064</v>
      </c>
      <c r="B4242" t="s">
        <v>1141</v>
      </c>
      <c r="C4242" s="1">
        <v>5.45</v>
      </c>
      <c r="D4242" s="1">
        <v>95</v>
      </c>
      <c r="E4242" s="1">
        <v>145</v>
      </c>
      <c r="F4242" s="1">
        <v>11</v>
      </c>
      <c r="G4242" s="1">
        <v>7493.06</v>
      </c>
      <c r="H4242" s="1" t="s">
        <v>10</v>
      </c>
      <c r="I4242" t="str">
        <f t="shared" si="66"/>
        <v>CREAM SWEETHEART LETTER RACK [85064]</v>
      </c>
    </row>
    <row r="4243" spans="1:9" x14ac:dyDescent="0.3">
      <c r="A4243" s="1">
        <v>85065</v>
      </c>
      <c r="B4243" t="s">
        <v>1140</v>
      </c>
      <c r="C4243" s="1">
        <v>12.15</v>
      </c>
      <c r="D4243" s="1">
        <v>55</v>
      </c>
      <c r="E4243" s="2">
        <v>56.363636363636303</v>
      </c>
      <c r="F4243" s="1">
        <v>11</v>
      </c>
      <c r="G4243" s="1">
        <v>7524.44</v>
      </c>
      <c r="H4243" s="1" t="s">
        <v>9</v>
      </c>
      <c r="I4243" t="str">
        <f t="shared" si="66"/>
        <v>CREAM SWEETHEART TRAYS [85065]</v>
      </c>
    </row>
    <row r="4244" spans="1:9" x14ac:dyDescent="0.3">
      <c r="A4244" s="1">
        <v>85066</v>
      </c>
      <c r="B4244" t="s">
        <v>1139</v>
      </c>
      <c r="C4244" s="1">
        <v>12.78</v>
      </c>
      <c r="D4244" s="1">
        <v>103</v>
      </c>
      <c r="E4244" s="1">
        <v>123.64</v>
      </c>
      <c r="F4244" s="1">
        <v>25</v>
      </c>
      <c r="G4244" s="1">
        <v>38599.980000000003</v>
      </c>
      <c r="H4244" s="1" t="s">
        <v>10</v>
      </c>
      <c r="I4244" t="str">
        <f t="shared" si="66"/>
        <v>CREAM SWEETHEART MINI CHEST [85066]</v>
      </c>
    </row>
    <row r="4245" spans="1:9" x14ac:dyDescent="0.3">
      <c r="A4245" s="1">
        <v>85067</v>
      </c>
      <c r="B4245" t="s">
        <v>1138</v>
      </c>
      <c r="C4245" s="2">
        <v>18.564999999999898</v>
      </c>
      <c r="D4245" s="1">
        <v>19.5</v>
      </c>
      <c r="E4245" s="2">
        <v>35.428571428571402</v>
      </c>
      <c r="F4245" s="1">
        <v>14</v>
      </c>
      <c r="G4245" s="1">
        <v>8201.99</v>
      </c>
      <c r="H4245" s="1" t="s">
        <v>9</v>
      </c>
      <c r="I4245" t="str">
        <f t="shared" si="66"/>
        <v>CREAM SWEETHEART WALL CABINET [85067]</v>
      </c>
    </row>
    <row r="4246" spans="1:9" x14ac:dyDescent="0.3">
      <c r="A4246" s="1">
        <v>85068</v>
      </c>
      <c r="B4246" t="s">
        <v>1137</v>
      </c>
      <c r="C4246" s="1">
        <v>7.64</v>
      </c>
      <c r="D4246" s="1">
        <v>95</v>
      </c>
      <c r="E4246" s="2">
        <v>106.666666666666</v>
      </c>
      <c r="F4246" s="1">
        <v>9</v>
      </c>
      <c r="G4246" s="1">
        <v>6647.24</v>
      </c>
      <c r="H4246" s="1" t="s">
        <v>10</v>
      </c>
      <c r="I4246" t="str">
        <f t="shared" si="66"/>
        <v>CREAM SWEETHEART SHELF + HOOKS [85068]</v>
      </c>
    </row>
    <row r="4247" spans="1:9" x14ac:dyDescent="0.3">
      <c r="A4247" s="1">
        <v>85069</v>
      </c>
      <c r="B4247" t="s">
        <v>1136</v>
      </c>
      <c r="C4247" s="1">
        <v>16.95</v>
      </c>
      <c r="D4247" s="1">
        <v>3</v>
      </c>
      <c r="E4247" s="1">
        <v>3</v>
      </c>
      <c r="F4247" s="1">
        <v>1</v>
      </c>
      <c r="G4247" s="1">
        <v>50.85</v>
      </c>
      <c r="H4247" s="1" t="s">
        <v>8</v>
      </c>
      <c r="I4247" t="str">
        <f t="shared" si="66"/>
        <v>CREAM SWEETHEART DOUBLE SHELF [85069]</v>
      </c>
    </row>
    <row r="4248" spans="1:9" x14ac:dyDescent="0.3">
      <c r="A4248" s="1">
        <v>85070</v>
      </c>
      <c r="B4248" t="s">
        <v>1135</v>
      </c>
      <c r="C4248" s="1">
        <v>111.25</v>
      </c>
      <c r="D4248" s="1">
        <v>1.5</v>
      </c>
      <c r="E4248" s="1">
        <v>1.5</v>
      </c>
      <c r="F4248" s="1">
        <v>2</v>
      </c>
      <c r="G4248" s="1">
        <v>320</v>
      </c>
      <c r="H4248" s="1" t="s">
        <v>8</v>
      </c>
      <c r="I4248" t="str">
        <f t="shared" si="66"/>
        <v>ANT WHITE SWEETHEART TABLE W 3 DRAW [85070]</v>
      </c>
    </row>
    <row r="4249" spans="1:9" x14ac:dyDescent="0.3">
      <c r="A4249" s="1" t="s">
        <v>1134</v>
      </c>
      <c r="B4249" t="s">
        <v>1133</v>
      </c>
      <c r="C4249" s="1">
        <v>0.41</v>
      </c>
      <c r="D4249" s="1">
        <v>106</v>
      </c>
      <c r="E4249" s="2">
        <v>121.846153846153</v>
      </c>
      <c r="F4249" s="1">
        <v>13</v>
      </c>
      <c r="G4249" s="1">
        <v>719.46</v>
      </c>
      <c r="H4249" s="1" t="s">
        <v>10</v>
      </c>
      <c r="I4249" t="str">
        <f t="shared" si="66"/>
        <v>BLUE CHARLIE+LOLA PERSONAL DOORSIGN [85071A]</v>
      </c>
    </row>
    <row r="4250" spans="1:9" x14ac:dyDescent="0.3">
      <c r="A4250" s="1" t="s">
        <v>1132</v>
      </c>
      <c r="B4250" t="s">
        <v>1131</v>
      </c>
      <c r="C4250" s="1">
        <v>0.46</v>
      </c>
      <c r="D4250" s="1">
        <v>108</v>
      </c>
      <c r="E4250" s="2">
        <v>121.947368421052</v>
      </c>
      <c r="F4250" s="1">
        <v>19</v>
      </c>
      <c r="G4250" s="1">
        <v>1245.67</v>
      </c>
      <c r="H4250" s="1" t="s">
        <v>10</v>
      </c>
      <c r="I4250" t="str">
        <f t="shared" si="66"/>
        <v>RED CHARLIE+LOLA PERSONAL DOORSIGN [85071B]</v>
      </c>
    </row>
    <row r="4251" spans="1:9" x14ac:dyDescent="0.3">
      <c r="A4251" s="1" t="s">
        <v>1130</v>
      </c>
      <c r="B4251" t="s">
        <v>1129</v>
      </c>
      <c r="C4251" s="1">
        <v>0.56999999999999995</v>
      </c>
      <c r="D4251" s="1">
        <v>68</v>
      </c>
      <c r="E4251" s="2">
        <v>94.153846153846104</v>
      </c>
      <c r="F4251" s="1">
        <v>13</v>
      </c>
      <c r="G4251" s="1">
        <v>651.96</v>
      </c>
      <c r="H4251" s="1" t="s">
        <v>10</v>
      </c>
      <c r="I4251" t="str">
        <f t="shared" si="66"/>
        <v>CHARLIE+LOLA"EXTREMELY BUSY" SIGN [85071C]</v>
      </c>
    </row>
    <row r="4252" spans="1:9" x14ac:dyDescent="0.3">
      <c r="A4252" s="1" t="s">
        <v>1128</v>
      </c>
      <c r="B4252" t="s">
        <v>1127</v>
      </c>
      <c r="C4252" s="1">
        <v>2.5499999999999998</v>
      </c>
      <c r="D4252" s="1">
        <v>6</v>
      </c>
      <c r="E4252" s="2">
        <v>7.8571428571428497</v>
      </c>
      <c r="F4252" s="1">
        <v>14</v>
      </c>
      <c r="G4252" s="1">
        <v>228.23</v>
      </c>
      <c r="H4252" s="1" t="s">
        <v>8</v>
      </c>
      <c r="I4252" t="str">
        <f t="shared" si="66"/>
        <v>CHARLIE+LOLA MY ROOM DOOR SIGN [85071D]</v>
      </c>
    </row>
    <row r="4253" spans="1:9" x14ac:dyDescent="0.3">
      <c r="A4253" s="1">
        <v>85072</v>
      </c>
      <c r="B4253" t="s">
        <v>1126</v>
      </c>
      <c r="C4253" s="1">
        <v>0.55000000000000004</v>
      </c>
      <c r="D4253" s="1">
        <v>120</v>
      </c>
      <c r="E4253" s="1">
        <v>120</v>
      </c>
      <c r="F4253" s="1">
        <v>1</v>
      </c>
      <c r="G4253" s="1">
        <v>66</v>
      </c>
      <c r="H4253" s="1" t="s">
        <v>10</v>
      </c>
      <c r="I4253" t="str">
        <f t="shared" si="66"/>
        <v>OCCASIONS GIFT CARD ASSORTMENT [85072]</v>
      </c>
    </row>
    <row r="4254" spans="1:9" x14ac:dyDescent="0.3">
      <c r="A4254" s="1">
        <v>85077</v>
      </c>
      <c r="B4254" t="s">
        <v>1125</v>
      </c>
      <c r="C4254" s="1">
        <v>5.95</v>
      </c>
      <c r="D4254" s="1">
        <v>1</v>
      </c>
      <c r="E4254" s="1">
        <v>1</v>
      </c>
      <c r="F4254" s="1">
        <v>1</v>
      </c>
      <c r="G4254" s="1">
        <v>5.95</v>
      </c>
      <c r="H4254" s="1" t="s">
        <v>8</v>
      </c>
      <c r="I4254" t="str">
        <f t="shared" si="66"/>
        <v>KISSING REINDEER TABLE RUNNER [85077]</v>
      </c>
    </row>
    <row r="4255" spans="1:9" x14ac:dyDescent="0.3">
      <c r="A4255" s="1">
        <v>85078</v>
      </c>
      <c r="B4255" t="s">
        <v>1124</v>
      </c>
      <c r="C4255" s="1">
        <v>0.65</v>
      </c>
      <c r="D4255" s="1">
        <v>75</v>
      </c>
      <c r="E4255" s="2">
        <v>124.666666666666</v>
      </c>
      <c r="F4255" s="1">
        <v>18</v>
      </c>
      <c r="G4255" s="1">
        <v>1003.52</v>
      </c>
      <c r="H4255" s="1" t="s">
        <v>10</v>
      </c>
      <c r="I4255" t="str">
        <f t="shared" si="66"/>
        <v>SCANDINAVIAN 3 HEARTS NAPKIN RING [85078]</v>
      </c>
    </row>
    <row r="4256" spans="1:9" x14ac:dyDescent="0.3">
      <c r="A4256" s="1">
        <v>85079</v>
      </c>
      <c r="B4256" t="s">
        <v>1123</v>
      </c>
      <c r="C4256" s="1">
        <v>1.4</v>
      </c>
      <c r="D4256" s="1">
        <v>23</v>
      </c>
      <c r="E4256" s="1">
        <v>23</v>
      </c>
      <c r="F4256" s="1">
        <v>1</v>
      </c>
      <c r="G4256" s="1">
        <v>32.25</v>
      </c>
      <c r="H4256" s="1" t="s">
        <v>9</v>
      </c>
      <c r="I4256" t="str">
        <f t="shared" si="66"/>
        <v>EMBROIDERED REINDEER DECORATION [85079]</v>
      </c>
    </row>
    <row r="4257" spans="1:9" x14ac:dyDescent="0.3">
      <c r="A4257" s="1">
        <v>85080</v>
      </c>
      <c r="B4257" t="s">
        <v>1122</v>
      </c>
      <c r="C4257" s="1">
        <v>0.42</v>
      </c>
      <c r="D4257" s="1">
        <v>29</v>
      </c>
      <c r="E4257" s="1">
        <v>22.6</v>
      </c>
      <c r="F4257" s="1">
        <v>5</v>
      </c>
      <c r="G4257" s="1">
        <v>55.76</v>
      </c>
      <c r="H4257" s="1" t="s">
        <v>9</v>
      </c>
      <c r="I4257" t="str">
        <f t="shared" si="66"/>
        <v>PADDED RED HEART DECORATION [85080]</v>
      </c>
    </row>
    <row r="4258" spans="1:9" x14ac:dyDescent="0.3">
      <c r="A4258" s="1">
        <v>85081</v>
      </c>
      <c r="B4258" t="s">
        <v>1121</v>
      </c>
      <c r="C4258" s="1">
        <v>0.42</v>
      </c>
      <c r="D4258" s="1">
        <v>17</v>
      </c>
      <c r="E4258" s="1">
        <v>20.8</v>
      </c>
      <c r="F4258" s="1">
        <v>5</v>
      </c>
      <c r="G4258" s="1">
        <v>46.17</v>
      </c>
      <c r="H4258" s="1" t="s">
        <v>9</v>
      </c>
      <c r="I4258" t="str">
        <f t="shared" si="66"/>
        <v>PADDED HOLLY CHRISTMAS DECORATION [85081]</v>
      </c>
    </row>
    <row r="4259" spans="1:9" x14ac:dyDescent="0.3">
      <c r="A4259" s="1">
        <v>85083</v>
      </c>
      <c r="B4259" t="s">
        <v>1120</v>
      </c>
      <c r="C4259" s="1">
        <v>2.5499999999999998</v>
      </c>
      <c r="D4259" s="1">
        <v>5</v>
      </c>
      <c r="E4259" s="1">
        <v>5</v>
      </c>
      <c r="F4259" s="1">
        <v>1</v>
      </c>
      <c r="G4259" s="1">
        <v>12.75</v>
      </c>
      <c r="H4259" s="1" t="s">
        <v>8</v>
      </c>
      <c r="I4259" t="str">
        <f t="shared" si="66"/>
        <v>KISS REINDEER SCANDINAVIAN STOCKING [85083]</v>
      </c>
    </row>
    <row r="4260" spans="1:9" x14ac:dyDescent="0.3">
      <c r="A4260" s="1">
        <v>85084</v>
      </c>
      <c r="B4260" t="s">
        <v>1119</v>
      </c>
      <c r="C4260" s="1">
        <v>0.88</v>
      </c>
      <c r="D4260" s="1">
        <v>128.5</v>
      </c>
      <c r="E4260" s="2">
        <v>113.666666666666</v>
      </c>
      <c r="F4260" s="1">
        <v>6</v>
      </c>
      <c r="G4260" s="1">
        <v>681.4</v>
      </c>
      <c r="H4260" s="1" t="s">
        <v>10</v>
      </c>
      <c r="I4260" t="str">
        <f t="shared" si="66"/>
        <v>HOLLY TOP CHRISTMAS STOCKING [85084]</v>
      </c>
    </row>
    <row r="4261" spans="1:9" x14ac:dyDescent="0.3">
      <c r="A4261" s="1" t="s">
        <v>1118</v>
      </c>
      <c r="B4261" t="s">
        <v>1117</v>
      </c>
      <c r="C4261" s="1">
        <v>0.91</v>
      </c>
      <c r="D4261" s="1">
        <v>29</v>
      </c>
      <c r="E4261" s="2">
        <v>30.8947368421052</v>
      </c>
      <c r="F4261" s="1">
        <v>19</v>
      </c>
      <c r="G4261" s="1">
        <v>568.73</v>
      </c>
      <c r="H4261" s="1" t="s">
        <v>9</v>
      </c>
      <c r="I4261" t="str">
        <f t="shared" si="66"/>
        <v>CANDY SPOT HEART DECORATION [85086A]</v>
      </c>
    </row>
    <row r="4262" spans="1:9" x14ac:dyDescent="0.3">
      <c r="A4262" s="1">
        <v>85087</v>
      </c>
      <c r="B4262" t="s">
        <v>1116</v>
      </c>
      <c r="C4262" s="1">
        <v>3.29</v>
      </c>
      <c r="D4262" s="1">
        <v>12</v>
      </c>
      <c r="E4262" s="2">
        <v>19.952380952380899</v>
      </c>
      <c r="F4262" s="1">
        <v>21</v>
      </c>
      <c r="G4262" s="1">
        <v>1384.17</v>
      </c>
      <c r="H4262" s="1" t="s">
        <v>9</v>
      </c>
      <c r="I4262" t="str">
        <f t="shared" si="66"/>
        <v>CANDY SPOT CUSHION COVER [85087]</v>
      </c>
    </row>
    <row r="4263" spans="1:9" x14ac:dyDescent="0.3">
      <c r="A4263" s="1">
        <v>85088</v>
      </c>
      <c r="B4263" t="s">
        <v>1115</v>
      </c>
      <c r="C4263" s="1">
        <v>2.1</v>
      </c>
      <c r="D4263" s="1">
        <v>10</v>
      </c>
      <c r="E4263" s="2">
        <v>16.523809523809501</v>
      </c>
      <c r="F4263" s="1">
        <v>21</v>
      </c>
      <c r="G4263" s="1">
        <v>723.85</v>
      </c>
      <c r="H4263" s="1" t="s">
        <v>9</v>
      </c>
      <c r="I4263" t="str">
        <f t="shared" si="66"/>
        <v>CANDY SPOT HAND BAG [85088]</v>
      </c>
    </row>
    <row r="4264" spans="1:9" x14ac:dyDescent="0.3">
      <c r="A4264" s="1">
        <v>85089</v>
      </c>
      <c r="B4264" t="s">
        <v>1114</v>
      </c>
      <c r="C4264" s="1">
        <v>2.95</v>
      </c>
      <c r="D4264" s="1">
        <v>8</v>
      </c>
      <c r="E4264" s="1">
        <v>9</v>
      </c>
      <c r="F4264" s="1">
        <v>11</v>
      </c>
      <c r="G4264" s="1">
        <v>317.54000000000002</v>
      </c>
      <c r="H4264" s="1" t="s">
        <v>8</v>
      </c>
      <c r="I4264" t="str">
        <f t="shared" si="66"/>
        <v>CANDY SPOT BUNNY [85089]</v>
      </c>
    </row>
    <row r="4265" spans="1:9" x14ac:dyDescent="0.3">
      <c r="A4265" s="1">
        <v>85090</v>
      </c>
      <c r="B4265" t="s">
        <v>1113</v>
      </c>
      <c r="C4265" s="1">
        <v>5.17</v>
      </c>
      <c r="D4265" s="1">
        <v>6</v>
      </c>
      <c r="E4265" s="2">
        <v>9.6363636363636296</v>
      </c>
      <c r="F4265" s="1">
        <v>11</v>
      </c>
      <c r="G4265" s="1">
        <v>559.28</v>
      </c>
      <c r="H4265" s="1" t="s">
        <v>8</v>
      </c>
      <c r="I4265" t="str">
        <f t="shared" si="66"/>
        <v>CANDY SPOT APRON [85090]</v>
      </c>
    </row>
    <row r="4266" spans="1:9" x14ac:dyDescent="0.3">
      <c r="A4266" s="1">
        <v>85091</v>
      </c>
      <c r="B4266" t="s">
        <v>1112</v>
      </c>
      <c r="C4266" s="1">
        <v>5.71</v>
      </c>
      <c r="D4266" s="1">
        <v>5</v>
      </c>
      <c r="E4266" s="2">
        <v>5.2857142857142803</v>
      </c>
      <c r="F4266" s="1">
        <v>7</v>
      </c>
      <c r="G4266" s="1">
        <v>214.91</v>
      </c>
      <c r="H4266" s="1" t="s">
        <v>8</v>
      </c>
      <c r="I4266" t="str">
        <f t="shared" si="66"/>
        <v>CANDY SPOT BREAD BASKETS [85091]</v>
      </c>
    </row>
    <row r="4267" spans="1:9" x14ac:dyDescent="0.3">
      <c r="A4267" s="1">
        <v>85092</v>
      </c>
      <c r="B4267" t="s">
        <v>1111</v>
      </c>
      <c r="C4267" s="2">
        <v>3.59499999999999</v>
      </c>
      <c r="D4267" s="1">
        <v>9.5</v>
      </c>
      <c r="E4267" s="1">
        <v>48.875</v>
      </c>
      <c r="F4267" s="1">
        <v>8</v>
      </c>
      <c r="G4267" s="1">
        <v>622.57000000000005</v>
      </c>
      <c r="H4267" s="1" t="s">
        <v>8</v>
      </c>
      <c r="I4267" t="str">
        <f t="shared" si="66"/>
        <v>CANDY SPOT TEA COSY [85092]</v>
      </c>
    </row>
    <row r="4268" spans="1:9" x14ac:dyDescent="0.3">
      <c r="A4268" s="1">
        <v>85093</v>
      </c>
      <c r="B4268" t="s">
        <v>1110</v>
      </c>
      <c r="C4268" s="1">
        <v>1.155</v>
      </c>
      <c r="D4268" s="1">
        <v>23</v>
      </c>
      <c r="E4268" s="2">
        <v>61.863636363636303</v>
      </c>
      <c r="F4268" s="1">
        <v>22</v>
      </c>
      <c r="G4268" s="1">
        <v>1091.21</v>
      </c>
      <c r="H4268" s="1" t="s">
        <v>9</v>
      </c>
      <c r="I4268" t="str">
        <f t="shared" si="66"/>
        <v>CANDY SPOT EGG WARMER HARE [85093]</v>
      </c>
    </row>
    <row r="4269" spans="1:9" x14ac:dyDescent="0.3">
      <c r="A4269" s="1">
        <v>85094</v>
      </c>
      <c r="B4269" t="s">
        <v>1109</v>
      </c>
      <c r="C4269" s="1">
        <v>0.83</v>
      </c>
      <c r="D4269" s="1">
        <v>11</v>
      </c>
      <c r="E4269" s="2">
        <v>35.266666666666602</v>
      </c>
      <c r="F4269" s="1">
        <v>15</v>
      </c>
      <c r="G4269" s="1">
        <v>281.52</v>
      </c>
      <c r="H4269" s="1" t="s">
        <v>9</v>
      </c>
      <c r="I4269" t="str">
        <f t="shared" si="66"/>
        <v>CANDY SPOT EGG WARMER RABBIT [85094]</v>
      </c>
    </row>
    <row r="4270" spans="1:9" x14ac:dyDescent="0.3">
      <c r="A4270" s="1">
        <v>85095</v>
      </c>
      <c r="B4270" t="s">
        <v>1108</v>
      </c>
      <c r="C4270" s="1">
        <v>1.95</v>
      </c>
      <c r="D4270" s="1">
        <v>8</v>
      </c>
      <c r="E4270" s="2">
        <v>13.3846153846153</v>
      </c>
      <c r="F4270" s="1">
        <v>13</v>
      </c>
      <c r="G4270" s="1">
        <v>259.08999999999997</v>
      </c>
      <c r="H4270" s="1" t="s">
        <v>8</v>
      </c>
      <c r="I4270" t="str">
        <f t="shared" si="66"/>
        <v>THREE CANVAS LUGGAGE TAGS [85095]</v>
      </c>
    </row>
    <row r="4271" spans="1:9" x14ac:dyDescent="0.3">
      <c r="A4271" s="1">
        <v>85096</v>
      </c>
      <c r="B4271" t="s">
        <v>1107</v>
      </c>
      <c r="C4271" s="1">
        <v>3.75</v>
      </c>
      <c r="D4271" s="1">
        <v>5</v>
      </c>
      <c r="E4271" s="2">
        <v>8.6315789473684195</v>
      </c>
      <c r="F4271" s="1">
        <v>19</v>
      </c>
      <c r="G4271" s="1">
        <v>676.92</v>
      </c>
      <c r="H4271" s="1" t="s">
        <v>8</v>
      </c>
      <c r="I4271" t="str">
        <f t="shared" si="66"/>
        <v>HILDA CANDY SPOT RABBIT [85096]</v>
      </c>
    </row>
    <row r="4272" spans="1:9" x14ac:dyDescent="0.3">
      <c r="A4272" s="1" t="s">
        <v>1106</v>
      </c>
      <c r="B4272" t="s">
        <v>1105</v>
      </c>
      <c r="C4272" s="1">
        <v>3.75</v>
      </c>
      <c r="D4272" s="1">
        <v>11</v>
      </c>
      <c r="E4272" s="2">
        <v>15.1428571428571</v>
      </c>
      <c r="F4272" s="1">
        <v>7</v>
      </c>
      <c r="G4272" s="1">
        <v>417.17</v>
      </c>
      <c r="H4272" s="1" t="s">
        <v>9</v>
      </c>
      <c r="I4272" t="str">
        <f t="shared" si="66"/>
        <v>BLUE ROCKING SINGING CANARY [85097B]</v>
      </c>
    </row>
    <row r="4273" spans="1:9" x14ac:dyDescent="0.3">
      <c r="A4273" s="1" t="s">
        <v>1104</v>
      </c>
      <c r="B4273" t="s">
        <v>1103</v>
      </c>
      <c r="C4273" s="1">
        <v>3.9350000000000001</v>
      </c>
      <c r="D4273" s="1">
        <v>29.5</v>
      </c>
      <c r="E4273" s="1">
        <v>30.5</v>
      </c>
      <c r="F4273" s="1">
        <v>12</v>
      </c>
      <c r="G4273" s="1">
        <v>1456.94</v>
      </c>
      <c r="H4273" s="1" t="s">
        <v>9</v>
      </c>
      <c r="I4273" t="str">
        <f t="shared" si="66"/>
        <v>BLUE FLYING SINGING CANARY [85098B]</v>
      </c>
    </row>
    <row r="4274" spans="1:9" x14ac:dyDescent="0.3">
      <c r="A4274" s="1" t="s">
        <v>1102</v>
      </c>
      <c r="B4274" t="s">
        <v>1101</v>
      </c>
      <c r="C4274" s="1">
        <v>1.895</v>
      </c>
      <c r="D4274" s="1">
        <v>3147.5</v>
      </c>
      <c r="E4274" s="1">
        <v>3023.65625</v>
      </c>
      <c r="F4274" s="1">
        <v>25</v>
      </c>
      <c r="G4274" s="1">
        <v>180569.34</v>
      </c>
      <c r="H4274" s="1" t="s">
        <v>10</v>
      </c>
      <c r="I4274" t="str">
        <f t="shared" si="66"/>
        <v>JUMBO BAG RED WHITE SPOTTY [85099B]</v>
      </c>
    </row>
    <row r="4275" spans="1:9" x14ac:dyDescent="0.3">
      <c r="A4275" s="1" t="s">
        <v>1100</v>
      </c>
      <c r="B4275" t="s">
        <v>1095</v>
      </c>
      <c r="C4275" s="1">
        <v>1.94</v>
      </c>
      <c r="D4275" s="1">
        <v>1208</v>
      </c>
      <c r="E4275" s="1">
        <v>1225.5999999999999</v>
      </c>
      <c r="F4275" s="1">
        <v>25</v>
      </c>
      <c r="G4275" s="1">
        <v>59057.61</v>
      </c>
      <c r="H4275" s="1" t="s">
        <v>10</v>
      </c>
      <c r="I4275" t="str">
        <f t="shared" si="66"/>
        <v>JUMBO  BAG BAROQUE BLACK WHITE [85099C]</v>
      </c>
    </row>
    <row r="4276" spans="1:9" x14ac:dyDescent="0.3">
      <c r="A4276" s="1" t="s">
        <v>1099</v>
      </c>
      <c r="B4276" t="s">
        <v>1093</v>
      </c>
      <c r="C4276" s="1">
        <v>1.83</v>
      </c>
      <c r="D4276" s="1">
        <v>1407</v>
      </c>
      <c r="E4276" s="1">
        <v>1474.4</v>
      </c>
      <c r="F4276" s="1">
        <v>25</v>
      </c>
      <c r="G4276" s="1">
        <v>67985.77</v>
      </c>
      <c r="H4276" s="1" t="s">
        <v>10</v>
      </c>
      <c r="I4276" t="str">
        <f t="shared" si="66"/>
        <v>JUMBO BAG STRAWBERRY [85099F]</v>
      </c>
    </row>
    <row r="4277" spans="1:9" x14ac:dyDescent="0.3">
      <c r="A4277" s="1" t="s">
        <v>1098</v>
      </c>
      <c r="B4277" t="s">
        <v>1097</v>
      </c>
      <c r="C4277" s="1">
        <v>5.0599999999999996</v>
      </c>
      <c r="D4277" s="1">
        <v>34</v>
      </c>
      <c r="E4277" s="1">
        <v>83.8</v>
      </c>
      <c r="F4277" s="1">
        <v>5</v>
      </c>
      <c r="G4277" s="1">
        <v>2111.64</v>
      </c>
      <c r="H4277" s="1" t="s">
        <v>9</v>
      </c>
      <c r="I4277" t="str">
        <f t="shared" si="66"/>
        <v>JUMBO BAG RED RETROSPOT [85099b]</v>
      </c>
    </row>
    <row r="4278" spans="1:9" x14ac:dyDescent="0.3">
      <c r="A4278" s="1" t="s">
        <v>1096</v>
      </c>
      <c r="B4278" t="s">
        <v>1095</v>
      </c>
      <c r="C4278" s="1">
        <v>4.92</v>
      </c>
      <c r="D4278" s="1">
        <v>8.5</v>
      </c>
      <c r="E4278" s="1">
        <v>8.5</v>
      </c>
      <c r="F4278" s="1">
        <v>2</v>
      </c>
      <c r="G4278" s="1">
        <v>85.17</v>
      </c>
      <c r="H4278" s="1" t="s">
        <v>8</v>
      </c>
      <c r="I4278" t="str">
        <f t="shared" si="66"/>
        <v>JUMBO  BAG BAROQUE BLACK WHITE [85099c]</v>
      </c>
    </row>
    <row r="4279" spans="1:9" x14ac:dyDescent="0.3">
      <c r="A4279" s="1" t="s">
        <v>1094</v>
      </c>
      <c r="B4279" t="s">
        <v>1093</v>
      </c>
      <c r="C4279" s="1">
        <v>5.0599999999999996</v>
      </c>
      <c r="D4279" s="1">
        <v>27</v>
      </c>
      <c r="E4279" s="2">
        <v>28.714285714285701</v>
      </c>
      <c r="F4279" s="1">
        <v>7</v>
      </c>
      <c r="G4279" s="1">
        <v>1016.36</v>
      </c>
      <c r="H4279" s="1" t="s">
        <v>9</v>
      </c>
      <c r="I4279" t="str">
        <f t="shared" si="66"/>
        <v>JUMBO BAG STRAWBERRY [85099f]</v>
      </c>
    </row>
    <row r="4280" spans="1:9" x14ac:dyDescent="0.3">
      <c r="A4280" s="1">
        <v>85103</v>
      </c>
      <c r="B4280" t="s">
        <v>1092</v>
      </c>
      <c r="C4280" s="2">
        <v>6.8599999999999897</v>
      </c>
      <c r="D4280" s="1">
        <v>15</v>
      </c>
      <c r="E4280" s="1">
        <v>15.85</v>
      </c>
      <c r="F4280" s="1">
        <v>18</v>
      </c>
      <c r="G4280" s="1">
        <v>2153.4299999999998</v>
      </c>
      <c r="H4280" s="1" t="s">
        <v>9</v>
      </c>
      <c r="I4280" t="str">
        <f t="shared" si="66"/>
        <v>SILVER T-LIGHT SETTING [85103]</v>
      </c>
    </row>
    <row r="4281" spans="1:9" x14ac:dyDescent="0.3">
      <c r="A4281" s="1">
        <v>85104</v>
      </c>
      <c r="B4281" t="s">
        <v>1091</v>
      </c>
      <c r="C4281" s="1">
        <v>2.95</v>
      </c>
      <c r="D4281" s="1">
        <v>5.5</v>
      </c>
      <c r="E4281" s="1">
        <v>17.55</v>
      </c>
      <c r="F4281" s="1">
        <v>20</v>
      </c>
      <c r="G4281" s="1">
        <v>1024.49</v>
      </c>
      <c r="H4281" s="1" t="s">
        <v>8</v>
      </c>
      <c r="I4281" t="str">
        <f t="shared" si="66"/>
        <v>SILVER GLASS T-LIGHT SET [85104]</v>
      </c>
    </row>
    <row r="4282" spans="1:9" x14ac:dyDescent="0.3">
      <c r="A4282" s="1">
        <v>85106</v>
      </c>
      <c r="B4282" t="s">
        <v>1090</v>
      </c>
      <c r="C4282" s="1">
        <v>2.5499999999999998</v>
      </c>
      <c r="D4282" s="1">
        <v>12.5</v>
      </c>
      <c r="E4282" s="2">
        <v>66.1111111111111</v>
      </c>
      <c r="F4282" s="1">
        <v>18</v>
      </c>
      <c r="G4282" s="1">
        <v>2271.2399999999998</v>
      </c>
      <c r="H4282" s="1" t="s">
        <v>9</v>
      </c>
      <c r="I4282" t="str">
        <f t="shared" si="66"/>
        <v>CUT GLASS HEXAGON T-LIGHT HOLDER [85106]</v>
      </c>
    </row>
    <row r="4283" spans="1:9" x14ac:dyDescent="0.3">
      <c r="A4283" s="1">
        <v>85107</v>
      </c>
      <c r="B4283" t="s">
        <v>1089</v>
      </c>
      <c r="C4283" s="1">
        <v>2.5499999999999998</v>
      </c>
      <c r="D4283" s="1">
        <v>33</v>
      </c>
      <c r="E4283" s="2">
        <v>57.285714285714199</v>
      </c>
      <c r="F4283" s="1">
        <v>21</v>
      </c>
      <c r="G4283" s="1">
        <v>2274.79</v>
      </c>
      <c r="H4283" s="1" t="s">
        <v>9</v>
      </c>
      <c r="I4283" t="str">
        <f t="shared" si="66"/>
        <v>CUT GLASS T-LIGHT HOLDER OCTAGON [85107]</v>
      </c>
    </row>
    <row r="4284" spans="1:9" x14ac:dyDescent="0.3">
      <c r="A4284" s="1">
        <v>85109</v>
      </c>
      <c r="B4284" t="s">
        <v>1088</v>
      </c>
      <c r="C4284" s="1">
        <v>0.85</v>
      </c>
      <c r="D4284" s="1">
        <v>12</v>
      </c>
      <c r="E4284" s="2">
        <v>41.285714285714199</v>
      </c>
      <c r="F4284" s="1">
        <v>7</v>
      </c>
      <c r="G4284" s="1">
        <v>157.09</v>
      </c>
      <c r="H4284" s="1" t="s">
        <v>9</v>
      </c>
      <c r="I4284" t="str">
        <f t="shared" si="66"/>
        <v>PINK BOUDOIR T-LIGHT HOLDER [85109]</v>
      </c>
    </row>
    <row r="4285" spans="1:9" x14ac:dyDescent="0.3">
      <c r="A4285" s="1">
        <v>85110</v>
      </c>
      <c r="B4285" t="s">
        <v>1087</v>
      </c>
      <c r="C4285" s="1">
        <v>0.19</v>
      </c>
      <c r="D4285" s="1">
        <v>619</v>
      </c>
      <c r="E4285" s="2">
        <v>1913.3333333333301</v>
      </c>
      <c r="F4285" s="1">
        <v>6</v>
      </c>
      <c r="G4285" s="1">
        <v>1099.0999999999999</v>
      </c>
      <c r="H4285" s="1" t="s">
        <v>10</v>
      </c>
      <c r="I4285" t="str">
        <f t="shared" si="66"/>
        <v>BLACK SILVER FLOWER T-LIGHT HOLDER [85110]</v>
      </c>
    </row>
    <row r="4286" spans="1:9" x14ac:dyDescent="0.3">
      <c r="A4286" s="1">
        <v>85111</v>
      </c>
      <c r="B4286" t="s">
        <v>1086</v>
      </c>
      <c r="C4286" s="1">
        <v>0.28999999999999998</v>
      </c>
      <c r="D4286" s="1">
        <v>84</v>
      </c>
      <c r="E4286" s="2">
        <v>218.30769230769201</v>
      </c>
      <c r="F4286" s="1">
        <v>13</v>
      </c>
      <c r="G4286" s="1">
        <v>845.98</v>
      </c>
      <c r="H4286" s="1" t="s">
        <v>10</v>
      </c>
      <c r="I4286" t="str">
        <f t="shared" si="66"/>
        <v>SILVER GLITTER FLOWER VOTIVE HOLDER [85111]</v>
      </c>
    </row>
    <row r="4287" spans="1:9" x14ac:dyDescent="0.3">
      <c r="A4287" s="1">
        <v>85112</v>
      </c>
      <c r="B4287" t="s">
        <v>1085</v>
      </c>
      <c r="C4287" s="1">
        <v>1.25</v>
      </c>
      <c r="D4287" s="1">
        <v>7</v>
      </c>
      <c r="E4287" s="1">
        <v>155</v>
      </c>
      <c r="F4287" s="1">
        <v>3</v>
      </c>
      <c r="G4287" s="1">
        <v>412.77</v>
      </c>
      <c r="H4287" s="1" t="s">
        <v>8</v>
      </c>
      <c r="I4287" t="str">
        <f t="shared" si="66"/>
        <v>S/3 TEAR DROP CUT GLASS DECORATION [85112]</v>
      </c>
    </row>
    <row r="4288" spans="1:9" x14ac:dyDescent="0.3">
      <c r="A4288" s="1">
        <v>85113</v>
      </c>
      <c r="B4288" t="s">
        <v>1084</v>
      </c>
      <c r="C4288" s="1">
        <v>2.1</v>
      </c>
      <c r="D4288" s="1">
        <v>26</v>
      </c>
      <c r="E4288" s="1">
        <v>47.5</v>
      </c>
      <c r="F4288" s="1">
        <v>6</v>
      </c>
      <c r="G4288" s="1">
        <v>591.66</v>
      </c>
      <c r="H4288" s="1" t="s">
        <v>9</v>
      </c>
      <c r="I4288" t="str">
        <f t="shared" si="66"/>
        <v>POLKA DOT PISTACHIO PAIL [85113]</v>
      </c>
    </row>
    <row r="4289" spans="1:9" x14ac:dyDescent="0.3">
      <c r="A4289" s="1" t="s">
        <v>1083</v>
      </c>
      <c r="B4289" t="s">
        <v>1079</v>
      </c>
      <c r="C4289" s="1">
        <v>1.67</v>
      </c>
      <c r="D4289" s="1">
        <v>50</v>
      </c>
      <c r="E4289" s="2">
        <v>66.842105263157805</v>
      </c>
      <c r="F4289" s="1">
        <v>19</v>
      </c>
      <c r="G4289" s="1">
        <v>2110.9</v>
      </c>
      <c r="H4289" s="1" t="s">
        <v>9</v>
      </c>
      <c r="I4289" t="str">
        <f t="shared" si="66"/>
        <v>BLACK ENCHANTED FOREST PLACEMAT [85114A]</v>
      </c>
    </row>
    <row r="4290" spans="1:9" x14ac:dyDescent="0.3">
      <c r="A4290" s="1" t="s">
        <v>1082</v>
      </c>
      <c r="B4290" t="s">
        <v>1077</v>
      </c>
      <c r="C4290" s="1">
        <v>1.94</v>
      </c>
      <c r="D4290" s="1">
        <v>59</v>
      </c>
      <c r="E4290" s="1">
        <v>80.680000000000007</v>
      </c>
      <c r="F4290" s="1">
        <v>25</v>
      </c>
      <c r="G4290" s="1">
        <v>3618.05</v>
      </c>
      <c r="H4290" s="1" t="s">
        <v>9</v>
      </c>
      <c r="I4290" t="str">
        <f t="shared" si="66"/>
        <v>IVORY ENCHANTED FOREST PLACEMAT [85114B]</v>
      </c>
    </row>
    <row r="4291" spans="1:9" x14ac:dyDescent="0.3">
      <c r="A4291" s="1" t="s">
        <v>1081</v>
      </c>
      <c r="B4291" t="s">
        <v>1075</v>
      </c>
      <c r="C4291" s="1">
        <v>1.7</v>
      </c>
      <c r="D4291" s="1">
        <v>26.5</v>
      </c>
      <c r="E4291" s="1">
        <v>49.125</v>
      </c>
      <c r="F4291" s="1">
        <v>24</v>
      </c>
      <c r="G4291" s="1">
        <v>2263.06</v>
      </c>
      <c r="H4291" s="1" t="s">
        <v>9</v>
      </c>
      <c r="I4291" t="str">
        <f t="shared" ref="I4291:I4354" si="67">B4291&amp;" ["&amp;A4291&amp;"]"</f>
        <v>RED ENCHANTED FOREST PLACEMAT [85114C]</v>
      </c>
    </row>
    <row r="4292" spans="1:9" x14ac:dyDescent="0.3">
      <c r="A4292" s="1" t="s">
        <v>1080</v>
      </c>
      <c r="B4292" t="s">
        <v>1079</v>
      </c>
      <c r="C4292" s="1">
        <v>3.29</v>
      </c>
      <c r="D4292" s="1">
        <v>7</v>
      </c>
      <c r="E4292" s="1">
        <v>7</v>
      </c>
      <c r="F4292" s="1">
        <v>8</v>
      </c>
      <c r="G4292" s="1">
        <v>185.64</v>
      </c>
      <c r="H4292" s="1" t="s">
        <v>8</v>
      </c>
      <c r="I4292" t="str">
        <f t="shared" si="67"/>
        <v>BLACK ENCHANTED FOREST PLACEMAT [85114a]</v>
      </c>
    </row>
    <row r="4293" spans="1:9" x14ac:dyDescent="0.3">
      <c r="A4293" s="1" t="s">
        <v>1078</v>
      </c>
      <c r="B4293" t="s">
        <v>1077</v>
      </c>
      <c r="C4293" s="1">
        <v>3.29</v>
      </c>
      <c r="D4293" s="1">
        <v>3</v>
      </c>
      <c r="E4293" s="2">
        <v>4.6666666666666599</v>
      </c>
      <c r="F4293" s="1">
        <v>12</v>
      </c>
      <c r="G4293" s="1">
        <v>186.76</v>
      </c>
      <c r="H4293" s="1" t="s">
        <v>8</v>
      </c>
      <c r="I4293" t="str">
        <f t="shared" si="67"/>
        <v>IVORY ENCHANTED FOREST PLACEMAT [85114b]</v>
      </c>
    </row>
    <row r="4294" spans="1:9" x14ac:dyDescent="0.3">
      <c r="A4294" s="1" t="s">
        <v>1076</v>
      </c>
      <c r="B4294" t="s">
        <v>1075</v>
      </c>
      <c r="C4294" s="1">
        <v>3.29</v>
      </c>
      <c r="D4294" s="1">
        <v>9</v>
      </c>
      <c r="E4294" s="2">
        <v>10.8823529411764</v>
      </c>
      <c r="F4294" s="1">
        <v>17</v>
      </c>
      <c r="G4294" s="1">
        <v>612.64</v>
      </c>
      <c r="H4294" s="1" t="s">
        <v>8</v>
      </c>
      <c r="I4294" t="str">
        <f t="shared" si="67"/>
        <v>RED ENCHANTED FOREST PLACEMAT [85114c]</v>
      </c>
    </row>
    <row r="4295" spans="1:9" x14ac:dyDescent="0.3">
      <c r="A4295" s="1" t="s">
        <v>1074</v>
      </c>
      <c r="B4295" t="s">
        <v>1073</v>
      </c>
      <c r="C4295" s="1">
        <v>6.27</v>
      </c>
      <c r="D4295" s="1">
        <v>3</v>
      </c>
      <c r="E4295" s="1">
        <v>3</v>
      </c>
      <c r="F4295" s="1">
        <v>2</v>
      </c>
      <c r="G4295" s="2">
        <v>37.619999999999997</v>
      </c>
      <c r="H4295" s="1" t="s">
        <v>8</v>
      </c>
      <c r="I4295" t="str">
        <f t="shared" si="67"/>
        <v>S/4 BLACK DISCO PARTITION PANEL [85115B]</v>
      </c>
    </row>
    <row r="4296" spans="1:9" x14ac:dyDescent="0.3">
      <c r="A4296" s="1">
        <v>85116</v>
      </c>
      <c r="B4296" t="s">
        <v>1072</v>
      </c>
      <c r="C4296" s="1">
        <v>1.5</v>
      </c>
      <c r="D4296" s="1">
        <v>44</v>
      </c>
      <c r="E4296" s="1">
        <v>79</v>
      </c>
      <c r="F4296" s="1">
        <v>23</v>
      </c>
      <c r="G4296" s="2">
        <v>2206.2399999999998</v>
      </c>
      <c r="H4296" s="1" t="s">
        <v>9</v>
      </c>
      <c r="I4296" t="str">
        <f t="shared" si="67"/>
        <v>BLACK CANDELABRA T-LIGHT HOLDER [85116]</v>
      </c>
    </row>
    <row r="4297" spans="1:9" x14ac:dyDescent="0.3">
      <c r="A4297" s="1">
        <v>85117</v>
      </c>
      <c r="B4297" t="s">
        <v>1071</v>
      </c>
      <c r="C4297" s="1">
        <v>1.895</v>
      </c>
      <c r="D4297" s="1">
        <v>46</v>
      </c>
      <c r="E4297" s="2">
        <v>57.8333333333333</v>
      </c>
      <c r="F4297" s="1">
        <v>6</v>
      </c>
      <c r="G4297" s="1">
        <v>594.32000000000005</v>
      </c>
      <c r="H4297" s="1" t="s">
        <v>9</v>
      </c>
      <c r="I4297" t="str">
        <f t="shared" si="67"/>
        <v>NIGHTINGALE COATHOOK WHITE [85117]</v>
      </c>
    </row>
    <row r="4298" spans="1:9" x14ac:dyDescent="0.3">
      <c r="A4298" s="1">
        <v>85118</v>
      </c>
      <c r="B4298" t="s">
        <v>1070</v>
      </c>
      <c r="C4298" s="1">
        <v>0.5</v>
      </c>
      <c r="D4298" s="1">
        <v>122.5</v>
      </c>
      <c r="E4298" s="1">
        <v>193.6</v>
      </c>
      <c r="F4298" s="1">
        <v>10</v>
      </c>
      <c r="G4298" s="1">
        <v>981.14</v>
      </c>
      <c r="H4298" s="1" t="s">
        <v>10</v>
      </c>
      <c r="I4298" t="str">
        <f t="shared" si="67"/>
        <v>HEART T-LIGHT HOLDER [85118]</v>
      </c>
    </row>
    <row r="4299" spans="1:9" x14ac:dyDescent="0.3">
      <c r="A4299" s="1">
        <v>85119</v>
      </c>
      <c r="B4299" t="s">
        <v>1069</v>
      </c>
      <c r="C4299" s="1">
        <v>1.69</v>
      </c>
      <c r="D4299" s="1">
        <v>20</v>
      </c>
      <c r="E4299" s="2">
        <v>37.545454545454497</v>
      </c>
      <c r="F4299" s="1">
        <v>11</v>
      </c>
      <c r="G4299" s="1">
        <v>567.48</v>
      </c>
      <c r="H4299" s="1" t="s">
        <v>9</v>
      </c>
      <c r="I4299" t="str">
        <f t="shared" si="67"/>
        <v>WATERING CAN SINGLE HOOK PISTACHIO [85119]</v>
      </c>
    </row>
    <row r="4300" spans="1:9" x14ac:dyDescent="0.3">
      <c r="A4300" s="1" t="s">
        <v>1068</v>
      </c>
      <c r="B4300" t="s">
        <v>1067</v>
      </c>
      <c r="C4300" s="1">
        <v>10.039999999999999</v>
      </c>
      <c r="D4300" s="1">
        <v>12</v>
      </c>
      <c r="E4300" s="2">
        <v>12.285714285714199</v>
      </c>
      <c r="F4300" s="1">
        <v>7</v>
      </c>
      <c r="G4300" s="1">
        <v>936.74</v>
      </c>
      <c r="H4300" s="1" t="s">
        <v>9</v>
      </c>
      <c r="I4300" t="str">
        <f t="shared" si="67"/>
        <v>RETRO LAUNDRY TUB PINK [85121B]</v>
      </c>
    </row>
    <row r="4301" spans="1:9" x14ac:dyDescent="0.3">
      <c r="A4301" s="1" t="s">
        <v>1066</v>
      </c>
      <c r="B4301" t="s">
        <v>1065</v>
      </c>
      <c r="C4301" s="2">
        <v>8.96999999999999</v>
      </c>
      <c r="D4301" s="1">
        <v>10.5</v>
      </c>
      <c r="E4301" s="1">
        <v>9.8000000000000007</v>
      </c>
      <c r="F4301" s="1">
        <v>10</v>
      </c>
      <c r="G4301" s="1">
        <v>918.91</v>
      </c>
      <c r="H4301" s="1" t="s">
        <v>9</v>
      </c>
      <c r="I4301" t="str">
        <f t="shared" si="67"/>
        <v>RETRO LAUNDRY TUB PISTACHIO [85121C]</v>
      </c>
    </row>
    <row r="4302" spans="1:9" x14ac:dyDescent="0.3">
      <c r="A4302" s="1" t="s">
        <v>1064</v>
      </c>
      <c r="B4302" t="s">
        <v>1062</v>
      </c>
      <c r="C4302" s="1">
        <v>2.7450000000000001</v>
      </c>
      <c r="D4302" s="1">
        <v>3924.5</v>
      </c>
      <c r="E4302" s="2">
        <v>3623.1923076922999</v>
      </c>
      <c r="F4302" s="1">
        <v>25</v>
      </c>
      <c r="G4302" s="1">
        <v>257724.71</v>
      </c>
      <c r="H4302" s="1" t="s">
        <v>10</v>
      </c>
      <c r="I4302" t="str">
        <f t="shared" si="67"/>
        <v>WHITE HANGING HEART T-LIGHT HOLDER [85123A]</v>
      </c>
    </row>
    <row r="4303" spans="1:9" x14ac:dyDescent="0.3">
      <c r="A4303" s="1" t="s">
        <v>1063</v>
      </c>
      <c r="B4303" t="s">
        <v>1062</v>
      </c>
      <c r="C4303" s="1">
        <v>6.63</v>
      </c>
      <c r="D4303" s="1">
        <v>21.5</v>
      </c>
      <c r="E4303" s="1">
        <v>32.25</v>
      </c>
      <c r="F4303" s="1">
        <v>16</v>
      </c>
      <c r="G4303" s="1">
        <v>3444.02</v>
      </c>
      <c r="H4303" s="1" t="s">
        <v>9</v>
      </c>
      <c r="I4303" t="str">
        <f t="shared" si="67"/>
        <v>WHITE HANGING HEART T-LIGHT HOLDER [85123a]</v>
      </c>
    </row>
    <row r="4304" spans="1:9" x14ac:dyDescent="0.3">
      <c r="A4304" s="1" t="s">
        <v>1061</v>
      </c>
      <c r="B4304" t="s">
        <v>1060</v>
      </c>
      <c r="C4304" s="1">
        <v>6.04</v>
      </c>
      <c r="D4304" s="1">
        <v>1</v>
      </c>
      <c r="E4304" s="1">
        <v>1</v>
      </c>
      <c r="F4304" s="1">
        <v>1</v>
      </c>
      <c r="G4304" s="1">
        <v>6.04</v>
      </c>
      <c r="H4304" s="1" t="s">
        <v>8</v>
      </c>
      <c r="I4304" t="str">
        <f t="shared" si="67"/>
        <v>ZINC HANGING HEART T-LITE HLDR [85123b]</v>
      </c>
    </row>
    <row r="4305" spans="1:9" x14ac:dyDescent="0.3">
      <c r="A4305" s="1" t="s">
        <v>1059</v>
      </c>
      <c r="B4305" t="s">
        <v>1055</v>
      </c>
      <c r="C4305" s="1">
        <v>2.7</v>
      </c>
      <c r="D4305" s="1">
        <v>28</v>
      </c>
      <c r="E4305" s="2">
        <v>34.272727272727202</v>
      </c>
      <c r="F4305" s="1">
        <v>11</v>
      </c>
      <c r="G4305" s="1">
        <v>1037.1300000000001</v>
      </c>
      <c r="H4305" s="1" t="s">
        <v>9</v>
      </c>
      <c r="I4305" t="str">
        <f t="shared" si="67"/>
        <v>PINK JUICY FRUIT PHOTO FRAME [85124A]</v>
      </c>
    </row>
    <row r="4306" spans="1:9" x14ac:dyDescent="0.3">
      <c r="A4306" s="1" t="s">
        <v>1058</v>
      </c>
      <c r="B4306" t="s">
        <v>1053</v>
      </c>
      <c r="C4306" s="1">
        <v>2.65</v>
      </c>
      <c r="D4306" s="1">
        <v>10</v>
      </c>
      <c r="E4306" s="2">
        <v>14.7083333333333</v>
      </c>
      <c r="F4306" s="1">
        <v>24</v>
      </c>
      <c r="G4306" s="1">
        <v>938.47</v>
      </c>
      <c r="H4306" s="1" t="s">
        <v>9</v>
      </c>
      <c r="I4306" t="str">
        <f t="shared" si="67"/>
        <v>BLUE JUICY FRUIT PHOTO FRAME [85124B]</v>
      </c>
    </row>
    <row r="4307" spans="1:9" x14ac:dyDescent="0.3">
      <c r="A4307" s="1" t="s">
        <v>1057</v>
      </c>
      <c r="B4307" t="s">
        <v>1051</v>
      </c>
      <c r="C4307" s="2">
        <v>2.5999999999999899</v>
      </c>
      <c r="D4307" s="1">
        <v>14.5</v>
      </c>
      <c r="E4307" s="2">
        <v>19.363636363636299</v>
      </c>
      <c r="F4307" s="1">
        <v>22</v>
      </c>
      <c r="G4307" s="1">
        <v>1123.8900000000001</v>
      </c>
      <c r="H4307" s="1" t="s">
        <v>9</v>
      </c>
      <c r="I4307" t="str">
        <f t="shared" si="67"/>
        <v>GREEN JUICY FRUIT PHOTO FRAME [85124C]</v>
      </c>
    </row>
    <row r="4308" spans="1:9" x14ac:dyDescent="0.3">
      <c r="A4308" s="1" t="s">
        <v>1056</v>
      </c>
      <c r="B4308" t="s">
        <v>1055</v>
      </c>
      <c r="C4308" s="1">
        <v>5.0599999999999996</v>
      </c>
      <c r="D4308" s="1">
        <v>2.5</v>
      </c>
      <c r="E4308" s="1">
        <v>2.5</v>
      </c>
      <c r="F4308" s="1">
        <v>4</v>
      </c>
      <c r="G4308" s="2">
        <v>50.599999999999902</v>
      </c>
      <c r="H4308" s="1" t="s">
        <v>8</v>
      </c>
      <c r="I4308" t="str">
        <f t="shared" si="67"/>
        <v>PINK JUICY FRUIT PHOTO FRAME [85124a]</v>
      </c>
    </row>
    <row r="4309" spans="1:9" x14ac:dyDescent="0.3">
      <c r="A4309" s="1" t="s">
        <v>1054</v>
      </c>
      <c r="B4309" t="s">
        <v>1053</v>
      </c>
      <c r="C4309" s="1">
        <v>5.1150000000000002</v>
      </c>
      <c r="D4309" s="1">
        <v>1</v>
      </c>
      <c r="E4309" s="1">
        <v>1</v>
      </c>
      <c r="F4309" s="1">
        <v>2</v>
      </c>
      <c r="G4309" s="1">
        <v>10.23</v>
      </c>
      <c r="H4309" s="1" t="s">
        <v>8</v>
      </c>
      <c r="I4309" t="str">
        <f t="shared" si="67"/>
        <v>BLUE JUICY FRUIT PHOTO FRAME [85124b]</v>
      </c>
    </row>
    <row r="4310" spans="1:9" x14ac:dyDescent="0.3">
      <c r="A4310" s="1" t="s">
        <v>1052</v>
      </c>
      <c r="B4310" t="s">
        <v>1051</v>
      </c>
      <c r="C4310" s="1">
        <v>5.0599999999999996</v>
      </c>
      <c r="D4310" s="1">
        <v>1.5</v>
      </c>
      <c r="E4310" s="1">
        <v>1.5</v>
      </c>
      <c r="F4310" s="1">
        <v>2</v>
      </c>
      <c r="G4310" s="1">
        <v>15.18</v>
      </c>
      <c r="H4310" s="1" t="s">
        <v>8</v>
      </c>
      <c r="I4310" t="str">
        <f t="shared" si="67"/>
        <v>GREEN JUICY FRUIT PHOTO FRAME [85124c]</v>
      </c>
    </row>
    <row r="4311" spans="1:9" x14ac:dyDescent="0.3">
      <c r="A4311" s="1">
        <v>85125</v>
      </c>
      <c r="B4311" t="s">
        <v>1050</v>
      </c>
      <c r="C4311" s="1">
        <v>4.95</v>
      </c>
      <c r="D4311" s="1">
        <v>13</v>
      </c>
      <c r="E4311" s="2">
        <v>16.2631578947368</v>
      </c>
      <c r="F4311" s="1">
        <v>19</v>
      </c>
      <c r="G4311" s="1">
        <v>1479.51</v>
      </c>
      <c r="H4311" s="1" t="s">
        <v>9</v>
      </c>
      <c r="I4311" t="str">
        <f t="shared" si="67"/>
        <v>SMALL ROUND CUT GLASS CANDLESTICK [85125]</v>
      </c>
    </row>
    <row r="4312" spans="1:9" x14ac:dyDescent="0.3">
      <c r="A4312" s="1">
        <v>85126</v>
      </c>
      <c r="B4312" t="s">
        <v>1049</v>
      </c>
      <c r="C4312" s="1">
        <v>6.75</v>
      </c>
      <c r="D4312" s="1">
        <v>11</v>
      </c>
      <c r="E4312" s="1">
        <v>12</v>
      </c>
      <c r="F4312" s="1">
        <v>13</v>
      </c>
      <c r="G4312" s="1">
        <v>1069.1600000000001</v>
      </c>
      <c r="H4312" s="1" t="s">
        <v>9</v>
      </c>
      <c r="I4312" t="str">
        <f t="shared" si="67"/>
        <v>LARGE ROUND CUTGLASS CANDLESTICK [85126]</v>
      </c>
    </row>
    <row r="4313" spans="1:9" x14ac:dyDescent="0.3">
      <c r="A4313" s="1">
        <v>85127</v>
      </c>
      <c r="B4313" t="s">
        <v>1048</v>
      </c>
      <c r="C4313" s="1">
        <v>6.52</v>
      </c>
      <c r="D4313" s="1">
        <v>10</v>
      </c>
      <c r="E4313" s="1">
        <v>12</v>
      </c>
      <c r="F4313" s="1">
        <v>23</v>
      </c>
      <c r="G4313" s="1">
        <v>1710.67</v>
      </c>
      <c r="H4313" s="1" t="s">
        <v>9</v>
      </c>
      <c r="I4313" t="str">
        <f t="shared" si="67"/>
        <v>SMALL SQUARE CUT GLASS CANDLESTICK [85127]</v>
      </c>
    </row>
    <row r="4314" spans="1:9" x14ac:dyDescent="0.3">
      <c r="A4314" s="1">
        <v>85128</v>
      </c>
      <c r="B4314" t="s">
        <v>1047</v>
      </c>
      <c r="C4314" s="1">
        <v>1.9750000000000001</v>
      </c>
      <c r="D4314" s="1">
        <v>83.5</v>
      </c>
      <c r="E4314" s="1">
        <v>83.5</v>
      </c>
      <c r="F4314" s="1">
        <v>2</v>
      </c>
      <c r="G4314" s="2">
        <v>188.95</v>
      </c>
      <c r="H4314" s="1" t="s">
        <v>10</v>
      </c>
      <c r="I4314" t="str">
        <f t="shared" si="67"/>
        <v>PLANTPOT SINGLE HOOK PISTACHIO [85128]</v>
      </c>
    </row>
    <row r="4315" spans="1:9" x14ac:dyDescent="0.3">
      <c r="A4315" s="1" t="s">
        <v>1046</v>
      </c>
      <c r="B4315" t="s">
        <v>1045</v>
      </c>
      <c r="C4315" s="1">
        <v>1.27</v>
      </c>
      <c r="D4315" s="1">
        <v>35</v>
      </c>
      <c r="E4315" s="2">
        <v>49.3333333333333</v>
      </c>
      <c r="F4315" s="1">
        <v>9</v>
      </c>
      <c r="G4315" s="1">
        <v>569.16</v>
      </c>
      <c r="H4315" s="1" t="s">
        <v>9</v>
      </c>
      <c r="I4315" t="str">
        <f t="shared" si="67"/>
        <v>WHITE PEARL BEADED HEART, SMALL [85129A]</v>
      </c>
    </row>
    <row r="4316" spans="1:9" x14ac:dyDescent="0.3">
      <c r="A4316" s="1" t="s">
        <v>1044</v>
      </c>
      <c r="B4316" t="s">
        <v>1043</v>
      </c>
      <c r="C4316" s="1">
        <v>1.28</v>
      </c>
      <c r="D4316" s="1">
        <v>3</v>
      </c>
      <c r="E4316" s="2">
        <v>10.130434782608599</v>
      </c>
      <c r="F4316" s="1">
        <v>23</v>
      </c>
      <c r="G4316" s="1">
        <v>315.11</v>
      </c>
      <c r="H4316" s="1" t="s">
        <v>8</v>
      </c>
      <c r="I4316" t="str">
        <f t="shared" si="67"/>
        <v>BEADED CRYSTAL HEART GREEN SMALL [85129B]</v>
      </c>
    </row>
    <row r="4317" spans="1:9" x14ac:dyDescent="0.3">
      <c r="A4317" s="1" t="s">
        <v>1042</v>
      </c>
      <c r="B4317" t="s">
        <v>1041</v>
      </c>
      <c r="C4317" s="1">
        <v>1.2749999999999999</v>
      </c>
      <c r="D4317" s="1">
        <v>18.5</v>
      </c>
      <c r="E4317" s="1">
        <v>19.5</v>
      </c>
      <c r="F4317" s="1">
        <v>20</v>
      </c>
      <c r="G4317" s="1">
        <v>510.23</v>
      </c>
      <c r="H4317" s="1" t="s">
        <v>9</v>
      </c>
      <c r="I4317" t="str">
        <f t="shared" si="67"/>
        <v>BEADED CRYSTAL HEART BLUE SMALL [85129C]</v>
      </c>
    </row>
    <row r="4318" spans="1:9" x14ac:dyDescent="0.3">
      <c r="A4318" s="1" t="s">
        <v>1040</v>
      </c>
      <c r="B4318" t="s">
        <v>1039</v>
      </c>
      <c r="C4318" s="1">
        <v>1.54</v>
      </c>
      <c r="D4318" s="1">
        <v>21.5</v>
      </c>
      <c r="E4318" s="2">
        <v>33.0416666666666</v>
      </c>
      <c r="F4318" s="1">
        <v>24</v>
      </c>
      <c r="G4318" s="1">
        <v>1193.56</v>
      </c>
      <c r="H4318" s="1" t="s">
        <v>9</v>
      </c>
      <c r="I4318" t="str">
        <f t="shared" si="67"/>
        <v>BEADED CRYSTAL HEART PINK SMALL [85129D]</v>
      </c>
    </row>
    <row r="4319" spans="1:9" x14ac:dyDescent="0.3">
      <c r="A4319" s="1" t="s">
        <v>1038</v>
      </c>
      <c r="B4319" t="s">
        <v>1037</v>
      </c>
      <c r="C4319" s="1">
        <v>1.65</v>
      </c>
      <c r="D4319" s="1">
        <v>38</v>
      </c>
      <c r="E4319" s="1">
        <v>42.8125</v>
      </c>
      <c r="F4319" s="1">
        <v>16</v>
      </c>
      <c r="G4319" s="1">
        <v>1176.29</v>
      </c>
      <c r="H4319" s="1" t="s">
        <v>9</v>
      </c>
      <c r="I4319" t="str">
        <f t="shared" si="67"/>
        <v>BEADED PEARL HEART WHITE LARGE [85130A]</v>
      </c>
    </row>
    <row r="4320" spans="1:9" x14ac:dyDescent="0.3">
      <c r="A4320" s="1" t="s">
        <v>1036</v>
      </c>
      <c r="B4320" t="s">
        <v>1035</v>
      </c>
      <c r="C4320" s="1">
        <v>1.7749999999999999</v>
      </c>
      <c r="D4320" s="1">
        <v>13.5</v>
      </c>
      <c r="E4320" s="1">
        <v>45.55</v>
      </c>
      <c r="F4320" s="1">
        <v>20</v>
      </c>
      <c r="G4320" s="2">
        <v>918.32999999999902</v>
      </c>
      <c r="H4320" s="1" t="s">
        <v>9</v>
      </c>
      <c r="I4320" t="str">
        <f t="shared" si="67"/>
        <v>BEADED CRYSTAL HEART GREEN LARGE [85130B]</v>
      </c>
    </row>
    <row r="4321" spans="1:9" x14ac:dyDescent="0.3">
      <c r="A4321" s="1" t="s">
        <v>1034</v>
      </c>
      <c r="B4321" t="s">
        <v>1033</v>
      </c>
      <c r="C4321" s="1">
        <v>1.65</v>
      </c>
      <c r="D4321" s="1">
        <v>24</v>
      </c>
      <c r="E4321" s="2">
        <v>34.684210526315702</v>
      </c>
      <c r="F4321" s="1">
        <v>19</v>
      </c>
      <c r="G4321" s="1">
        <v>737.89</v>
      </c>
      <c r="H4321" s="1" t="s">
        <v>9</v>
      </c>
      <c r="I4321" t="str">
        <f t="shared" si="67"/>
        <v>BEADED CRYSTAL HEART BLUE  LARGE [85130C]</v>
      </c>
    </row>
    <row r="4322" spans="1:9" x14ac:dyDescent="0.3">
      <c r="A4322" s="1" t="s">
        <v>1032</v>
      </c>
      <c r="B4322" t="s">
        <v>1031</v>
      </c>
      <c r="C4322" s="1">
        <v>1.7</v>
      </c>
      <c r="D4322" s="1">
        <v>15</v>
      </c>
      <c r="E4322" s="1">
        <v>31.52</v>
      </c>
      <c r="F4322" s="1">
        <v>25</v>
      </c>
      <c r="G4322" s="1">
        <v>958.85</v>
      </c>
      <c r="H4322" s="1" t="s">
        <v>9</v>
      </c>
      <c r="I4322" t="str">
        <f t="shared" si="67"/>
        <v>BEADED CRYSTAL HEART PINK LARGE [85130D]</v>
      </c>
    </row>
    <row r="4323" spans="1:9" x14ac:dyDescent="0.3">
      <c r="A4323" s="1" t="s">
        <v>1030</v>
      </c>
      <c r="B4323" t="s">
        <v>1029</v>
      </c>
      <c r="C4323" s="1">
        <v>1.01</v>
      </c>
      <c r="D4323" s="1">
        <v>70</v>
      </c>
      <c r="E4323" s="2">
        <v>96.428571428571402</v>
      </c>
      <c r="F4323" s="1">
        <v>21</v>
      </c>
      <c r="G4323" s="1">
        <v>1619.23</v>
      </c>
      <c r="H4323" s="1" t="s">
        <v>10</v>
      </c>
      <c r="I4323" t="str">
        <f t="shared" si="67"/>
        <v>BEADED PEARL HEART WHITE ON STICK [85131A]</v>
      </c>
    </row>
    <row r="4324" spans="1:9" x14ac:dyDescent="0.3">
      <c r="A4324" s="1" t="s">
        <v>1028</v>
      </c>
      <c r="B4324" t="s">
        <v>1027</v>
      </c>
      <c r="C4324" s="1">
        <v>0.83</v>
      </c>
      <c r="D4324" s="1">
        <v>40</v>
      </c>
      <c r="E4324" s="2">
        <v>49.789473684210499</v>
      </c>
      <c r="F4324" s="1">
        <v>19</v>
      </c>
      <c r="G4324" s="1">
        <v>725.66</v>
      </c>
      <c r="H4324" s="1" t="s">
        <v>9</v>
      </c>
      <c r="I4324" t="str">
        <f t="shared" si="67"/>
        <v>BEADED CRYSTAL HEART GREEN ON STICK [85131B]</v>
      </c>
    </row>
    <row r="4325" spans="1:9" x14ac:dyDescent="0.3">
      <c r="A4325" s="1" t="s">
        <v>1026</v>
      </c>
      <c r="B4325" t="s">
        <v>1025</v>
      </c>
      <c r="C4325" s="1">
        <v>0.86499999999999999</v>
      </c>
      <c r="D4325" s="1">
        <v>13.5</v>
      </c>
      <c r="E4325" s="2">
        <v>24.2777777777777</v>
      </c>
      <c r="F4325" s="1">
        <v>18</v>
      </c>
      <c r="G4325" s="1">
        <v>315.13</v>
      </c>
      <c r="H4325" s="1" t="s">
        <v>9</v>
      </c>
      <c r="I4325" t="str">
        <f t="shared" si="67"/>
        <v>BEADED CRYSTAL HEART BLUE ON STICK [85131C]</v>
      </c>
    </row>
    <row r="4326" spans="1:9" x14ac:dyDescent="0.3">
      <c r="A4326" s="1" t="s">
        <v>1024</v>
      </c>
      <c r="B4326" t="s">
        <v>1023</v>
      </c>
      <c r="C4326" s="1">
        <v>0.84</v>
      </c>
      <c r="D4326" s="1">
        <v>51</v>
      </c>
      <c r="E4326" s="2">
        <v>65.363636363636303</v>
      </c>
      <c r="F4326" s="1">
        <v>21</v>
      </c>
      <c r="G4326" s="1">
        <v>1082.68</v>
      </c>
      <c r="H4326" s="1" t="s">
        <v>9</v>
      </c>
      <c r="I4326" t="str">
        <f t="shared" si="67"/>
        <v>BEADED CRYSTAL HEART PINK\ON STICK [85131D]</v>
      </c>
    </row>
    <row r="4327" spans="1:9" x14ac:dyDescent="0.3">
      <c r="A4327" s="1" t="s">
        <v>1022</v>
      </c>
      <c r="B4327" t="s">
        <v>1018</v>
      </c>
      <c r="C4327" s="1">
        <v>9.9499999999999993</v>
      </c>
      <c r="D4327" s="1">
        <v>14</v>
      </c>
      <c r="E4327" s="1">
        <v>36.200000000000003</v>
      </c>
      <c r="F4327" s="1">
        <v>15</v>
      </c>
      <c r="G4327" s="1">
        <v>3351.32</v>
      </c>
      <c r="H4327" s="1" t="s">
        <v>9</v>
      </c>
      <c r="I4327" t="str">
        <f t="shared" si="67"/>
        <v>CHARLIE + LOLA BISCUITS TINS [85132A]</v>
      </c>
    </row>
    <row r="4328" spans="1:9" x14ac:dyDescent="0.3">
      <c r="A4328" s="1" t="s">
        <v>1021</v>
      </c>
      <c r="B4328" t="s">
        <v>1016</v>
      </c>
      <c r="C4328" s="1">
        <v>9.1199999999999992</v>
      </c>
      <c r="D4328" s="1">
        <v>4</v>
      </c>
      <c r="E4328" s="2">
        <v>22.0833333333333</v>
      </c>
      <c r="F4328" s="1">
        <v>12</v>
      </c>
      <c r="G4328" s="1">
        <v>1415.31</v>
      </c>
      <c r="H4328" s="1" t="s">
        <v>8</v>
      </c>
      <c r="I4328" t="str">
        <f t="shared" si="67"/>
        <v>CHARLIE AND LOLA TABLE TINS [85132B]</v>
      </c>
    </row>
    <row r="4329" spans="1:9" x14ac:dyDescent="0.3">
      <c r="A4329" s="1" t="s">
        <v>1020</v>
      </c>
      <c r="B4329" t="s">
        <v>1014</v>
      </c>
      <c r="C4329" s="1">
        <v>8.2899999999999991</v>
      </c>
      <c r="D4329" s="1">
        <v>15</v>
      </c>
      <c r="E4329" s="1">
        <v>86.095238095238102</v>
      </c>
      <c r="F4329" s="1">
        <v>21</v>
      </c>
      <c r="G4329" s="1">
        <v>5289.08</v>
      </c>
      <c r="H4329" s="1" t="s">
        <v>9</v>
      </c>
      <c r="I4329" t="str">
        <f t="shared" si="67"/>
        <v>CHARLIE AND LOLA FIGURES TINS [85132C]</v>
      </c>
    </row>
    <row r="4330" spans="1:9" x14ac:dyDescent="0.3">
      <c r="A4330" s="1" t="s">
        <v>1019</v>
      </c>
      <c r="B4330" t="s">
        <v>1018</v>
      </c>
      <c r="C4330" s="1">
        <v>14.76</v>
      </c>
      <c r="D4330" s="1">
        <v>1</v>
      </c>
      <c r="E4330" s="2">
        <v>1.6666666666666601</v>
      </c>
      <c r="F4330" s="1">
        <v>6</v>
      </c>
      <c r="G4330" s="1">
        <v>135.13</v>
      </c>
      <c r="H4330" s="1" t="s">
        <v>8</v>
      </c>
      <c r="I4330" t="str">
        <f t="shared" si="67"/>
        <v>CHARLIE + LOLA BISCUITS TINS [85132a]</v>
      </c>
    </row>
    <row r="4331" spans="1:9" x14ac:dyDescent="0.3">
      <c r="A4331" s="1" t="s">
        <v>1017</v>
      </c>
      <c r="B4331" t="s">
        <v>1016</v>
      </c>
      <c r="C4331" s="1">
        <v>8.2899999999999991</v>
      </c>
      <c r="D4331" s="1">
        <v>3</v>
      </c>
      <c r="E4331" s="1">
        <v>3</v>
      </c>
      <c r="F4331" s="1">
        <v>3</v>
      </c>
      <c r="G4331" s="1">
        <v>74.61</v>
      </c>
      <c r="H4331" s="1" t="s">
        <v>8</v>
      </c>
      <c r="I4331" t="str">
        <f t="shared" si="67"/>
        <v>CHARLIE AND LOLA TABLE TINS [85132b]</v>
      </c>
    </row>
    <row r="4332" spans="1:9" x14ac:dyDescent="0.3">
      <c r="A4332" s="1" t="s">
        <v>1015</v>
      </c>
      <c r="B4332" t="s">
        <v>1014</v>
      </c>
      <c r="C4332" s="1">
        <v>8.2899999999999991</v>
      </c>
      <c r="D4332" s="1">
        <v>1.5</v>
      </c>
      <c r="E4332" s="1">
        <v>1.5</v>
      </c>
      <c r="F4332" s="1">
        <v>2</v>
      </c>
      <c r="G4332" s="2">
        <v>24.869999999999902</v>
      </c>
      <c r="H4332" s="1" t="s">
        <v>8</v>
      </c>
      <c r="I4332" t="str">
        <f t="shared" si="67"/>
        <v>CHARLIE AND LOLA FIGURES TINS [85132c]</v>
      </c>
    </row>
    <row r="4333" spans="1:9" x14ac:dyDescent="0.3">
      <c r="A4333" s="1" t="s">
        <v>1013</v>
      </c>
      <c r="B4333" t="s">
        <v>1012</v>
      </c>
      <c r="C4333" s="1">
        <v>7.95</v>
      </c>
      <c r="D4333" s="1">
        <v>4</v>
      </c>
      <c r="E4333" s="2">
        <v>6.71428571428571</v>
      </c>
      <c r="F4333" s="1">
        <v>14</v>
      </c>
      <c r="G4333" s="1">
        <v>754.59</v>
      </c>
      <c r="H4333" s="1" t="s">
        <v>8</v>
      </c>
      <c r="I4333" t="str">
        <f t="shared" si="67"/>
        <v>YELLOW DRAGONFLY HELICOPTER [85135A]</v>
      </c>
    </row>
    <row r="4334" spans="1:9" x14ac:dyDescent="0.3">
      <c r="A4334" s="1" t="s">
        <v>1011</v>
      </c>
      <c r="B4334" t="s">
        <v>1010</v>
      </c>
      <c r="C4334" s="1">
        <v>7.95</v>
      </c>
      <c r="D4334" s="1">
        <v>4</v>
      </c>
      <c r="E4334" s="2">
        <v>7.9473684210526301</v>
      </c>
      <c r="F4334" s="1">
        <v>19</v>
      </c>
      <c r="G4334" s="1">
        <v>1226.51</v>
      </c>
      <c r="H4334" s="1" t="s">
        <v>8</v>
      </c>
      <c r="I4334" t="str">
        <f t="shared" si="67"/>
        <v>BLUE DRAGONFLY HELICOPTER [85135B]</v>
      </c>
    </row>
    <row r="4335" spans="1:9" x14ac:dyDescent="0.3">
      <c r="A4335" s="1" t="s">
        <v>1009</v>
      </c>
      <c r="B4335" t="s">
        <v>1008</v>
      </c>
      <c r="C4335" s="1">
        <v>7.95</v>
      </c>
      <c r="D4335" s="1">
        <v>4</v>
      </c>
      <c r="E4335" s="2">
        <v>7.0434782608695601</v>
      </c>
      <c r="F4335" s="1">
        <v>23</v>
      </c>
      <c r="G4335" s="1">
        <v>1317.92</v>
      </c>
      <c r="H4335" s="1" t="s">
        <v>8</v>
      </c>
      <c r="I4335" t="str">
        <f t="shared" si="67"/>
        <v>RED DRAGONFLY HELICOPTER [85135C]</v>
      </c>
    </row>
    <row r="4336" spans="1:9" x14ac:dyDescent="0.3">
      <c r="A4336" s="1" t="s">
        <v>1007</v>
      </c>
      <c r="B4336" t="s">
        <v>1006</v>
      </c>
      <c r="C4336" s="1">
        <v>7.95</v>
      </c>
      <c r="D4336" s="1">
        <v>3</v>
      </c>
      <c r="E4336" s="2">
        <v>6.5714285714285703</v>
      </c>
      <c r="F4336" s="1">
        <v>21</v>
      </c>
      <c r="G4336" s="1">
        <v>1121.28</v>
      </c>
      <c r="H4336" s="1" t="s">
        <v>8</v>
      </c>
      <c r="I4336" t="str">
        <f t="shared" si="67"/>
        <v>YELLOW SHARK HELICOPTER [85136A]</v>
      </c>
    </row>
    <row r="4337" spans="1:9" x14ac:dyDescent="0.3">
      <c r="A4337" s="1" t="s">
        <v>1005</v>
      </c>
      <c r="B4337" t="s">
        <v>1004</v>
      </c>
      <c r="C4337" s="1">
        <v>7.95</v>
      </c>
      <c r="D4337" s="1">
        <v>4</v>
      </c>
      <c r="E4337" s="2">
        <v>5.3636363636363598</v>
      </c>
      <c r="F4337" s="1">
        <v>11</v>
      </c>
      <c r="G4337" s="1">
        <v>473.77</v>
      </c>
      <c r="H4337" s="1" t="s">
        <v>8</v>
      </c>
      <c r="I4337" t="str">
        <f t="shared" si="67"/>
        <v>BLUE SHARK HELICOPTER [85136B]</v>
      </c>
    </row>
    <row r="4338" spans="1:9" x14ac:dyDescent="0.3">
      <c r="A4338" s="1" t="s">
        <v>1003</v>
      </c>
      <c r="B4338" t="s">
        <v>1002</v>
      </c>
      <c r="C4338" s="1">
        <v>8.08</v>
      </c>
      <c r="D4338" s="1">
        <v>3</v>
      </c>
      <c r="E4338" s="1">
        <v>8.9499999999999993</v>
      </c>
      <c r="F4338" s="1">
        <v>20</v>
      </c>
      <c r="G4338" s="1">
        <v>1451.69</v>
      </c>
      <c r="H4338" s="1" t="s">
        <v>8</v>
      </c>
      <c r="I4338" t="str">
        <f t="shared" si="67"/>
        <v>RED SHARK HELICOPTER [85136C]</v>
      </c>
    </row>
    <row r="4339" spans="1:9" x14ac:dyDescent="0.3">
      <c r="A4339" s="1">
        <v>85141</v>
      </c>
      <c r="B4339" t="s">
        <v>1001</v>
      </c>
      <c r="C4339" s="1">
        <v>10.75</v>
      </c>
      <c r="D4339" s="1">
        <v>4.5</v>
      </c>
      <c r="E4339" s="2">
        <v>10.1111111111111</v>
      </c>
      <c r="F4339" s="1">
        <v>18</v>
      </c>
      <c r="G4339" s="1">
        <v>1286.44</v>
      </c>
      <c r="H4339" s="1" t="s">
        <v>8</v>
      </c>
      <c r="I4339" t="str">
        <f t="shared" si="67"/>
        <v>JARDIN ETCHED GLASS FRUITBOWL [85141]</v>
      </c>
    </row>
    <row r="4340" spans="1:9" x14ac:dyDescent="0.3">
      <c r="A4340" s="1">
        <v>85142</v>
      </c>
      <c r="B4340" t="s">
        <v>1000</v>
      </c>
      <c r="C4340" s="1">
        <v>8.75</v>
      </c>
      <c r="D4340" s="1">
        <v>8</v>
      </c>
      <c r="E4340" s="1">
        <v>7.125</v>
      </c>
      <c r="F4340" s="1">
        <v>8</v>
      </c>
      <c r="G4340" s="2">
        <v>502.58</v>
      </c>
      <c r="H4340" s="1" t="s">
        <v>8</v>
      </c>
      <c r="I4340" t="str">
        <f t="shared" si="67"/>
        <v>JARDIN ETCHED GLASS GINGER JAR [85142]</v>
      </c>
    </row>
    <row r="4341" spans="1:9" x14ac:dyDescent="0.3">
      <c r="A4341" s="1">
        <v>85144</v>
      </c>
      <c r="B4341" t="s">
        <v>999</v>
      </c>
      <c r="C4341" s="1">
        <v>7.25</v>
      </c>
      <c r="D4341" s="1">
        <v>5.5</v>
      </c>
      <c r="E4341" s="1">
        <v>6.0625</v>
      </c>
      <c r="F4341" s="1">
        <v>16</v>
      </c>
      <c r="G4341" s="1">
        <v>676.35</v>
      </c>
      <c r="H4341" s="1" t="s">
        <v>8</v>
      </c>
      <c r="I4341" t="str">
        <f t="shared" si="67"/>
        <v>JARDIN ETCHED GLASS BUTTER DISH [85144]</v>
      </c>
    </row>
    <row r="4342" spans="1:9" x14ac:dyDescent="0.3">
      <c r="A4342" s="1">
        <v>85145</v>
      </c>
      <c r="B4342" t="s">
        <v>998</v>
      </c>
      <c r="C4342" s="1">
        <v>12.75</v>
      </c>
      <c r="D4342" s="1">
        <v>3.5</v>
      </c>
      <c r="E4342" s="2">
        <v>7.5833333333333304</v>
      </c>
      <c r="F4342" s="1">
        <v>12</v>
      </c>
      <c r="G4342" s="1">
        <v>809.05</v>
      </c>
      <c r="H4342" s="1" t="s">
        <v>8</v>
      </c>
      <c r="I4342" t="str">
        <f t="shared" si="67"/>
        <v>JARDIN ETCHED GLASS LARGE BELL JAR [85145]</v>
      </c>
    </row>
    <row r="4343" spans="1:9" x14ac:dyDescent="0.3">
      <c r="A4343" s="1">
        <v>85146</v>
      </c>
      <c r="B4343" t="s">
        <v>997</v>
      </c>
      <c r="C4343" s="1">
        <v>5.95</v>
      </c>
      <c r="D4343" s="1">
        <v>10.5</v>
      </c>
      <c r="E4343" s="1">
        <v>11.8</v>
      </c>
      <c r="F4343" s="1">
        <v>10</v>
      </c>
      <c r="G4343" s="1">
        <v>599.38</v>
      </c>
      <c r="H4343" s="1" t="s">
        <v>9</v>
      </c>
      <c r="I4343" t="str">
        <f t="shared" si="67"/>
        <v>JARDIN ETCHED GLASS SMALL BELL JAR [85146]</v>
      </c>
    </row>
    <row r="4344" spans="1:9" x14ac:dyDescent="0.3">
      <c r="A4344" s="1">
        <v>85147</v>
      </c>
      <c r="B4344" t="s">
        <v>996</v>
      </c>
      <c r="C4344" s="1">
        <v>4.95</v>
      </c>
      <c r="D4344" s="1">
        <v>5.5</v>
      </c>
      <c r="E4344" s="1">
        <v>15.25</v>
      </c>
      <c r="F4344" s="1">
        <v>4</v>
      </c>
      <c r="G4344" s="1">
        <v>301.95</v>
      </c>
      <c r="H4344" s="1" t="s">
        <v>8</v>
      </c>
      <c r="I4344" t="str">
        <f t="shared" si="67"/>
        <v>JARDIN ETCHED GLASS CANDLEHLDR LONG [85147]</v>
      </c>
    </row>
    <row r="4345" spans="1:9" x14ac:dyDescent="0.3">
      <c r="A4345" s="1">
        <v>85150</v>
      </c>
      <c r="B4345" t="s">
        <v>995</v>
      </c>
      <c r="C4345" s="1">
        <v>2.48</v>
      </c>
      <c r="D4345" s="1">
        <v>355</v>
      </c>
      <c r="E4345" s="2">
        <v>363.52173913043401</v>
      </c>
      <c r="F4345" s="1">
        <v>23</v>
      </c>
      <c r="G4345" s="1">
        <v>20237.72</v>
      </c>
      <c r="H4345" s="1" t="s">
        <v>10</v>
      </c>
      <c r="I4345" t="str">
        <f t="shared" si="67"/>
        <v>LADIES &amp; GENTLEMEN METAL SIGN [85150]</v>
      </c>
    </row>
    <row r="4346" spans="1:9" x14ac:dyDescent="0.3">
      <c r="A4346" s="1">
        <v>85151</v>
      </c>
      <c r="B4346" t="s">
        <v>994</v>
      </c>
      <c r="C4346" s="1">
        <v>1.25</v>
      </c>
      <c r="D4346" s="1">
        <v>44</v>
      </c>
      <c r="E4346" s="1">
        <v>44</v>
      </c>
      <c r="F4346" s="1">
        <v>1</v>
      </c>
      <c r="G4346" s="1">
        <v>55</v>
      </c>
      <c r="H4346" s="1" t="s">
        <v>9</v>
      </c>
      <c r="I4346" t="str">
        <f t="shared" si="67"/>
        <v>WELCOME METAL SIGN [85151]</v>
      </c>
    </row>
    <row r="4347" spans="1:9" x14ac:dyDescent="0.3">
      <c r="A4347" s="1">
        <v>85152</v>
      </c>
      <c r="B4347" t="s">
        <v>993</v>
      </c>
      <c r="C4347" s="1">
        <v>1.97</v>
      </c>
      <c r="D4347" s="1">
        <v>619</v>
      </c>
      <c r="E4347" s="1">
        <v>654.91999999999996</v>
      </c>
      <c r="F4347" s="1">
        <v>25</v>
      </c>
      <c r="G4347" s="1">
        <v>31483.7</v>
      </c>
      <c r="H4347" s="1" t="s">
        <v>10</v>
      </c>
      <c r="I4347" t="str">
        <f t="shared" si="67"/>
        <v>HAND OVER THE CHOCOLATE   SIGN [85152]</v>
      </c>
    </row>
    <row r="4348" spans="1:9" x14ac:dyDescent="0.3">
      <c r="A4348" s="1">
        <v>85157</v>
      </c>
      <c r="B4348" t="s">
        <v>992</v>
      </c>
      <c r="C4348" s="1">
        <v>12.72</v>
      </c>
      <c r="D4348" s="1">
        <v>1</v>
      </c>
      <c r="E4348" s="1">
        <v>1</v>
      </c>
      <c r="F4348" s="1">
        <v>1</v>
      </c>
      <c r="G4348" s="1">
        <v>12.72</v>
      </c>
      <c r="H4348" s="1" t="s">
        <v>8</v>
      </c>
      <c r="I4348" t="str">
        <f t="shared" si="67"/>
        <v>SET OF 2 CHESTS CHOCOLAT AU LAIT [85157]</v>
      </c>
    </row>
    <row r="4349" spans="1:9" x14ac:dyDescent="0.3">
      <c r="A4349" s="1" t="s">
        <v>991</v>
      </c>
      <c r="B4349" t="s">
        <v>990</v>
      </c>
      <c r="C4349" s="1">
        <v>1.95</v>
      </c>
      <c r="D4349" s="1">
        <v>30</v>
      </c>
      <c r="E4349" s="2">
        <v>34.846153846153797</v>
      </c>
      <c r="F4349" s="1">
        <v>13</v>
      </c>
      <c r="G4349" s="1">
        <v>783.35</v>
      </c>
      <c r="H4349" s="1" t="s">
        <v>9</v>
      </c>
      <c r="I4349" t="str">
        <f t="shared" si="67"/>
        <v>BLACK TEA,COFFEE,SUGAR JARS [85159A]</v>
      </c>
    </row>
    <row r="4350" spans="1:9" x14ac:dyDescent="0.3">
      <c r="A4350" s="1" t="s">
        <v>989</v>
      </c>
      <c r="B4350" t="s">
        <v>987</v>
      </c>
      <c r="C4350" s="1">
        <v>1.95</v>
      </c>
      <c r="D4350" s="1">
        <v>50</v>
      </c>
      <c r="E4350" s="2">
        <v>51.8333333333333</v>
      </c>
      <c r="F4350" s="1">
        <v>12</v>
      </c>
      <c r="G4350" s="1">
        <v>1134.5</v>
      </c>
      <c r="H4350" s="1" t="s">
        <v>9</v>
      </c>
      <c r="I4350" t="str">
        <f t="shared" si="67"/>
        <v>WHITE TEA,COFFEE,SUGAR JARS [85159B]</v>
      </c>
    </row>
    <row r="4351" spans="1:9" x14ac:dyDescent="0.3">
      <c r="A4351" s="1" t="s">
        <v>988</v>
      </c>
      <c r="B4351" t="s">
        <v>987</v>
      </c>
      <c r="C4351" s="1">
        <v>13</v>
      </c>
      <c r="D4351" s="1">
        <v>1</v>
      </c>
      <c r="E4351" s="1">
        <v>1</v>
      </c>
      <c r="F4351" s="1">
        <v>1</v>
      </c>
      <c r="G4351" s="1">
        <v>13</v>
      </c>
      <c r="H4351" s="1" t="s">
        <v>8</v>
      </c>
      <c r="I4351" t="str">
        <f t="shared" si="67"/>
        <v>WHITE TEA,COFFEE,SUGAR JARS [85159b]</v>
      </c>
    </row>
    <row r="4352" spans="1:9" x14ac:dyDescent="0.3">
      <c r="A4352" s="1" t="s">
        <v>986</v>
      </c>
      <c r="B4352" t="s">
        <v>983</v>
      </c>
      <c r="C4352" s="1">
        <v>1.25</v>
      </c>
      <c r="D4352" s="1">
        <v>15</v>
      </c>
      <c r="E4352" s="1">
        <v>18.875</v>
      </c>
      <c r="F4352" s="1">
        <v>8</v>
      </c>
      <c r="G4352" s="1">
        <v>233.39</v>
      </c>
      <c r="H4352" s="1" t="s">
        <v>9</v>
      </c>
      <c r="I4352" t="str">
        <f t="shared" si="67"/>
        <v>WHITE BIRD GARDEN DESIGN MUG [85160A]</v>
      </c>
    </row>
    <row r="4353" spans="1:9" x14ac:dyDescent="0.3">
      <c r="A4353" s="1" t="s">
        <v>985</v>
      </c>
      <c r="B4353" t="s">
        <v>981</v>
      </c>
      <c r="C4353" s="1">
        <v>0.39</v>
      </c>
      <c r="D4353" s="1">
        <v>16</v>
      </c>
      <c r="E4353" s="2">
        <v>673.66666666666595</v>
      </c>
      <c r="F4353" s="1">
        <v>9</v>
      </c>
      <c r="G4353" s="1">
        <v>827.37</v>
      </c>
      <c r="H4353" s="1" t="s">
        <v>9</v>
      </c>
      <c r="I4353" t="str">
        <f t="shared" si="67"/>
        <v>BLACK BIRD GARDEN DESIGN MUG [85160B]</v>
      </c>
    </row>
    <row r="4354" spans="1:9" x14ac:dyDescent="0.3">
      <c r="A4354" s="1" t="s">
        <v>984</v>
      </c>
      <c r="B4354" t="s">
        <v>983</v>
      </c>
      <c r="C4354" s="1">
        <v>16.13</v>
      </c>
      <c r="D4354" s="1">
        <v>1</v>
      </c>
      <c r="E4354" s="2">
        <v>2.6666666666666599</v>
      </c>
      <c r="F4354" s="1">
        <v>3</v>
      </c>
      <c r="G4354" s="1">
        <v>129.04</v>
      </c>
      <c r="H4354" s="1" t="s">
        <v>8</v>
      </c>
      <c r="I4354" t="str">
        <f t="shared" si="67"/>
        <v>WHITE BIRD GARDEN DESIGN MUG [85160a]</v>
      </c>
    </row>
    <row r="4355" spans="1:9" x14ac:dyDescent="0.3">
      <c r="A4355" s="1" t="s">
        <v>982</v>
      </c>
      <c r="B4355" t="s">
        <v>981</v>
      </c>
      <c r="C4355" s="1">
        <v>16.13</v>
      </c>
      <c r="D4355" s="1">
        <v>1</v>
      </c>
      <c r="E4355" s="1">
        <v>1</v>
      </c>
      <c r="F4355" s="1">
        <v>1</v>
      </c>
      <c r="G4355" s="1">
        <v>16.13</v>
      </c>
      <c r="H4355" s="1" t="s">
        <v>8</v>
      </c>
      <c r="I4355" t="str">
        <f t="shared" ref="I4355:I4418" si="68">B4355&amp;" ["&amp;A4355&amp;"]"</f>
        <v>BLACK BIRD GARDEN DESIGN MUG [85160b]</v>
      </c>
    </row>
    <row r="4356" spans="1:9" x14ac:dyDescent="0.3">
      <c r="A4356" s="1">
        <v>85161</v>
      </c>
      <c r="B4356" t="s">
        <v>980</v>
      </c>
      <c r="C4356" s="1">
        <v>18.95</v>
      </c>
      <c r="D4356" s="1">
        <v>2</v>
      </c>
      <c r="E4356" s="1">
        <v>3</v>
      </c>
      <c r="F4356" s="1">
        <v>17</v>
      </c>
      <c r="G4356" s="1">
        <v>863.85</v>
      </c>
      <c r="H4356" s="1" t="s">
        <v>8</v>
      </c>
      <c r="I4356" t="str">
        <f t="shared" si="68"/>
        <v>ACRYLIC GEOMETRIC LAMP [85161]</v>
      </c>
    </row>
    <row r="4357" spans="1:9" x14ac:dyDescent="0.3">
      <c r="A4357" s="1" t="s">
        <v>979</v>
      </c>
      <c r="B4357" t="s">
        <v>978</v>
      </c>
      <c r="C4357" s="1">
        <v>1.95</v>
      </c>
      <c r="D4357" s="1">
        <v>97</v>
      </c>
      <c r="E4357" s="1">
        <v>101</v>
      </c>
      <c r="F4357" s="1">
        <v>6</v>
      </c>
      <c r="G4357" s="1">
        <v>1224.32</v>
      </c>
      <c r="H4357" s="1" t="s">
        <v>10</v>
      </c>
      <c r="I4357" t="str">
        <f t="shared" si="68"/>
        <v>SILVER RETRODISC LAMPSHADE [85162A]</v>
      </c>
    </row>
    <row r="4358" spans="1:9" x14ac:dyDescent="0.3">
      <c r="A4358" s="1" t="s">
        <v>977</v>
      </c>
      <c r="B4358" t="s">
        <v>976</v>
      </c>
      <c r="C4358" s="1">
        <v>1.95</v>
      </c>
      <c r="D4358" s="1">
        <v>120</v>
      </c>
      <c r="E4358" s="2">
        <v>139.57142857142799</v>
      </c>
      <c r="F4358" s="1">
        <v>7</v>
      </c>
      <c r="G4358" s="1">
        <v>1905.15</v>
      </c>
      <c r="H4358" s="1" t="s">
        <v>10</v>
      </c>
      <c r="I4358" t="str">
        <f t="shared" si="68"/>
        <v>BLACK RETRODISC LAMPSHADE [85162B]</v>
      </c>
    </row>
    <row r="4359" spans="1:9" x14ac:dyDescent="0.3">
      <c r="A4359" s="1" t="s">
        <v>975</v>
      </c>
      <c r="B4359" t="s">
        <v>974</v>
      </c>
      <c r="C4359" s="1">
        <v>2.02</v>
      </c>
      <c r="D4359" s="1">
        <v>113</v>
      </c>
      <c r="E4359" s="2">
        <v>129.142857142857</v>
      </c>
      <c r="F4359" s="1">
        <v>7</v>
      </c>
      <c r="G4359" s="1">
        <v>1841.7</v>
      </c>
      <c r="H4359" s="1" t="s">
        <v>10</v>
      </c>
      <c r="I4359" t="str">
        <f t="shared" si="68"/>
        <v>WHITE RETRODISC LAMPSHADE [85162C]</v>
      </c>
    </row>
    <row r="4360" spans="1:9" x14ac:dyDescent="0.3">
      <c r="A4360" s="1" t="s">
        <v>973</v>
      </c>
      <c r="B4360" t="s">
        <v>972</v>
      </c>
      <c r="C4360" s="1">
        <v>12.75</v>
      </c>
      <c r="D4360" s="1">
        <v>3</v>
      </c>
      <c r="E4360" s="2">
        <v>5.4210526315789398</v>
      </c>
      <c r="F4360" s="1">
        <v>19</v>
      </c>
      <c r="G4360" s="1">
        <v>1058.17</v>
      </c>
      <c r="H4360" s="1" t="s">
        <v>8</v>
      </c>
      <c r="I4360" t="str">
        <f t="shared" si="68"/>
        <v>WHITE BAROQUE WALL CLOCK [85163A]</v>
      </c>
    </row>
    <row r="4361" spans="1:9" x14ac:dyDescent="0.3">
      <c r="A4361" s="1" t="s">
        <v>971</v>
      </c>
      <c r="B4361" t="s">
        <v>970</v>
      </c>
      <c r="C4361" s="1">
        <v>12.75</v>
      </c>
      <c r="D4361" s="1">
        <v>3</v>
      </c>
      <c r="E4361" s="1">
        <v>5</v>
      </c>
      <c r="F4361" s="1">
        <v>23</v>
      </c>
      <c r="G4361" s="1">
        <v>1268.6600000000001</v>
      </c>
      <c r="H4361" s="1" t="s">
        <v>8</v>
      </c>
      <c r="I4361" t="str">
        <f t="shared" si="68"/>
        <v>BLACK BAROQUE WALL CLOCK [85163B]</v>
      </c>
    </row>
    <row r="4362" spans="1:9" x14ac:dyDescent="0.3">
      <c r="A4362" s="1" t="s">
        <v>969</v>
      </c>
      <c r="B4362" t="s">
        <v>967</v>
      </c>
      <c r="C4362" s="1">
        <v>13.285</v>
      </c>
      <c r="D4362" s="1">
        <v>11.5</v>
      </c>
      <c r="E4362" s="1">
        <v>14</v>
      </c>
      <c r="F4362" s="1">
        <v>10</v>
      </c>
      <c r="G4362" s="1">
        <v>1825.18</v>
      </c>
      <c r="H4362" s="1" t="s">
        <v>9</v>
      </c>
      <c r="I4362" t="str">
        <f t="shared" si="68"/>
        <v>BLACK BAROQUE CUCKOO CLOCK [85164B]</v>
      </c>
    </row>
    <row r="4363" spans="1:9" x14ac:dyDescent="0.3">
      <c r="A4363" s="1" t="s">
        <v>968</v>
      </c>
      <c r="B4363" t="s">
        <v>967</v>
      </c>
      <c r="C4363" s="1">
        <v>26.04</v>
      </c>
      <c r="D4363" s="1">
        <v>1</v>
      </c>
      <c r="E4363" s="1">
        <v>1</v>
      </c>
      <c r="F4363" s="1">
        <v>1</v>
      </c>
      <c r="G4363" s="1">
        <v>26.04</v>
      </c>
      <c r="H4363" s="1" t="s">
        <v>8</v>
      </c>
      <c r="I4363" t="str">
        <f t="shared" si="68"/>
        <v>BLACK BAROQUE CUCKOO CLOCK [85164b]</v>
      </c>
    </row>
    <row r="4364" spans="1:9" x14ac:dyDescent="0.3">
      <c r="A4364" s="1">
        <v>85165</v>
      </c>
      <c r="B4364" t="s">
        <v>966</v>
      </c>
      <c r="C4364" s="1">
        <v>9.9499999999999993</v>
      </c>
      <c r="D4364" s="1">
        <v>6</v>
      </c>
      <c r="E4364" s="2">
        <v>12.857142857142801</v>
      </c>
      <c r="F4364" s="1">
        <v>7</v>
      </c>
      <c r="G4364" s="1">
        <v>872.76</v>
      </c>
      <c r="H4364" s="1" t="s">
        <v>8</v>
      </c>
      <c r="I4364" t="str">
        <f t="shared" si="68"/>
        <v>CANDY PINK FRENCH BOUDOIR CLOCK [85165]</v>
      </c>
    </row>
    <row r="4365" spans="1:9" x14ac:dyDescent="0.3">
      <c r="A4365" s="1" t="s">
        <v>965</v>
      </c>
      <c r="B4365" t="s">
        <v>964</v>
      </c>
      <c r="C4365" s="1">
        <v>2.895</v>
      </c>
      <c r="D4365" s="1">
        <v>38.5</v>
      </c>
      <c r="E4365" s="1">
        <v>38.5</v>
      </c>
      <c r="F4365" s="1">
        <v>2</v>
      </c>
      <c r="G4365" s="1">
        <v>158.9</v>
      </c>
      <c r="H4365" s="1" t="s">
        <v>9</v>
      </c>
      <c r="I4365" t="str">
        <f t="shared" si="68"/>
        <v>WHITE METAL BAROQUE PHOTO FRAME [85166A]</v>
      </c>
    </row>
    <row r="4366" spans="1:9" x14ac:dyDescent="0.3">
      <c r="A4366" s="1" t="s">
        <v>963</v>
      </c>
      <c r="B4366" t="s">
        <v>962</v>
      </c>
      <c r="C4366" s="1">
        <v>3.75</v>
      </c>
      <c r="D4366" s="1">
        <v>11</v>
      </c>
      <c r="E4366" s="2">
        <v>46.363636363636303</v>
      </c>
      <c r="F4366" s="1">
        <v>11</v>
      </c>
      <c r="G4366" s="1">
        <v>864.1</v>
      </c>
      <c r="H4366" s="1" t="s">
        <v>9</v>
      </c>
      <c r="I4366" t="str">
        <f t="shared" si="68"/>
        <v>BLACK METAL BAROQUE PHOTO FRAME [85166B]</v>
      </c>
    </row>
    <row r="4367" spans="1:9" x14ac:dyDescent="0.3">
      <c r="A4367" s="1" t="s">
        <v>961</v>
      </c>
      <c r="B4367" t="s">
        <v>960</v>
      </c>
      <c r="C4367" s="1">
        <v>2.72</v>
      </c>
      <c r="D4367" s="1">
        <v>53</v>
      </c>
      <c r="E4367" s="2">
        <v>58.6666666666666</v>
      </c>
      <c r="F4367" s="1">
        <v>3</v>
      </c>
      <c r="G4367" s="1">
        <v>396.8</v>
      </c>
      <c r="H4367" s="1" t="s">
        <v>9</v>
      </c>
      <c r="I4367" t="str">
        <f t="shared" si="68"/>
        <v>WHITE GRAND BAROQUE PHOTO FRAME [85167A]</v>
      </c>
    </row>
    <row r="4368" spans="1:9" x14ac:dyDescent="0.3">
      <c r="A4368" s="1" t="s">
        <v>959</v>
      </c>
      <c r="B4368" t="s">
        <v>958</v>
      </c>
      <c r="C4368" s="1">
        <v>3.0449999999999999</v>
      </c>
      <c r="D4368" s="1">
        <v>27.5</v>
      </c>
      <c r="E4368" s="1">
        <v>43.25</v>
      </c>
      <c r="F4368" s="1">
        <v>16</v>
      </c>
      <c r="G4368" s="1">
        <v>1426.34</v>
      </c>
      <c r="H4368" s="1" t="s">
        <v>9</v>
      </c>
      <c r="I4368" t="str">
        <f t="shared" si="68"/>
        <v>BLACK GRAND BAROQUE PHOTO FRAME [85167B]</v>
      </c>
    </row>
    <row r="4369" spans="1:9" x14ac:dyDescent="0.3">
      <c r="A4369" s="1" t="s">
        <v>957</v>
      </c>
      <c r="B4369" t="s">
        <v>956</v>
      </c>
      <c r="C4369" s="1">
        <v>9.9499999999999993</v>
      </c>
      <c r="D4369" s="1">
        <v>3</v>
      </c>
      <c r="E4369" s="2">
        <v>3.6666666666666599</v>
      </c>
      <c r="F4369" s="1">
        <v>6</v>
      </c>
      <c r="G4369" s="1">
        <v>218.9</v>
      </c>
      <c r="H4369" s="1" t="s">
        <v>8</v>
      </c>
      <c r="I4369" t="str">
        <f t="shared" si="68"/>
        <v>WHITE BAROQUE CARRIAGE CLOCK [85168A]</v>
      </c>
    </row>
    <row r="4370" spans="1:9" x14ac:dyDescent="0.3">
      <c r="A4370" s="1" t="s">
        <v>955</v>
      </c>
      <c r="B4370" t="s">
        <v>954</v>
      </c>
      <c r="C4370" s="1">
        <v>9.9499999999999993</v>
      </c>
      <c r="D4370" s="1">
        <v>2.5</v>
      </c>
      <c r="E4370" s="1">
        <v>4</v>
      </c>
      <c r="F4370" s="1">
        <v>18</v>
      </c>
      <c r="G4370" s="1">
        <v>652.16999999999996</v>
      </c>
      <c r="H4370" s="1" t="s">
        <v>8</v>
      </c>
      <c r="I4370" t="str">
        <f t="shared" si="68"/>
        <v>BLACK BAROQUE CARRIAGE CLOCK [85168B]</v>
      </c>
    </row>
    <row r="4371" spans="1:9" x14ac:dyDescent="0.3">
      <c r="A4371" s="1" t="s">
        <v>953</v>
      </c>
      <c r="B4371" t="s">
        <v>952</v>
      </c>
      <c r="C4371" s="1">
        <v>1.27</v>
      </c>
      <c r="D4371" s="1">
        <v>29</v>
      </c>
      <c r="E4371" s="1">
        <v>50.08</v>
      </c>
      <c r="F4371" s="1">
        <v>25</v>
      </c>
      <c r="G4371" s="1">
        <v>1385.82</v>
      </c>
      <c r="H4371" s="1" t="s">
        <v>9</v>
      </c>
      <c r="I4371" t="str">
        <f t="shared" si="68"/>
        <v>IVORY LOVE BIRD CANDLE [85169A]</v>
      </c>
    </row>
    <row r="4372" spans="1:9" x14ac:dyDescent="0.3">
      <c r="A4372" s="1" t="s">
        <v>951</v>
      </c>
      <c r="B4372" t="s">
        <v>950</v>
      </c>
      <c r="C4372" s="1">
        <v>1.31</v>
      </c>
      <c r="D4372" s="1">
        <v>8</v>
      </c>
      <c r="E4372" s="2">
        <v>18.6086956521739</v>
      </c>
      <c r="F4372" s="1">
        <v>23</v>
      </c>
      <c r="G4372" s="1">
        <v>502.91</v>
      </c>
      <c r="H4372" s="1" t="s">
        <v>8</v>
      </c>
      <c r="I4372" t="str">
        <f t="shared" si="68"/>
        <v>BLACK LOVE BIRD CANDLE [85169B]</v>
      </c>
    </row>
    <row r="4373" spans="1:9" x14ac:dyDescent="0.3">
      <c r="A4373" s="1" t="s">
        <v>949</v>
      </c>
      <c r="B4373" t="s">
        <v>948</v>
      </c>
      <c r="C4373" s="1">
        <v>1.25</v>
      </c>
      <c r="D4373" s="1">
        <v>7</v>
      </c>
      <c r="E4373" s="2">
        <v>24.047619047619001</v>
      </c>
      <c r="F4373" s="1">
        <v>21</v>
      </c>
      <c r="G4373" s="2">
        <v>566.81999999999903</v>
      </c>
      <c r="H4373" s="1" t="s">
        <v>8</v>
      </c>
      <c r="I4373" t="str">
        <f t="shared" si="68"/>
        <v>EAU DE NIL LOVE BIRD CANDLE [85169C]</v>
      </c>
    </row>
    <row r="4374" spans="1:9" x14ac:dyDescent="0.3">
      <c r="A4374" s="1" t="s">
        <v>947</v>
      </c>
      <c r="B4374" t="s">
        <v>946</v>
      </c>
      <c r="C4374" s="1">
        <v>1.365</v>
      </c>
      <c r="D4374" s="1">
        <v>14</v>
      </c>
      <c r="E4374" s="2">
        <v>21.7083333333333</v>
      </c>
      <c r="F4374" s="1">
        <v>24</v>
      </c>
      <c r="G4374" s="1">
        <v>603.98</v>
      </c>
      <c r="H4374" s="1" t="s">
        <v>9</v>
      </c>
      <c r="I4374" t="str">
        <f t="shared" si="68"/>
        <v>PINK LOVE BIRD CANDLE [85169D]</v>
      </c>
    </row>
    <row r="4375" spans="1:9" x14ac:dyDescent="0.3">
      <c r="A4375" s="1" t="s">
        <v>945</v>
      </c>
      <c r="B4375" t="s">
        <v>944</v>
      </c>
      <c r="C4375" s="1">
        <v>2.1</v>
      </c>
      <c r="D4375" s="1">
        <v>36</v>
      </c>
      <c r="E4375" s="2">
        <v>65.230769230769198</v>
      </c>
      <c r="F4375" s="1">
        <v>13</v>
      </c>
      <c r="G4375" s="1">
        <v>1585.06</v>
      </c>
      <c r="H4375" s="1" t="s">
        <v>9</v>
      </c>
      <c r="I4375" t="str">
        <f t="shared" si="68"/>
        <v>SET/6 IVORY BIRD T-LIGHT CANDLES [85170A]</v>
      </c>
    </row>
    <row r="4376" spans="1:9" x14ac:dyDescent="0.3">
      <c r="A4376" s="1" t="s">
        <v>943</v>
      </c>
      <c r="B4376" t="s">
        <v>942</v>
      </c>
      <c r="C4376" s="1">
        <v>2.1</v>
      </c>
      <c r="D4376" s="1">
        <v>6</v>
      </c>
      <c r="E4376" s="1">
        <v>14.15</v>
      </c>
      <c r="F4376" s="1">
        <v>20</v>
      </c>
      <c r="G4376" s="2">
        <v>475.909999999999</v>
      </c>
      <c r="H4376" s="1" t="s">
        <v>8</v>
      </c>
      <c r="I4376" t="str">
        <f t="shared" si="68"/>
        <v>SET/6 BLACK BIRD T-LIGHT CANDLES [85170B]</v>
      </c>
    </row>
    <row r="4377" spans="1:9" x14ac:dyDescent="0.3">
      <c r="A4377" s="1" t="s">
        <v>941</v>
      </c>
      <c r="B4377" t="s">
        <v>940</v>
      </c>
      <c r="C4377" s="1">
        <v>2.4</v>
      </c>
      <c r="D4377" s="1">
        <v>12</v>
      </c>
      <c r="E4377" s="1">
        <v>21.72</v>
      </c>
      <c r="F4377" s="1">
        <v>25</v>
      </c>
      <c r="G4377" s="1">
        <v>993.03</v>
      </c>
      <c r="H4377" s="1" t="s">
        <v>9</v>
      </c>
      <c r="I4377" t="str">
        <f t="shared" si="68"/>
        <v>SET/6 EAU DE NIL BIRD T-LIGHTS [85170C]</v>
      </c>
    </row>
    <row r="4378" spans="1:9" x14ac:dyDescent="0.3">
      <c r="A4378" s="1" t="s">
        <v>939</v>
      </c>
      <c r="B4378" t="s">
        <v>938</v>
      </c>
      <c r="C4378" s="1">
        <v>2.5350000000000001</v>
      </c>
      <c r="D4378" s="1">
        <v>15.5</v>
      </c>
      <c r="E4378" s="1">
        <v>30.125</v>
      </c>
      <c r="F4378" s="1">
        <v>24</v>
      </c>
      <c r="G4378" s="1">
        <v>1296.3599999999999</v>
      </c>
      <c r="H4378" s="1" t="s">
        <v>9</v>
      </c>
      <c r="I4378" t="str">
        <f t="shared" si="68"/>
        <v>SET/6 PINK BIRD T-LIGHT CANDLES [85170D]</v>
      </c>
    </row>
    <row r="4379" spans="1:9" x14ac:dyDescent="0.3">
      <c r="A4379" s="1">
        <v>85171</v>
      </c>
      <c r="B4379" t="s">
        <v>937</v>
      </c>
      <c r="C4379" s="1">
        <v>2.5499999999999998</v>
      </c>
      <c r="D4379" s="1">
        <v>1</v>
      </c>
      <c r="E4379" s="1">
        <v>1</v>
      </c>
      <c r="F4379" s="1">
        <v>1</v>
      </c>
      <c r="G4379" s="1">
        <v>2.5499999999999998</v>
      </c>
      <c r="H4379" s="1" t="s">
        <v>8</v>
      </c>
      <c r="I4379" t="str">
        <f t="shared" si="68"/>
        <v>S/2 HYACINTH BULB CANDLES [85171]</v>
      </c>
    </row>
    <row r="4380" spans="1:9" x14ac:dyDescent="0.3">
      <c r="A4380" s="1">
        <v>85172</v>
      </c>
      <c r="B4380" t="s">
        <v>936</v>
      </c>
      <c r="C4380" s="1">
        <v>0.42</v>
      </c>
      <c r="D4380" s="1">
        <v>112</v>
      </c>
      <c r="E4380" s="1">
        <v>158.375</v>
      </c>
      <c r="F4380" s="1">
        <v>24</v>
      </c>
      <c r="G4380" s="1">
        <v>1637.42</v>
      </c>
      <c r="H4380" s="1" t="s">
        <v>10</v>
      </c>
      <c r="I4380" t="str">
        <f t="shared" si="68"/>
        <v>HYACINTH BULB T-LIGHT CANDLES [85172]</v>
      </c>
    </row>
    <row r="4381" spans="1:9" x14ac:dyDescent="0.3">
      <c r="A4381" s="1">
        <v>85173</v>
      </c>
      <c r="B4381" t="s">
        <v>935</v>
      </c>
      <c r="C4381" s="1">
        <v>2.5499999999999998</v>
      </c>
      <c r="D4381" s="1">
        <v>23</v>
      </c>
      <c r="E4381" s="1">
        <v>40.72</v>
      </c>
      <c r="F4381" s="1">
        <v>25</v>
      </c>
      <c r="G4381" s="1">
        <v>1826.07</v>
      </c>
      <c r="H4381" s="1" t="s">
        <v>9</v>
      </c>
      <c r="I4381" t="str">
        <f t="shared" si="68"/>
        <v>SET/6 FROG PRINCE T-LIGHT CANDLES [85173]</v>
      </c>
    </row>
    <row r="4382" spans="1:9" x14ac:dyDescent="0.3">
      <c r="A4382" s="1">
        <v>85174</v>
      </c>
      <c r="B4382" t="s">
        <v>934</v>
      </c>
      <c r="C4382" s="1">
        <v>5.33</v>
      </c>
      <c r="D4382" s="1">
        <v>42</v>
      </c>
      <c r="E4382" s="1">
        <v>58.36</v>
      </c>
      <c r="F4382" s="1">
        <v>25</v>
      </c>
      <c r="G4382" s="1">
        <v>7193.46</v>
      </c>
      <c r="H4382" s="1" t="s">
        <v>9</v>
      </c>
      <c r="I4382" t="str">
        <f t="shared" si="68"/>
        <v>S/4 CACTI CANDLES [85174]</v>
      </c>
    </row>
    <row r="4383" spans="1:9" x14ac:dyDescent="0.3">
      <c r="A4383" s="1">
        <v>85175</v>
      </c>
      <c r="B4383" t="s">
        <v>933</v>
      </c>
      <c r="C4383" s="1">
        <v>0.42</v>
      </c>
      <c r="D4383" s="1">
        <v>576</v>
      </c>
      <c r="E4383" s="2">
        <v>648.58333333333303</v>
      </c>
      <c r="F4383" s="1">
        <v>24</v>
      </c>
      <c r="G4383" s="1">
        <v>6606.26</v>
      </c>
      <c r="H4383" s="1" t="s">
        <v>10</v>
      </c>
      <c r="I4383" t="str">
        <f t="shared" si="68"/>
        <v>CACTI T-LIGHT CANDLES [85175]</v>
      </c>
    </row>
    <row r="4384" spans="1:9" x14ac:dyDescent="0.3">
      <c r="A4384" s="1">
        <v>85176</v>
      </c>
      <c r="B4384" t="s">
        <v>932</v>
      </c>
      <c r="C4384" s="1">
        <v>0.89</v>
      </c>
      <c r="D4384" s="1">
        <v>65</v>
      </c>
      <c r="E4384" s="1">
        <v>109.92</v>
      </c>
      <c r="F4384" s="1">
        <v>25</v>
      </c>
      <c r="G4384" s="1">
        <v>2293</v>
      </c>
      <c r="H4384" s="1" t="s">
        <v>10</v>
      </c>
      <c r="I4384" t="str">
        <f t="shared" si="68"/>
        <v>SEWING SUSAN 21 NEEDLE SET [85176]</v>
      </c>
    </row>
    <row r="4385" spans="1:9" x14ac:dyDescent="0.3">
      <c r="A4385" s="1">
        <v>85177</v>
      </c>
      <c r="B4385" t="s">
        <v>931</v>
      </c>
      <c r="C4385" s="1">
        <v>0.86</v>
      </c>
      <c r="D4385" s="1">
        <v>49</v>
      </c>
      <c r="E4385" s="1">
        <v>72.8</v>
      </c>
      <c r="F4385" s="1">
        <v>25</v>
      </c>
      <c r="G4385" s="1">
        <v>1514.78</v>
      </c>
      <c r="H4385" s="1" t="s">
        <v>9</v>
      </c>
      <c r="I4385" t="str">
        <f t="shared" si="68"/>
        <v>BASKET OF FLOWERS SEWING KIT [85177]</v>
      </c>
    </row>
    <row r="4386" spans="1:9" x14ac:dyDescent="0.3">
      <c r="A4386" s="1">
        <v>85178</v>
      </c>
      <c r="B4386" t="s">
        <v>930</v>
      </c>
      <c r="C4386" s="1">
        <v>1.26</v>
      </c>
      <c r="D4386" s="1">
        <v>188</v>
      </c>
      <c r="E4386" s="1">
        <v>219.12</v>
      </c>
      <c r="F4386" s="1">
        <v>25</v>
      </c>
      <c r="G4386" s="1">
        <v>6024.52</v>
      </c>
      <c r="H4386" s="1" t="s">
        <v>10</v>
      </c>
      <c r="I4386" t="str">
        <f t="shared" si="68"/>
        <v>VICTORIAN SEWING KIT [85178]</v>
      </c>
    </row>
    <row r="4387" spans="1:9" x14ac:dyDescent="0.3">
      <c r="A4387" s="1" t="s">
        <v>929</v>
      </c>
      <c r="B4387" t="s">
        <v>923</v>
      </c>
      <c r="C4387" s="1">
        <v>4.6500000000000004</v>
      </c>
      <c r="D4387" s="1">
        <v>4</v>
      </c>
      <c r="E4387" s="2">
        <v>16.692307692307601</v>
      </c>
      <c r="F4387" s="1">
        <v>13</v>
      </c>
      <c r="G4387" s="1">
        <v>511.07</v>
      </c>
      <c r="H4387" s="1" t="s">
        <v>8</v>
      </c>
      <c r="I4387" t="str">
        <f t="shared" si="68"/>
        <v>GREEN BITTY LIGHT CHAIN [85179A]</v>
      </c>
    </row>
    <row r="4388" spans="1:9" x14ac:dyDescent="0.3">
      <c r="A4388" s="1" t="s">
        <v>928</v>
      </c>
      <c r="B4388" t="s">
        <v>927</v>
      </c>
      <c r="C4388" s="1">
        <v>4.6500000000000004</v>
      </c>
      <c r="D4388" s="1">
        <v>7</v>
      </c>
      <c r="E4388" s="2">
        <v>22.363636363636299</v>
      </c>
      <c r="F4388" s="1">
        <v>11</v>
      </c>
      <c r="G4388" s="1">
        <v>1056.5999999999999</v>
      </c>
      <c r="H4388" s="1" t="s">
        <v>8</v>
      </c>
      <c r="I4388" t="str">
        <f t="shared" si="68"/>
        <v>WHITE BITTY LIGHT CHAIN [85179B]</v>
      </c>
    </row>
    <row r="4389" spans="1:9" x14ac:dyDescent="0.3">
      <c r="A4389" s="1" t="s">
        <v>926</v>
      </c>
      <c r="B4389" t="s">
        <v>925</v>
      </c>
      <c r="C4389" s="1">
        <v>2.5</v>
      </c>
      <c r="D4389" s="1">
        <v>7</v>
      </c>
      <c r="E4389" s="2">
        <v>16.285714285714199</v>
      </c>
      <c r="F4389" s="1">
        <v>7</v>
      </c>
      <c r="G4389" s="1">
        <v>238.51</v>
      </c>
      <c r="H4389" s="1" t="s">
        <v>8</v>
      </c>
      <c r="I4389" t="str">
        <f t="shared" si="68"/>
        <v>PINK BITTY LIGHT CHAIN [85179C]</v>
      </c>
    </row>
    <row r="4390" spans="1:9" x14ac:dyDescent="0.3">
      <c r="A4390" s="1" t="s">
        <v>924</v>
      </c>
      <c r="B4390" t="s">
        <v>923</v>
      </c>
      <c r="C4390" s="2">
        <v>5.89</v>
      </c>
      <c r="D4390" s="1">
        <v>1</v>
      </c>
      <c r="E4390" s="1">
        <v>1</v>
      </c>
      <c r="F4390" s="1">
        <v>2</v>
      </c>
      <c r="G4390" s="2">
        <v>11.78</v>
      </c>
      <c r="H4390" s="1" t="s">
        <v>8</v>
      </c>
      <c r="I4390" t="str">
        <f t="shared" si="68"/>
        <v>GREEN BITTY LIGHT CHAIN [85179a]</v>
      </c>
    </row>
    <row r="4391" spans="1:9" x14ac:dyDescent="0.3">
      <c r="A4391" s="1" t="s">
        <v>922</v>
      </c>
      <c r="B4391" t="s">
        <v>921</v>
      </c>
      <c r="C4391" s="1">
        <v>4.6500000000000004</v>
      </c>
      <c r="D4391" s="1">
        <v>5</v>
      </c>
      <c r="E4391" s="2">
        <v>29.952380952380899</v>
      </c>
      <c r="F4391" s="1">
        <v>21</v>
      </c>
      <c r="G4391" s="1">
        <v>1636.42</v>
      </c>
      <c r="H4391" s="1" t="s">
        <v>8</v>
      </c>
      <c r="I4391" t="str">
        <f t="shared" si="68"/>
        <v>RED HEARTS LIGHT CHAIN [85180A]</v>
      </c>
    </row>
    <row r="4392" spans="1:9" x14ac:dyDescent="0.3">
      <c r="A4392" s="1" t="s">
        <v>920</v>
      </c>
      <c r="B4392" t="s">
        <v>919</v>
      </c>
      <c r="C4392" s="1">
        <v>4.6500000000000004</v>
      </c>
      <c r="D4392" s="1">
        <v>3</v>
      </c>
      <c r="E4392" s="1">
        <v>18.2</v>
      </c>
      <c r="F4392" s="1">
        <v>20</v>
      </c>
      <c r="G4392" s="1">
        <v>1022.16</v>
      </c>
      <c r="H4392" s="1" t="s">
        <v>8</v>
      </c>
      <c r="I4392" t="str">
        <f t="shared" si="68"/>
        <v>PINK HEARTS LIGHT CHAIN [85180B]</v>
      </c>
    </row>
    <row r="4393" spans="1:9" x14ac:dyDescent="0.3">
      <c r="A4393" s="1" t="s">
        <v>918</v>
      </c>
      <c r="B4393" t="s">
        <v>917</v>
      </c>
      <c r="C4393" s="1">
        <v>1.26</v>
      </c>
      <c r="D4393" s="1">
        <v>66</v>
      </c>
      <c r="E4393" s="1">
        <v>90.3125</v>
      </c>
      <c r="F4393" s="1">
        <v>16</v>
      </c>
      <c r="G4393" s="1">
        <v>2020.63</v>
      </c>
      <c r="H4393" s="1" t="s">
        <v>10</v>
      </c>
      <c r="I4393" t="str">
        <f t="shared" si="68"/>
        <v>CHARLIE &amp; LOLA WASTEPAPER BIN BLUE [85183A]</v>
      </c>
    </row>
    <row r="4394" spans="1:9" x14ac:dyDescent="0.3">
      <c r="A4394" s="1" t="s">
        <v>916</v>
      </c>
      <c r="B4394" t="s">
        <v>915</v>
      </c>
      <c r="C4394" s="1">
        <v>1.3149999999999999</v>
      </c>
      <c r="D4394" s="1">
        <v>68</v>
      </c>
      <c r="E4394" s="2">
        <v>89.8333333333333</v>
      </c>
      <c r="F4394" s="1">
        <v>18</v>
      </c>
      <c r="G4394" s="1">
        <v>2315.4699999999998</v>
      </c>
      <c r="H4394" s="1" t="s">
        <v>10</v>
      </c>
      <c r="I4394" t="str">
        <f t="shared" si="68"/>
        <v>CHARLIE &amp; LOLA WASTEPAPER BIN FLORA [85183B]</v>
      </c>
    </row>
    <row r="4395" spans="1:9" x14ac:dyDescent="0.3">
      <c r="A4395" s="1" t="s">
        <v>914</v>
      </c>
      <c r="B4395" t="s">
        <v>913</v>
      </c>
      <c r="C4395" s="1">
        <v>2.95</v>
      </c>
      <c r="D4395" s="1">
        <v>4</v>
      </c>
      <c r="E4395" s="2">
        <v>4.6666666666666599</v>
      </c>
      <c r="F4395" s="1">
        <v>3</v>
      </c>
      <c r="G4395" s="2">
        <v>41.3</v>
      </c>
      <c r="H4395" s="1" t="s">
        <v>8</v>
      </c>
      <c r="I4395" t="str">
        <f t="shared" si="68"/>
        <v>SET 4 EASTER DECOUPAGE OVAL BOXES [85184B]</v>
      </c>
    </row>
    <row r="4396" spans="1:9" x14ac:dyDescent="0.3">
      <c r="A4396" s="1" t="s">
        <v>912</v>
      </c>
      <c r="B4396" t="s">
        <v>909</v>
      </c>
      <c r="C4396" s="1">
        <v>3.21</v>
      </c>
      <c r="D4396" s="1">
        <v>24</v>
      </c>
      <c r="E4396" s="1">
        <v>87.5</v>
      </c>
      <c r="F4396" s="1">
        <v>25</v>
      </c>
      <c r="G4396" s="1">
        <v>4891.71</v>
      </c>
      <c r="H4396" s="1" t="s">
        <v>9</v>
      </c>
      <c r="I4396" t="str">
        <f t="shared" si="68"/>
        <v>S/4 VALENTINE DECOUPAGE HEART BOX [85184C]</v>
      </c>
    </row>
    <row r="4397" spans="1:9" x14ac:dyDescent="0.3">
      <c r="A4397" s="1" t="s">
        <v>911</v>
      </c>
      <c r="B4397" t="s">
        <v>907</v>
      </c>
      <c r="C4397" s="2">
        <v>3.0999999999999899</v>
      </c>
      <c r="D4397" s="1">
        <v>18.5</v>
      </c>
      <c r="E4397" s="1">
        <v>49.5</v>
      </c>
      <c r="F4397" s="1">
        <v>8</v>
      </c>
      <c r="G4397" s="1">
        <v>1123.69</v>
      </c>
      <c r="H4397" s="1" t="s">
        <v>9</v>
      </c>
      <c r="I4397" t="str">
        <f t="shared" si="68"/>
        <v>S/4 BLUE ROUND DECOUPAGE BOXES [85184D]</v>
      </c>
    </row>
    <row r="4398" spans="1:9" x14ac:dyDescent="0.3">
      <c r="A4398" s="1" t="s">
        <v>910</v>
      </c>
      <c r="B4398" t="s">
        <v>909</v>
      </c>
      <c r="C4398" s="1">
        <v>5.91</v>
      </c>
      <c r="D4398" s="1">
        <v>1</v>
      </c>
      <c r="E4398" s="1">
        <v>1.2</v>
      </c>
      <c r="F4398" s="1">
        <v>5</v>
      </c>
      <c r="G4398" s="1">
        <v>35.35</v>
      </c>
      <c r="H4398" s="1" t="s">
        <v>8</v>
      </c>
      <c r="I4398" t="str">
        <f t="shared" si="68"/>
        <v>S/4 VALENTINE DECOUPAGE HEART BOX [85184c]</v>
      </c>
    </row>
    <row r="4399" spans="1:9" x14ac:dyDescent="0.3">
      <c r="A4399" s="1" t="s">
        <v>908</v>
      </c>
      <c r="B4399" t="s">
        <v>907</v>
      </c>
      <c r="C4399" s="1">
        <v>5.91</v>
      </c>
      <c r="D4399" s="1">
        <v>1</v>
      </c>
      <c r="E4399" s="1">
        <v>1</v>
      </c>
      <c r="F4399" s="1">
        <v>1</v>
      </c>
      <c r="G4399" s="1">
        <v>5.91</v>
      </c>
      <c r="H4399" s="1" t="s">
        <v>8</v>
      </c>
      <c r="I4399" t="str">
        <f t="shared" si="68"/>
        <v>S/4 BLUE ROUND DECOUPAGE BOXES [85184d]</v>
      </c>
    </row>
    <row r="4400" spans="1:9" x14ac:dyDescent="0.3">
      <c r="A4400" s="1" t="s">
        <v>906</v>
      </c>
      <c r="B4400" t="s">
        <v>905</v>
      </c>
      <c r="C4400" s="1">
        <v>2.95</v>
      </c>
      <c r="D4400" s="1">
        <v>23</v>
      </c>
      <c r="E4400" s="2">
        <v>24.7083333333333</v>
      </c>
      <c r="F4400" s="1">
        <v>24</v>
      </c>
      <c r="G4400" s="1">
        <v>1843.46</v>
      </c>
      <c r="H4400" s="1" t="s">
        <v>9</v>
      </c>
      <c r="I4400" t="str">
        <f t="shared" si="68"/>
        <v>PINK HORSE SOCK PUPPET [85185B]</v>
      </c>
    </row>
    <row r="4401" spans="1:9" x14ac:dyDescent="0.3">
      <c r="A4401" s="1" t="s">
        <v>904</v>
      </c>
      <c r="B4401" t="s">
        <v>903</v>
      </c>
      <c r="C4401" s="1">
        <v>2.95</v>
      </c>
      <c r="D4401" s="1">
        <v>8</v>
      </c>
      <c r="E4401" s="2">
        <v>6.4444444444444402</v>
      </c>
      <c r="F4401" s="1">
        <v>9</v>
      </c>
      <c r="G4401" s="1">
        <v>171.1</v>
      </c>
      <c r="H4401" s="1" t="s">
        <v>8</v>
      </c>
      <c r="I4401" t="str">
        <f t="shared" si="68"/>
        <v>COW  SOCK PUPPET [85185C]</v>
      </c>
    </row>
    <row r="4402" spans="1:9" x14ac:dyDescent="0.3">
      <c r="A4402" s="1" t="s">
        <v>902</v>
      </c>
      <c r="B4402" t="s">
        <v>901</v>
      </c>
      <c r="C4402" s="1">
        <v>2.95</v>
      </c>
      <c r="D4402" s="1">
        <v>9.5</v>
      </c>
      <c r="E4402" s="1">
        <v>12.1875</v>
      </c>
      <c r="F4402" s="1">
        <v>16</v>
      </c>
      <c r="G4402" s="1">
        <v>636.11</v>
      </c>
      <c r="H4402" s="1" t="s">
        <v>8</v>
      </c>
      <c r="I4402" t="str">
        <f t="shared" si="68"/>
        <v>FROG SOCK PUPPET [85185D]</v>
      </c>
    </row>
    <row r="4403" spans="1:9" x14ac:dyDescent="0.3">
      <c r="A4403" s="1" t="s">
        <v>900</v>
      </c>
      <c r="B4403" t="s">
        <v>899</v>
      </c>
      <c r="C4403" s="1">
        <v>2.95</v>
      </c>
      <c r="D4403" s="1">
        <v>4</v>
      </c>
      <c r="E4403" s="1">
        <v>4</v>
      </c>
      <c r="F4403" s="1">
        <v>1</v>
      </c>
      <c r="G4403" s="1">
        <v>11.8</v>
      </c>
      <c r="H4403" s="1" t="s">
        <v>8</v>
      </c>
      <c r="I4403" t="str">
        <f t="shared" si="68"/>
        <v>DUCK SOCK PUPPET [85185E]</v>
      </c>
    </row>
    <row r="4404" spans="1:9" x14ac:dyDescent="0.3">
      <c r="A4404" s="1" t="s">
        <v>898</v>
      </c>
      <c r="B4404" t="s">
        <v>897</v>
      </c>
      <c r="C4404" s="1">
        <v>2.95</v>
      </c>
      <c r="D4404" s="1">
        <v>5.5</v>
      </c>
      <c r="E4404" s="1">
        <v>9.25</v>
      </c>
      <c r="F4404" s="1">
        <v>4</v>
      </c>
      <c r="G4404" s="1">
        <v>109.15</v>
      </c>
      <c r="H4404" s="1" t="s">
        <v>8</v>
      </c>
      <c r="I4404" t="str">
        <f t="shared" si="68"/>
        <v>LION SOCK PUPPET [85185F]</v>
      </c>
    </row>
    <row r="4405" spans="1:9" x14ac:dyDescent="0.3">
      <c r="A4405" s="1" t="s">
        <v>896</v>
      </c>
      <c r="B4405" t="s">
        <v>895</v>
      </c>
      <c r="C4405" s="1">
        <v>0.51</v>
      </c>
      <c r="D4405" s="1">
        <v>36.5</v>
      </c>
      <c r="E4405" s="2">
        <v>105.214285714285</v>
      </c>
      <c r="F4405" s="1">
        <v>14</v>
      </c>
      <c r="G4405" s="1">
        <v>685.87</v>
      </c>
      <c r="H4405" s="1" t="s">
        <v>9</v>
      </c>
      <c r="I4405" t="str">
        <f t="shared" si="68"/>
        <v>EASTER BUNNY GARLAND OF FLOWERS [85186A]</v>
      </c>
    </row>
    <row r="4406" spans="1:9" x14ac:dyDescent="0.3">
      <c r="A4406" s="1" t="s">
        <v>894</v>
      </c>
      <c r="B4406" t="s">
        <v>893</v>
      </c>
      <c r="C4406" s="1">
        <v>0.42</v>
      </c>
      <c r="D4406" s="1">
        <v>14</v>
      </c>
      <c r="E4406" s="1">
        <v>14</v>
      </c>
      <c r="F4406" s="1">
        <v>1</v>
      </c>
      <c r="G4406" s="1">
        <v>5.88</v>
      </c>
      <c r="H4406" s="1" t="s">
        <v>9</v>
      </c>
      <c r="I4406" t="str">
        <f t="shared" si="68"/>
        <v>BUNNY BUNCH OF FLOWERS [85186B]</v>
      </c>
    </row>
    <row r="4407" spans="1:9" x14ac:dyDescent="0.3">
      <c r="A4407" s="1" t="s">
        <v>892</v>
      </c>
      <c r="B4407" t="s">
        <v>891</v>
      </c>
      <c r="C4407" s="1">
        <v>0.5</v>
      </c>
      <c r="D4407" s="1">
        <v>26</v>
      </c>
      <c r="E4407" s="2">
        <v>93.3333333333333</v>
      </c>
      <c r="F4407" s="1">
        <v>15</v>
      </c>
      <c r="G4407" s="1">
        <v>658.19</v>
      </c>
      <c r="H4407" s="1" t="s">
        <v>9</v>
      </c>
      <c r="I4407" t="str">
        <f t="shared" si="68"/>
        <v>BUNNY EGG GARLAND [85186C]</v>
      </c>
    </row>
    <row r="4408" spans="1:9" x14ac:dyDescent="0.3">
      <c r="A4408" s="1">
        <v>85187</v>
      </c>
      <c r="B4408" t="s">
        <v>890</v>
      </c>
      <c r="C4408" s="1">
        <v>1.65</v>
      </c>
      <c r="D4408" s="1">
        <v>13</v>
      </c>
      <c r="E4408" s="2">
        <v>34.214285714285701</v>
      </c>
      <c r="F4408" s="1">
        <v>14</v>
      </c>
      <c r="G4408" s="1">
        <v>816.48</v>
      </c>
      <c r="H4408" s="1" t="s">
        <v>9</v>
      </c>
      <c r="I4408" t="str">
        <f t="shared" si="68"/>
        <v>S/12 MINI RABBIT EASTER [85187]</v>
      </c>
    </row>
    <row r="4409" spans="1:9" x14ac:dyDescent="0.3">
      <c r="A4409" s="1" t="s">
        <v>889</v>
      </c>
      <c r="B4409" t="s">
        <v>888</v>
      </c>
      <c r="C4409" s="1">
        <v>0.89</v>
      </c>
      <c r="D4409" s="1">
        <v>107</v>
      </c>
      <c r="E4409" s="2">
        <v>104.888888888888</v>
      </c>
      <c r="F4409" s="1">
        <v>9</v>
      </c>
      <c r="G4409" s="1">
        <v>824.97</v>
      </c>
      <c r="H4409" s="1" t="s">
        <v>10</v>
      </c>
      <c r="I4409" t="str">
        <f t="shared" si="68"/>
        <v>GREEN METAL SWINGING BUNNY [85188A]</v>
      </c>
    </row>
    <row r="4410" spans="1:9" x14ac:dyDescent="0.3">
      <c r="A4410" s="1" t="s">
        <v>887</v>
      </c>
      <c r="B4410" t="s">
        <v>886</v>
      </c>
      <c r="C4410" s="1">
        <v>0.87</v>
      </c>
      <c r="D4410" s="1">
        <v>21</v>
      </c>
      <c r="E4410" s="2">
        <v>83.1111111111111</v>
      </c>
      <c r="F4410" s="1">
        <v>9</v>
      </c>
      <c r="G4410" s="1">
        <v>660.88</v>
      </c>
      <c r="H4410" s="1" t="s">
        <v>9</v>
      </c>
      <c r="I4410" t="str">
        <f t="shared" si="68"/>
        <v>PINK METAL SWINGING BUNNY [85188B]</v>
      </c>
    </row>
    <row r="4411" spans="1:9" x14ac:dyDescent="0.3">
      <c r="A4411" s="1">
        <v>85189</v>
      </c>
      <c r="B4411" t="s">
        <v>885</v>
      </c>
      <c r="C4411" s="1">
        <v>0.85</v>
      </c>
      <c r="D4411" s="1">
        <v>6</v>
      </c>
      <c r="E4411" s="2">
        <v>106.90909090909</v>
      </c>
      <c r="F4411" s="1">
        <v>11</v>
      </c>
      <c r="G4411" s="1">
        <v>967.95</v>
      </c>
      <c r="H4411" s="1" t="s">
        <v>8</v>
      </c>
      <c r="I4411" t="str">
        <f t="shared" si="68"/>
        <v>HANGING BUTTERFLY  EGG [85189]</v>
      </c>
    </row>
    <row r="4412" spans="1:9" x14ac:dyDescent="0.3">
      <c r="A4412" s="1">
        <v>85190</v>
      </c>
      <c r="B4412" t="s">
        <v>884</v>
      </c>
      <c r="C4412" s="1">
        <v>0.85</v>
      </c>
      <c r="D4412" s="1">
        <v>18</v>
      </c>
      <c r="E4412" s="1">
        <v>34.5</v>
      </c>
      <c r="F4412" s="1">
        <v>4</v>
      </c>
      <c r="G4412" s="2">
        <v>122.46</v>
      </c>
      <c r="H4412" s="1" t="s">
        <v>9</v>
      </c>
      <c r="I4412" t="str">
        <f t="shared" si="68"/>
        <v>PINK FLOWER HANGING HEART [85190]</v>
      </c>
    </row>
    <row r="4413" spans="1:9" x14ac:dyDescent="0.3">
      <c r="A4413" s="1" t="s">
        <v>883</v>
      </c>
      <c r="B4413" t="s">
        <v>882</v>
      </c>
      <c r="C4413" s="1">
        <v>0.65</v>
      </c>
      <c r="D4413" s="1">
        <v>3</v>
      </c>
      <c r="E4413" s="1">
        <v>3</v>
      </c>
      <c r="F4413" s="1">
        <v>1</v>
      </c>
      <c r="G4413" s="1">
        <v>1.95</v>
      </c>
      <c r="H4413" s="1" t="s">
        <v>8</v>
      </c>
      <c r="I4413" t="str">
        <f t="shared" si="68"/>
        <v>HANGING SPRING FLOWER HEART SMALL [85192S]</v>
      </c>
    </row>
    <row r="4414" spans="1:9" x14ac:dyDescent="0.3">
      <c r="A4414" s="1" t="s">
        <v>881</v>
      </c>
      <c r="B4414" t="s">
        <v>880</v>
      </c>
      <c r="C4414" s="1">
        <v>0.86499999999999999</v>
      </c>
      <c r="D4414" s="1">
        <v>138.5</v>
      </c>
      <c r="E4414" s="2">
        <v>129.85714285714201</v>
      </c>
      <c r="F4414" s="1">
        <v>14</v>
      </c>
      <c r="G4414" s="1">
        <v>1560.63</v>
      </c>
      <c r="H4414" s="1" t="s">
        <v>10</v>
      </c>
      <c r="I4414" t="str">
        <f t="shared" si="68"/>
        <v>HANGING SPRING FLOWER EGG LARGE [85194L]</v>
      </c>
    </row>
    <row r="4415" spans="1:9" x14ac:dyDescent="0.3">
      <c r="A4415" s="1" t="s">
        <v>879</v>
      </c>
      <c r="B4415" t="s">
        <v>878</v>
      </c>
      <c r="C4415" s="1">
        <v>0.65</v>
      </c>
      <c r="D4415" s="1">
        <v>65</v>
      </c>
      <c r="E4415" s="2">
        <v>92.631578947368396</v>
      </c>
      <c r="F4415" s="1">
        <v>19</v>
      </c>
      <c r="G4415" s="1">
        <v>889.46</v>
      </c>
      <c r="H4415" s="1" t="s">
        <v>10</v>
      </c>
      <c r="I4415" t="str">
        <f t="shared" si="68"/>
        <v>HANGING SPRING FLOWER EGG SMALL [85194S]</v>
      </c>
    </row>
    <row r="4416" spans="1:9" x14ac:dyDescent="0.3">
      <c r="A4416" s="1">
        <v>85195</v>
      </c>
      <c r="B4416" t="s">
        <v>877</v>
      </c>
      <c r="C4416" s="1">
        <v>2.1</v>
      </c>
      <c r="D4416" s="1">
        <v>4</v>
      </c>
      <c r="E4416" s="2">
        <v>13.272727272727201</v>
      </c>
      <c r="F4416" s="1">
        <v>11</v>
      </c>
      <c r="G4416" s="1">
        <v>269.44</v>
      </c>
      <c r="H4416" s="1" t="s">
        <v>8</v>
      </c>
      <c r="I4416" t="str">
        <f t="shared" si="68"/>
        <v>HANGING HEART BASKET [85195]</v>
      </c>
    </row>
    <row r="4417" spans="1:9" x14ac:dyDescent="0.3">
      <c r="A4417" s="1">
        <v>85196</v>
      </c>
      <c r="B4417" t="s">
        <v>876</v>
      </c>
      <c r="C4417" s="1">
        <v>0.55000000000000004</v>
      </c>
      <c r="D4417" s="1">
        <v>372.5</v>
      </c>
      <c r="E4417" s="1">
        <v>391</v>
      </c>
      <c r="F4417" s="1">
        <v>4</v>
      </c>
      <c r="G4417" s="1">
        <v>831.04</v>
      </c>
      <c r="H4417" s="1" t="s">
        <v>10</v>
      </c>
      <c r="I4417" t="str">
        <f t="shared" si="68"/>
        <v>EASTER BUNNIES ON A STICK [85196]</v>
      </c>
    </row>
    <row r="4418" spans="1:9" x14ac:dyDescent="0.3">
      <c r="A4418" s="1">
        <v>85197</v>
      </c>
      <c r="B4418" t="s">
        <v>875</v>
      </c>
      <c r="C4418" s="1">
        <v>2.1</v>
      </c>
      <c r="D4418" s="1">
        <v>4</v>
      </c>
      <c r="E4418" s="2">
        <v>19.4545454545454</v>
      </c>
      <c r="F4418" s="1">
        <v>11</v>
      </c>
      <c r="G4418" s="1">
        <v>410.04</v>
      </c>
      <c r="H4418" s="1" t="s">
        <v>8</v>
      </c>
      <c r="I4418" t="str">
        <f t="shared" si="68"/>
        <v>SET OF 12 MINI BUNNIES IN A BUCKET [85197]</v>
      </c>
    </row>
    <row r="4419" spans="1:9" x14ac:dyDescent="0.3">
      <c r="A4419" s="1">
        <v>85198</v>
      </c>
      <c r="B4419" t="s">
        <v>874</v>
      </c>
      <c r="C4419" s="1">
        <v>0.85</v>
      </c>
      <c r="D4419" s="1">
        <v>13</v>
      </c>
      <c r="E4419" s="2">
        <v>296.84615384615302</v>
      </c>
      <c r="F4419" s="1">
        <v>13</v>
      </c>
      <c r="G4419" s="1">
        <v>1469.5</v>
      </c>
      <c r="H4419" s="1" t="s">
        <v>9</v>
      </c>
      <c r="I4419" t="str">
        <f t="shared" ref="I4419:I4482" si="69">B4419&amp;" ["&amp;A4419&amp;"]"</f>
        <v>ASSORTED FARMYARD ANIMALS IN BUCKET [85198]</v>
      </c>
    </row>
    <row r="4420" spans="1:9" x14ac:dyDescent="0.3">
      <c r="A4420" s="1" t="s">
        <v>873</v>
      </c>
      <c r="B4420" t="s">
        <v>872</v>
      </c>
      <c r="C4420" s="1">
        <v>0.68</v>
      </c>
      <c r="D4420" s="1">
        <v>86</v>
      </c>
      <c r="E4420" s="1">
        <v>138.19999999999999</v>
      </c>
      <c r="F4420" s="1">
        <v>25</v>
      </c>
      <c r="G4420" s="1">
        <v>2285.02</v>
      </c>
      <c r="H4420" s="1" t="s">
        <v>10</v>
      </c>
      <c r="I4420" t="str">
        <f t="shared" si="69"/>
        <v>LARGE HANGING IVORY &amp; RED WOOD BIRD [85199L]</v>
      </c>
    </row>
    <row r="4421" spans="1:9" x14ac:dyDescent="0.3">
      <c r="A4421" s="1" t="s">
        <v>871</v>
      </c>
      <c r="B4421" t="s">
        <v>870</v>
      </c>
      <c r="C4421" s="1">
        <v>0.47</v>
      </c>
      <c r="D4421" s="1">
        <v>171</v>
      </c>
      <c r="E4421" s="1">
        <v>240.88</v>
      </c>
      <c r="F4421" s="1">
        <v>25</v>
      </c>
      <c r="G4421" s="1">
        <v>2789.28</v>
      </c>
      <c r="H4421" s="1" t="s">
        <v>10</v>
      </c>
      <c r="I4421" t="str">
        <f t="shared" si="69"/>
        <v>SMALL HANGING IVORY/RED WOOD BIRD [85199S]</v>
      </c>
    </row>
    <row r="4422" spans="1:9" x14ac:dyDescent="0.3">
      <c r="A4422" s="1">
        <v>85200</v>
      </c>
      <c r="B4422" t="s">
        <v>869</v>
      </c>
      <c r="C4422" s="1">
        <v>1.25</v>
      </c>
      <c r="D4422" s="1">
        <v>71.5</v>
      </c>
      <c r="E4422" s="1">
        <v>130.625</v>
      </c>
      <c r="F4422" s="1">
        <v>8</v>
      </c>
      <c r="G4422" s="2">
        <v>1319.09</v>
      </c>
      <c r="H4422" s="1" t="s">
        <v>10</v>
      </c>
      <c r="I4422" t="str">
        <f t="shared" si="69"/>
        <v>BUNNY EGG BOX [85200]</v>
      </c>
    </row>
    <row r="4423" spans="1:9" x14ac:dyDescent="0.3">
      <c r="A4423" s="1">
        <v>85202</v>
      </c>
      <c r="B4423" t="s">
        <v>868</v>
      </c>
      <c r="C4423" s="1">
        <v>0.47499999999999998</v>
      </c>
      <c r="D4423" s="1">
        <v>27.5</v>
      </c>
      <c r="E4423" s="2">
        <v>50.3333333333333</v>
      </c>
      <c r="F4423" s="1">
        <v>24</v>
      </c>
      <c r="G4423" s="1">
        <v>570.09</v>
      </c>
      <c r="H4423" s="1" t="s">
        <v>9</v>
      </c>
      <c r="I4423" t="str">
        <f t="shared" si="69"/>
        <v>HANGING WOOD AND FELT HEART [85202]</v>
      </c>
    </row>
    <row r="4424" spans="1:9" x14ac:dyDescent="0.3">
      <c r="A4424" s="1">
        <v>85203</v>
      </c>
      <c r="B4424" t="s">
        <v>867</v>
      </c>
      <c r="C4424" s="1">
        <v>0.46</v>
      </c>
      <c r="D4424" s="1">
        <v>44</v>
      </c>
      <c r="E4424" s="1">
        <v>58.52</v>
      </c>
      <c r="F4424" s="1">
        <v>25</v>
      </c>
      <c r="G4424" s="1">
        <v>665.91</v>
      </c>
      <c r="H4424" s="1" t="s">
        <v>9</v>
      </c>
      <c r="I4424" t="str">
        <f t="shared" si="69"/>
        <v>HANGING WOOD AND FELT BUTTERFLY [85203]</v>
      </c>
    </row>
    <row r="4425" spans="1:9" x14ac:dyDescent="0.3">
      <c r="A4425" s="1">
        <v>85204</v>
      </c>
      <c r="B4425" t="s">
        <v>866</v>
      </c>
      <c r="C4425" s="1">
        <v>0.42</v>
      </c>
      <c r="D4425" s="1">
        <v>30</v>
      </c>
      <c r="E4425" s="1">
        <v>94.12</v>
      </c>
      <c r="F4425" s="1">
        <v>25</v>
      </c>
      <c r="G4425" s="1">
        <v>460.9</v>
      </c>
      <c r="H4425" s="1" t="s">
        <v>9</v>
      </c>
      <c r="I4425" t="str">
        <f t="shared" si="69"/>
        <v>HANGING WOOD AND FELT FLOWER [85204]</v>
      </c>
    </row>
    <row r="4426" spans="1:9" x14ac:dyDescent="0.3">
      <c r="A4426" s="1" t="s">
        <v>865</v>
      </c>
      <c r="B4426" t="s">
        <v>864</v>
      </c>
      <c r="C4426" s="1">
        <v>2.5499999999999998</v>
      </c>
      <c r="D4426" s="1">
        <v>33</v>
      </c>
      <c r="E4426" s="1">
        <v>33</v>
      </c>
      <c r="F4426" s="1">
        <v>2</v>
      </c>
      <c r="G4426" s="1">
        <v>168.3</v>
      </c>
      <c r="H4426" s="1" t="s">
        <v>9</v>
      </c>
      <c r="I4426" t="str">
        <f t="shared" si="69"/>
        <v>IVORY FELT EASTER RABBIT GARLAND [85205A]</v>
      </c>
    </row>
    <row r="4427" spans="1:9" x14ac:dyDescent="0.3">
      <c r="A4427" s="1" t="s">
        <v>863</v>
      </c>
      <c r="B4427" t="s">
        <v>862</v>
      </c>
      <c r="C4427" s="1">
        <v>2.65</v>
      </c>
      <c r="D4427" s="1">
        <v>30</v>
      </c>
      <c r="E4427" s="2">
        <v>26.7777777777777</v>
      </c>
      <c r="F4427" s="1">
        <v>9</v>
      </c>
      <c r="G4427" s="1">
        <v>669.38</v>
      </c>
      <c r="H4427" s="1" t="s">
        <v>9</v>
      </c>
      <c r="I4427" t="str">
        <f t="shared" si="69"/>
        <v>PINK FELT EASTER RABBIT GARLAND [85205B]</v>
      </c>
    </row>
    <row r="4428" spans="1:9" x14ac:dyDescent="0.3">
      <c r="A4428" s="1" t="s">
        <v>861</v>
      </c>
      <c r="B4428" t="s">
        <v>860</v>
      </c>
      <c r="C4428" s="1">
        <v>1.65</v>
      </c>
      <c r="D4428" s="1">
        <v>54</v>
      </c>
      <c r="E4428" s="1">
        <v>179</v>
      </c>
      <c r="F4428" s="1">
        <v>13</v>
      </c>
      <c r="G4428" s="1">
        <v>3982.91</v>
      </c>
      <c r="H4428" s="1" t="s">
        <v>9</v>
      </c>
      <c r="I4428" t="str">
        <f t="shared" si="69"/>
        <v>CREAM FELT EASTER EGG BASKET [85206A]</v>
      </c>
    </row>
    <row r="4429" spans="1:9" x14ac:dyDescent="0.3">
      <c r="A4429" s="1" t="s">
        <v>859</v>
      </c>
      <c r="B4429" t="s">
        <v>858</v>
      </c>
      <c r="C4429" s="1">
        <v>1.65</v>
      </c>
      <c r="D4429" s="1">
        <v>203</v>
      </c>
      <c r="E4429" s="2">
        <v>256.33333333333297</v>
      </c>
      <c r="F4429" s="1">
        <v>6</v>
      </c>
      <c r="G4429" s="1">
        <v>2477.3000000000002</v>
      </c>
      <c r="H4429" s="1" t="s">
        <v>10</v>
      </c>
      <c r="I4429" t="str">
        <f t="shared" si="69"/>
        <v>PINK FELT EASTER EGG BASKET [85206B]</v>
      </c>
    </row>
    <row r="4430" spans="1:9" x14ac:dyDescent="0.3">
      <c r="A4430" s="1">
        <v>85208</v>
      </c>
      <c r="B4430" t="s">
        <v>857</v>
      </c>
      <c r="C4430" s="1">
        <v>2.1</v>
      </c>
      <c r="D4430" s="1">
        <v>14</v>
      </c>
      <c r="E4430" s="1">
        <v>20</v>
      </c>
      <c r="F4430" s="1">
        <v>21</v>
      </c>
      <c r="G4430" s="1">
        <v>836.94</v>
      </c>
      <c r="H4430" s="1" t="s">
        <v>9</v>
      </c>
      <c r="I4430" t="str">
        <f t="shared" si="69"/>
        <v>SET/12 FUNKY FELT FLOWER PEG IN BAG [85208]</v>
      </c>
    </row>
    <row r="4431" spans="1:9" x14ac:dyDescent="0.3">
      <c r="A4431" s="1">
        <v>85211</v>
      </c>
      <c r="B4431" t="s">
        <v>856</v>
      </c>
      <c r="C4431" s="1">
        <v>1.74</v>
      </c>
      <c r="D4431" s="1">
        <v>7</v>
      </c>
      <c r="E4431" s="2">
        <v>16.105263157894701</v>
      </c>
      <c r="F4431" s="1">
        <v>19</v>
      </c>
      <c r="G4431" s="2">
        <v>467.4</v>
      </c>
      <c r="H4431" s="1" t="s">
        <v>8</v>
      </c>
      <c r="I4431" t="str">
        <f t="shared" si="69"/>
        <v>S/4 GROOVY CAT MAGNETS [85211]</v>
      </c>
    </row>
    <row r="4432" spans="1:9" x14ac:dyDescent="0.3">
      <c r="A4432" s="1">
        <v>85212</v>
      </c>
      <c r="B4432" t="s">
        <v>855</v>
      </c>
      <c r="C4432" s="1">
        <v>0.42</v>
      </c>
      <c r="D4432" s="1">
        <v>62</v>
      </c>
      <c r="E4432" s="2">
        <v>123.04347826086899</v>
      </c>
      <c r="F4432" s="1">
        <v>23</v>
      </c>
      <c r="G4432" s="1">
        <v>1094.9000000000001</v>
      </c>
      <c r="H4432" s="1" t="s">
        <v>10</v>
      </c>
      <c r="I4432" t="str">
        <f t="shared" si="69"/>
        <v>MINI PAINTED GARDEN DECORATION [85212]</v>
      </c>
    </row>
    <row r="4433" spans="1:9" x14ac:dyDescent="0.3">
      <c r="A4433" s="1">
        <v>85213</v>
      </c>
      <c r="B4433" t="s">
        <v>854</v>
      </c>
      <c r="C4433" s="1">
        <v>0.93</v>
      </c>
      <c r="D4433" s="1">
        <v>20.5</v>
      </c>
      <c r="E4433" s="1">
        <v>68.900000000000006</v>
      </c>
      <c r="F4433" s="1">
        <v>20</v>
      </c>
      <c r="G4433" s="1">
        <v>829</v>
      </c>
      <c r="H4433" s="1" t="s">
        <v>9</v>
      </c>
      <c r="I4433" t="str">
        <f t="shared" si="69"/>
        <v>MINI  ZINC GARDEN DECORATIONS [85213]</v>
      </c>
    </row>
    <row r="4434" spans="1:9" x14ac:dyDescent="0.3">
      <c r="A4434" s="1">
        <v>85214</v>
      </c>
      <c r="B4434" t="s">
        <v>853</v>
      </c>
      <c r="C4434" s="1">
        <v>1.65</v>
      </c>
      <c r="D4434" s="1">
        <v>19</v>
      </c>
      <c r="E4434" s="2">
        <v>24.4761904761904</v>
      </c>
      <c r="F4434" s="1">
        <v>21</v>
      </c>
      <c r="G4434" s="1">
        <v>886.23</v>
      </c>
      <c r="H4434" s="1" t="s">
        <v>9</v>
      </c>
      <c r="I4434" t="str">
        <f t="shared" si="69"/>
        <v>TUB 24 PINK FLOWER PEGS [85214]</v>
      </c>
    </row>
    <row r="4435" spans="1:9" x14ac:dyDescent="0.3">
      <c r="A4435" s="1">
        <v>85215</v>
      </c>
      <c r="B4435" t="s">
        <v>852</v>
      </c>
      <c r="C4435" s="1">
        <v>0.72</v>
      </c>
      <c r="D4435" s="1">
        <v>30</v>
      </c>
      <c r="E4435" s="1">
        <v>43.157894736842103</v>
      </c>
      <c r="F4435" s="1">
        <v>19</v>
      </c>
      <c r="G4435" s="1">
        <v>601.89</v>
      </c>
      <c r="H4435" s="1" t="s">
        <v>9</v>
      </c>
      <c r="I4435" t="str">
        <f t="shared" si="69"/>
        <v>ASSORTED CHEESE FRIDGE MAGNETS [85215]</v>
      </c>
    </row>
    <row r="4436" spans="1:9" x14ac:dyDescent="0.3">
      <c r="A4436" s="1">
        <v>85216</v>
      </c>
      <c r="B4436" t="s">
        <v>851</v>
      </c>
      <c r="C4436" s="2">
        <v>0.70499999999999996</v>
      </c>
      <c r="D4436" s="1">
        <v>148</v>
      </c>
      <c r="E4436" s="2">
        <v>158.277777777777</v>
      </c>
      <c r="F4436" s="1">
        <v>18</v>
      </c>
      <c r="G4436" s="1">
        <v>2154.2199999999998</v>
      </c>
      <c r="H4436" s="1" t="s">
        <v>10</v>
      </c>
      <c r="I4436" t="str">
        <f t="shared" si="69"/>
        <v>ASSORTED CAKES FRIDGE MAGNETS [85216]</v>
      </c>
    </row>
    <row r="4437" spans="1:9" x14ac:dyDescent="0.3">
      <c r="A4437" s="1">
        <v>85217</v>
      </c>
      <c r="B4437" t="s">
        <v>850</v>
      </c>
      <c r="C4437" s="1">
        <v>0.68500000000000005</v>
      </c>
      <c r="D4437" s="1">
        <v>304</v>
      </c>
      <c r="E4437" s="1">
        <v>286.89999999999998</v>
      </c>
      <c r="F4437" s="1">
        <v>10</v>
      </c>
      <c r="G4437" s="1">
        <v>1981.85</v>
      </c>
      <c r="H4437" s="1" t="s">
        <v>10</v>
      </c>
      <c r="I4437" t="str">
        <f t="shared" si="69"/>
        <v>ASSORTED ICE CREAM FRIDGE MAGNETS [85217]</v>
      </c>
    </row>
    <row r="4438" spans="1:9" x14ac:dyDescent="0.3">
      <c r="A4438" s="1">
        <v>85218</v>
      </c>
      <c r="B4438" t="s">
        <v>849</v>
      </c>
      <c r="C4438" s="1">
        <v>0.875</v>
      </c>
      <c r="D4438" s="1">
        <v>996</v>
      </c>
      <c r="E4438" s="1">
        <v>996</v>
      </c>
      <c r="F4438" s="1">
        <v>2</v>
      </c>
      <c r="G4438" s="2">
        <v>625.19999999999902</v>
      </c>
      <c r="H4438" s="1" t="s">
        <v>10</v>
      </c>
      <c r="I4438" t="str">
        <f t="shared" si="69"/>
        <v>S/5 MINI ICE CREAM FRIDGE MAGNETS [85218]</v>
      </c>
    </row>
    <row r="4439" spans="1:9" x14ac:dyDescent="0.3">
      <c r="A4439" s="1">
        <v>85220</v>
      </c>
      <c r="B4439" t="s">
        <v>848</v>
      </c>
      <c r="C4439" s="1">
        <v>1.46</v>
      </c>
      <c r="D4439" s="1">
        <v>252</v>
      </c>
      <c r="E4439" s="2">
        <v>4078.6666666666601</v>
      </c>
      <c r="F4439" s="1">
        <v>3</v>
      </c>
      <c r="G4439" s="1">
        <v>6875</v>
      </c>
      <c r="H4439" s="1" t="s">
        <v>10</v>
      </c>
      <c r="I4439" t="str">
        <f t="shared" si="69"/>
        <v>SMALL FAIRY CAKE FRIDGE MAGNETS [85220]</v>
      </c>
    </row>
    <row r="4440" spans="1:9" x14ac:dyDescent="0.3">
      <c r="A4440" s="1">
        <v>85221</v>
      </c>
      <c r="B4440" t="s">
        <v>847</v>
      </c>
      <c r="C4440" s="1">
        <v>0.44</v>
      </c>
      <c r="D4440" s="1">
        <v>568</v>
      </c>
      <c r="E4440" s="1">
        <v>704.4</v>
      </c>
      <c r="F4440" s="1">
        <v>5</v>
      </c>
      <c r="G4440" s="1">
        <v>1640.46</v>
      </c>
      <c r="H4440" s="1" t="s">
        <v>10</v>
      </c>
      <c r="I4440" t="str">
        <f t="shared" si="69"/>
        <v>ASSORTED COLOUR SILK COIN PURSE [85221]</v>
      </c>
    </row>
    <row r="4441" spans="1:9" x14ac:dyDescent="0.3">
      <c r="A4441" s="1">
        <v>85222</v>
      </c>
      <c r="B4441" t="s">
        <v>846</v>
      </c>
      <c r="C4441" s="1">
        <v>2.1</v>
      </c>
      <c r="D4441" s="1">
        <v>146</v>
      </c>
      <c r="E4441" s="2">
        <v>200.85714285714201</v>
      </c>
      <c r="F4441" s="1">
        <v>7</v>
      </c>
      <c r="G4441" s="1">
        <v>1579.68</v>
      </c>
      <c r="H4441" s="1" t="s">
        <v>10</v>
      </c>
      <c r="I4441" t="str">
        <f t="shared" si="69"/>
        <v>ASSORTED COLOUR SILK COSMETIC PURSE [85222]</v>
      </c>
    </row>
    <row r="4442" spans="1:9" x14ac:dyDescent="0.3">
      <c r="A4442" s="1">
        <v>85224</v>
      </c>
      <c r="B4442" t="s">
        <v>845</v>
      </c>
      <c r="C4442" s="1">
        <v>0.51</v>
      </c>
      <c r="D4442" s="1">
        <v>192</v>
      </c>
      <c r="E4442" s="2">
        <v>217.777777777777</v>
      </c>
      <c r="F4442" s="1">
        <v>9</v>
      </c>
      <c r="G4442" s="1">
        <v>1031.3699999999999</v>
      </c>
      <c r="H4442" s="1" t="s">
        <v>10</v>
      </c>
      <c r="I4442" t="str">
        <f t="shared" si="69"/>
        <v>ASSORTED COLOUR SILK GLASSES CASE [85224]</v>
      </c>
    </row>
    <row r="4443" spans="1:9" x14ac:dyDescent="0.3">
      <c r="A4443" s="1">
        <v>85225</v>
      </c>
      <c r="B4443" t="s">
        <v>844</v>
      </c>
      <c r="C4443" s="1">
        <v>1.25</v>
      </c>
      <c r="D4443" s="1">
        <v>1</v>
      </c>
      <c r="E4443" s="1">
        <v>1.9</v>
      </c>
      <c r="F4443" s="1">
        <v>10</v>
      </c>
      <c r="G4443" s="1">
        <v>22.5</v>
      </c>
      <c r="H4443" s="1" t="s">
        <v>8</v>
      </c>
      <c r="I4443" t="str">
        <f t="shared" si="69"/>
        <v>BLING KEY RING STAND [85225]</v>
      </c>
    </row>
    <row r="4444" spans="1:9" x14ac:dyDescent="0.3">
      <c r="A4444" s="1" t="s">
        <v>843</v>
      </c>
      <c r="B4444" t="s">
        <v>842</v>
      </c>
      <c r="C4444" s="1">
        <v>0.56499999999999995</v>
      </c>
      <c r="D4444" s="1">
        <v>74.5</v>
      </c>
      <c r="E4444" s="2">
        <v>142.833333333333</v>
      </c>
      <c r="F4444" s="1">
        <v>12</v>
      </c>
      <c r="G4444" s="1">
        <v>933.07</v>
      </c>
      <c r="H4444" s="1" t="s">
        <v>10</v>
      </c>
      <c r="I4444" t="str">
        <f t="shared" si="69"/>
        <v>WHITE/BLUE PULL BACK RACING CAR [85226A]</v>
      </c>
    </row>
    <row r="4445" spans="1:9" x14ac:dyDescent="0.3">
      <c r="A4445" s="1" t="s">
        <v>841</v>
      </c>
      <c r="B4445" t="s">
        <v>840</v>
      </c>
      <c r="C4445" s="1">
        <v>0.55000000000000004</v>
      </c>
      <c r="D4445" s="1">
        <v>27.5</v>
      </c>
      <c r="E4445" s="2">
        <v>82.4166666666666</v>
      </c>
      <c r="F4445" s="1">
        <v>12</v>
      </c>
      <c r="G4445" s="1">
        <v>522.30999999999995</v>
      </c>
      <c r="H4445" s="1" t="s">
        <v>9</v>
      </c>
      <c r="I4445" t="str">
        <f t="shared" si="69"/>
        <v>BLUE PULL BACK RACING CAR [85226C]</v>
      </c>
    </row>
    <row r="4446" spans="1:9" x14ac:dyDescent="0.3">
      <c r="A4446" s="1">
        <v>85227</v>
      </c>
      <c r="B4446" t="s">
        <v>839</v>
      </c>
      <c r="C4446" s="1">
        <v>0.9</v>
      </c>
      <c r="D4446" s="1">
        <v>102</v>
      </c>
      <c r="E4446" s="2">
        <v>127.40740740740701</v>
      </c>
      <c r="F4446" s="1">
        <v>25</v>
      </c>
      <c r="G4446" s="1">
        <v>3086.44</v>
      </c>
      <c r="H4446" s="1" t="s">
        <v>10</v>
      </c>
      <c r="I4446" t="str">
        <f t="shared" si="69"/>
        <v>SET/6 3D KIT CARDS FOR KIDS [85227]</v>
      </c>
    </row>
    <row r="4447" spans="1:9" x14ac:dyDescent="0.3">
      <c r="A4447" s="1" t="s">
        <v>838</v>
      </c>
      <c r="B4447" t="s">
        <v>837</v>
      </c>
      <c r="C4447" s="1">
        <v>0.26</v>
      </c>
      <c r="D4447" s="1">
        <v>72</v>
      </c>
      <c r="E4447" s="2">
        <v>94.857142857142804</v>
      </c>
      <c r="F4447" s="1">
        <v>21</v>
      </c>
      <c r="G4447" s="1">
        <v>497.04</v>
      </c>
      <c r="H4447" s="1" t="s">
        <v>10</v>
      </c>
      <c r="I4447" t="str">
        <f t="shared" si="69"/>
        <v>OPIUM SCENTED VOTIVE CANDLE [85230A]</v>
      </c>
    </row>
    <row r="4448" spans="1:9" x14ac:dyDescent="0.3">
      <c r="A4448" s="1" t="s">
        <v>836</v>
      </c>
      <c r="B4448" t="s">
        <v>835</v>
      </c>
      <c r="C4448" s="1">
        <v>0.28999999999999998</v>
      </c>
      <c r="D4448" s="1">
        <v>72</v>
      </c>
      <c r="E4448" s="2">
        <v>92.173913043478194</v>
      </c>
      <c r="F4448" s="1">
        <v>23</v>
      </c>
      <c r="G4448" s="1">
        <v>561.04</v>
      </c>
      <c r="H4448" s="1" t="s">
        <v>10</v>
      </c>
      <c r="I4448" t="str">
        <f t="shared" si="69"/>
        <v>CINNAMON SCENTED VOTIVE CANDLE [85230B]</v>
      </c>
    </row>
    <row r="4449" spans="1:9" x14ac:dyDescent="0.3">
      <c r="A4449" s="1" t="s">
        <v>834</v>
      </c>
      <c r="B4449" t="s">
        <v>833</v>
      </c>
      <c r="C4449" s="1">
        <v>0.28999999999999998</v>
      </c>
      <c r="D4449" s="1">
        <v>24</v>
      </c>
      <c r="E4449" s="1">
        <v>24</v>
      </c>
      <c r="F4449" s="1">
        <v>1</v>
      </c>
      <c r="G4449" s="1">
        <v>6.96</v>
      </c>
      <c r="H4449" s="1" t="s">
        <v>9</v>
      </c>
      <c r="I4449" t="str">
        <f t="shared" si="69"/>
        <v>ROSE SCENTED VOTIVE CANDLE [85230C]</v>
      </c>
    </row>
    <row r="4450" spans="1:9" x14ac:dyDescent="0.3">
      <c r="A4450" s="1" t="s">
        <v>832</v>
      </c>
      <c r="B4450" t="s">
        <v>831</v>
      </c>
      <c r="C4450" s="1">
        <v>0.28999999999999998</v>
      </c>
      <c r="D4450" s="1">
        <v>24</v>
      </c>
      <c r="E4450" s="1">
        <v>24</v>
      </c>
      <c r="F4450" s="1">
        <v>1</v>
      </c>
      <c r="G4450" s="1">
        <v>6.96</v>
      </c>
      <c r="H4450" s="1" t="s">
        <v>9</v>
      </c>
      <c r="I4450" t="str">
        <f t="shared" si="69"/>
        <v>VANILLA SCENTED VOTIVE CANDLE [85230D]</v>
      </c>
    </row>
    <row r="4451" spans="1:9" x14ac:dyDescent="0.3">
      <c r="A4451" s="1" t="s">
        <v>830</v>
      </c>
      <c r="B4451" t="s">
        <v>829</v>
      </c>
      <c r="C4451" s="1">
        <v>0.26500000000000001</v>
      </c>
      <c r="D4451" s="1">
        <v>96</v>
      </c>
      <c r="E4451" s="2">
        <v>111.136363636363</v>
      </c>
      <c r="F4451" s="1">
        <v>22</v>
      </c>
      <c r="G4451" s="1">
        <v>628.41</v>
      </c>
      <c r="H4451" s="1" t="s">
        <v>10</v>
      </c>
      <c r="I4451" t="str">
        <f t="shared" si="69"/>
        <v>STRAWBRY SCENTED VOTIVE CANDLE [85230E]</v>
      </c>
    </row>
    <row r="4452" spans="1:9" x14ac:dyDescent="0.3">
      <c r="A4452" s="1" t="s">
        <v>828</v>
      </c>
      <c r="B4452" t="s">
        <v>827</v>
      </c>
      <c r="C4452" s="1">
        <v>0.28999999999999998</v>
      </c>
      <c r="D4452" s="1">
        <v>96</v>
      </c>
      <c r="E4452" s="2">
        <v>155.052631578947</v>
      </c>
      <c r="F4452" s="1">
        <v>19</v>
      </c>
      <c r="G4452" s="1">
        <v>725.7</v>
      </c>
      <c r="H4452" s="1" t="s">
        <v>10</v>
      </c>
      <c r="I4452" t="str">
        <f t="shared" si="69"/>
        <v>JASMINE VOTIVE CANDLE [85230F]</v>
      </c>
    </row>
    <row r="4453" spans="1:9" x14ac:dyDescent="0.3">
      <c r="A4453" s="1" t="s">
        <v>826</v>
      </c>
      <c r="B4453" t="s">
        <v>825</v>
      </c>
      <c r="C4453" s="1">
        <v>0.28000000000000003</v>
      </c>
      <c r="D4453" s="1">
        <v>72</v>
      </c>
      <c r="E4453" s="2">
        <v>73.043478260869506</v>
      </c>
      <c r="F4453" s="1">
        <v>23</v>
      </c>
      <c r="G4453" s="1">
        <v>425.76</v>
      </c>
      <c r="H4453" s="1" t="s">
        <v>10</v>
      </c>
      <c r="I4453" t="str">
        <f t="shared" si="69"/>
        <v>ORANGE VOTIVE CANDLE [85230G]</v>
      </c>
    </row>
    <row r="4454" spans="1:9" x14ac:dyDescent="0.3">
      <c r="A4454" s="1" t="s">
        <v>824</v>
      </c>
      <c r="B4454" t="s">
        <v>818</v>
      </c>
      <c r="C4454" s="1">
        <v>0.91</v>
      </c>
      <c r="D4454" s="1">
        <v>41</v>
      </c>
      <c r="E4454" s="1">
        <v>82.16</v>
      </c>
      <c r="F4454" s="1">
        <v>25</v>
      </c>
      <c r="G4454" s="1">
        <v>1877.84</v>
      </c>
      <c r="H4454" s="1" t="s">
        <v>9</v>
      </c>
      <c r="I4454" t="str">
        <f t="shared" si="69"/>
        <v>CINAMMON SET OF 9 T-LIGHTS [85231B]</v>
      </c>
    </row>
    <row r="4455" spans="1:9" x14ac:dyDescent="0.3">
      <c r="A4455" s="1" t="s">
        <v>823</v>
      </c>
      <c r="B4455" t="s">
        <v>816</v>
      </c>
      <c r="C4455" s="1">
        <v>0.85</v>
      </c>
      <c r="D4455" s="1">
        <v>77</v>
      </c>
      <c r="E4455" s="2">
        <v>119.28571428571399</v>
      </c>
      <c r="F4455" s="1">
        <v>7</v>
      </c>
      <c r="G4455" s="1">
        <v>695.23</v>
      </c>
      <c r="H4455" s="1" t="s">
        <v>10</v>
      </c>
      <c r="I4455" t="str">
        <f t="shared" si="69"/>
        <v>STRAWBERRY SCENTED SET/9 T-LIGHTS [85231E]</v>
      </c>
    </row>
    <row r="4456" spans="1:9" x14ac:dyDescent="0.3">
      <c r="A4456" s="1" t="s">
        <v>822</v>
      </c>
      <c r="B4456" t="s">
        <v>814</v>
      </c>
      <c r="C4456" s="1">
        <v>0.85</v>
      </c>
      <c r="D4456" s="1">
        <v>47</v>
      </c>
      <c r="E4456" s="2">
        <v>64.086956521739097</v>
      </c>
      <c r="F4456" s="1">
        <v>23</v>
      </c>
      <c r="G4456" s="1">
        <v>1281.31</v>
      </c>
      <c r="H4456" s="1" t="s">
        <v>9</v>
      </c>
      <c r="I4456" t="str">
        <f t="shared" si="69"/>
        <v>ORANGE SCENTED SET/9 T-LIGHTS [85231G]</v>
      </c>
    </row>
    <row r="4457" spans="1:9" x14ac:dyDescent="0.3">
      <c r="A4457" s="1" t="s">
        <v>821</v>
      </c>
      <c r="B4457" t="s">
        <v>820</v>
      </c>
      <c r="C4457" s="1">
        <v>0.83499999999999996</v>
      </c>
      <c r="D4457" s="1">
        <v>196</v>
      </c>
      <c r="E4457" s="2">
        <v>173.166666666666</v>
      </c>
      <c r="F4457" s="1">
        <v>6</v>
      </c>
      <c r="G4457" s="1">
        <v>838.35</v>
      </c>
      <c r="H4457" s="1" t="s">
        <v>10</v>
      </c>
      <c r="I4457" t="str">
        <f t="shared" si="69"/>
        <v>LAVENDER SCENTED SET/9 T-LIGHTS [85231L]</v>
      </c>
    </row>
    <row r="4458" spans="1:9" x14ac:dyDescent="0.3">
      <c r="A4458" s="1" t="s">
        <v>819</v>
      </c>
      <c r="B4458" t="s">
        <v>818</v>
      </c>
      <c r="C4458" s="1">
        <v>1.645</v>
      </c>
      <c r="D4458" s="1">
        <v>1</v>
      </c>
      <c r="E4458" s="1">
        <v>1</v>
      </c>
      <c r="F4458" s="1">
        <v>4</v>
      </c>
      <c r="G4458" s="1">
        <v>6.58</v>
      </c>
      <c r="H4458" s="1" t="s">
        <v>8</v>
      </c>
      <c r="I4458" t="str">
        <f t="shared" si="69"/>
        <v>CINAMMON SET OF 9 T-LIGHTS [85231b]</v>
      </c>
    </row>
    <row r="4459" spans="1:9" x14ac:dyDescent="0.3">
      <c r="A4459" s="1" t="s">
        <v>817</v>
      </c>
      <c r="B4459" t="s">
        <v>816</v>
      </c>
      <c r="C4459" s="1">
        <v>1.66</v>
      </c>
      <c r="D4459" s="1">
        <v>1</v>
      </c>
      <c r="E4459" s="1">
        <v>1</v>
      </c>
      <c r="F4459" s="1">
        <v>1</v>
      </c>
      <c r="G4459" s="1">
        <v>1.66</v>
      </c>
      <c r="H4459" s="1" t="s">
        <v>8</v>
      </c>
      <c r="I4459" t="str">
        <f t="shared" si="69"/>
        <v>STRAWBERRY SCENTED SET/9 T-LIGHTS [85231e]</v>
      </c>
    </row>
    <row r="4460" spans="1:9" x14ac:dyDescent="0.3">
      <c r="A4460" s="1" t="s">
        <v>815</v>
      </c>
      <c r="B4460" t="s">
        <v>814</v>
      </c>
      <c r="C4460" s="1">
        <v>1.63</v>
      </c>
      <c r="D4460" s="1">
        <v>1.5</v>
      </c>
      <c r="E4460" s="1">
        <v>1.5</v>
      </c>
      <c r="F4460" s="1">
        <v>4</v>
      </c>
      <c r="G4460" s="1">
        <v>9.7799999999999994</v>
      </c>
      <c r="H4460" s="1" t="s">
        <v>8</v>
      </c>
      <c r="I4460" t="str">
        <f t="shared" si="69"/>
        <v>ORANGE SCENTED SET/9 T-LIGHTS [85231g]</v>
      </c>
    </row>
    <row r="4461" spans="1:9" x14ac:dyDescent="0.3">
      <c r="A4461" s="1" t="s">
        <v>813</v>
      </c>
      <c r="B4461" t="s">
        <v>807</v>
      </c>
      <c r="C4461" s="1">
        <v>4.95</v>
      </c>
      <c r="D4461" s="1">
        <v>17</v>
      </c>
      <c r="E4461" s="2">
        <v>19.736842105263101</v>
      </c>
      <c r="F4461" s="1">
        <v>18</v>
      </c>
      <c r="G4461" s="1">
        <v>1889.88</v>
      </c>
      <c r="H4461" s="1" t="s">
        <v>9</v>
      </c>
      <c r="I4461" t="str">
        <f t="shared" si="69"/>
        <v>SET/3 POLKA DOT STACKING TINS [85232A]</v>
      </c>
    </row>
    <row r="4462" spans="1:9" x14ac:dyDescent="0.3">
      <c r="A4462" s="1" t="s">
        <v>812</v>
      </c>
      <c r="B4462" t="s">
        <v>805</v>
      </c>
      <c r="C4462" s="1">
        <v>4.95</v>
      </c>
      <c r="D4462" s="1">
        <v>195</v>
      </c>
      <c r="E4462" s="2">
        <v>180.058823529411</v>
      </c>
      <c r="F4462" s="1">
        <v>15</v>
      </c>
      <c r="G4462" s="2">
        <v>15332.529999999901</v>
      </c>
      <c r="H4462" s="1" t="s">
        <v>10</v>
      </c>
      <c r="I4462" t="str">
        <f t="shared" si="69"/>
        <v>SET/3 RUSSIAN DOLL STACKING TINS [85232B]</v>
      </c>
    </row>
    <row r="4463" spans="1:9" x14ac:dyDescent="0.3">
      <c r="A4463" s="1" t="s">
        <v>811</v>
      </c>
      <c r="B4463" t="s">
        <v>810</v>
      </c>
      <c r="C4463" s="1">
        <v>4.95</v>
      </c>
      <c r="D4463" s="1">
        <v>1</v>
      </c>
      <c r="E4463" s="1">
        <v>1</v>
      </c>
      <c r="F4463" s="1">
        <v>1</v>
      </c>
      <c r="G4463" s="1">
        <v>4.95</v>
      </c>
      <c r="H4463" s="1" t="s">
        <v>8</v>
      </c>
      <c r="I4463" t="str">
        <f t="shared" si="69"/>
        <v>RUSSIAN FOLKART STACKING TINS [85232C]</v>
      </c>
    </row>
    <row r="4464" spans="1:9" x14ac:dyDescent="0.3">
      <c r="A4464" s="1" t="s">
        <v>809</v>
      </c>
      <c r="B4464" t="s">
        <v>803</v>
      </c>
      <c r="C4464" s="1">
        <v>5.1100000000000003</v>
      </c>
      <c r="D4464" s="1">
        <v>30</v>
      </c>
      <c r="E4464" s="2">
        <v>30.478260869565201</v>
      </c>
      <c r="F4464" s="1">
        <v>23</v>
      </c>
      <c r="G4464" s="1">
        <v>3636.66</v>
      </c>
      <c r="H4464" s="1" t="s">
        <v>9</v>
      </c>
      <c r="I4464" t="str">
        <f t="shared" si="69"/>
        <v>SET/3 DECOUPAGE STACKING TINS [85232D]</v>
      </c>
    </row>
    <row r="4465" spans="1:9" x14ac:dyDescent="0.3">
      <c r="A4465" s="1" t="s">
        <v>808</v>
      </c>
      <c r="B4465" t="s">
        <v>807</v>
      </c>
      <c r="C4465" s="1">
        <v>10.17</v>
      </c>
      <c r="D4465" s="1">
        <v>1</v>
      </c>
      <c r="E4465" s="1">
        <v>1</v>
      </c>
      <c r="F4465" s="1">
        <v>2</v>
      </c>
      <c r="G4465" s="1">
        <v>20.34</v>
      </c>
      <c r="H4465" s="1" t="s">
        <v>8</v>
      </c>
      <c r="I4465" t="str">
        <f t="shared" si="69"/>
        <v>SET/3 POLKA DOT STACKING TINS [85232a]</v>
      </c>
    </row>
    <row r="4466" spans="1:9" x14ac:dyDescent="0.3">
      <c r="A4466" s="1" t="s">
        <v>806</v>
      </c>
      <c r="B4466" t="s">
        <v>805</v>
      </c>
      <c r="C4466" s="1">
        <v>10.17</v>
      </c>
      <c r="D4466" s="1">
        <v>2</v>
      </c>
      <c r="E4466" s="1">
        <v>2.5</v>
      </c>
      <c r="F4466" s="1">
        <v>10</v>
      </c>
      <c r="G4466" s="1">
        <v>254.47</v>
      </c>
      <c r="H4466" s="1" t="s">
        <v>8</v>
      </c>
      <c r="I4466" t="str">
        <f t="shared" si="69"/>
        <v>SET/3 RUSSIAN DOLL STACKING TINS [85232b]</v>
      </c>
    </row>
    <row r="4467" spans="1:9" x14ac:dyDescent="0.3">
      <c r="A4467" s="1" t="s">
        <v>804</v>
      </c>
      <c r="B4467" t="s">
        <v>803</v>
      </c>
      <c r="C4467" s="1">
        <v>10.17</v>
      </c>
      <c r="D4467" s="1">
        <v>1</v>
      </c>
      <c r="E4467" s="1">
        <v>1</v>
      </c>
      <c r="F4467" s="1">
        <v>1</v>
      </c>
      <c r="G4467" s="1">
        <v>10.17</v>
      </c>
      <c r="H4467" s="1" t="s">
        <v>8</v>
      </c>
      <c r="I4467" t="str">
        <f t="shared" si="69"/>
        <v>SET/3 DECOUPAGE STACKING TINS [85232d]</v>
      </c>
    </row>
    <row r="4468" spans="1:9" x14ac:dyDescent="0.3">
      <c r="A4468" s="1" t="s">
        <v>802</v>
      </c>
      <c r="B4468" t="s">
        <v>801</v>
      </c>
      <c r="C4468" s="1">
        <v>5.95</v>
      </c>
      <c r="D4468" s="1">
        <v>2</v>
      </c>
      <c r="E4468" s="2">
        <v>2.5384615384615299</v>
      </c>
      <c r="F4468" s="1">
        <v>13</v>
      </c>
      <c r="G4468" s="2">
        <v>198.98</v>
      </c>
      <c r="H4468" s="1" t="s">
        <v>8</v>
      </c>
      <c r="I4468" t="str">
        <f t="shared" si="69"/>
        <v>RASPBERRY ANT COPPER FLOWER NECKLAC [90000A]</v>
      </c>
    </row>
    <row r="4469" spans="1:9" x14ac:dyDescent="0.3">
      <c r="A4469" s="1" t="s">
        <v>800</v>
      </c>
      <c r="B4469" t="s">
        <v>799</v>
      </c>
      <c r="C4469" s="1">
        <v>6.09</v>
      </c>
      <c r="D4469" s="1">
        <v>1.5</v>
      </c>
      <c r="E4469" s="2">
        <v>2.0714285714285698</v>
      </c>
      <c r="F4469" s="1">
        <v>14</v>
      </c>
      <c r="G4469" s="1">
        <v>177.29</v>
      </c>
      <c r="H4469" s="1" t="s">
        <v>8</v>
      </c>
      <c r="I4469" t="str">
        <f t="shared" si="69"/>
        <v>MIDNIGHT BLUE COPPER FLOWER NECKLAC [90000B]</v>
      </c>
    </row>
    <row r="4470" spans="1:9" x14ac:dyDescent="0.3">
      <c r="A4470" s="1" t="s">
        <v>798</v>
      </c>
      <c r="B4470" t="s">
        <v>797</v>
      </c>
      <c r="C4470" s="1">
        <v>6.16</v>
      </c>
      <c r="D4470" s="1">
        <v>1</v>
      </c>
      <c r="E4470" s="1">
        <v>1</v>
      </c>
      <c r="F4470" s="1">
        <v>2</v>
      </c>
      <c r="G4470" s="1">
        <v>12.32</v>
      </c>
      <c r="H4470" s="1" t="s">
        <v>8</v>
      </c>
      <c r="I4470" t="str">
        <f t="shared" si="69"/>
        <v>OPAL WHITE/SILVER FLOWER NECKLACE [90000C]</v>
      </c>
    </row>
    <row r="4471" spans="1:9" x14ac:dyDescent="0.3">
      <c r="A4471" s="1" t="s">
        <v>796</v>
      </c>
      <c r="B4471" t="s">
        <v>795</v>
      </c>
      <c r="C4471" s="2">
        <v>6.1749999999999998</v>
      </c>
      <c r="D4471" s="1">
        <v>1.5</v>
      </c>
      <c r="E4471" s="2">
        <v>2.8333333333333299</v>
      </c>
      <c r="F4471" s="1">
        <v>18</v>
      </c>
      <c r="G4471" s="1">
        <v>313.75</v>
      </c>
      <c r="H4471" s="1" t="s">
        <v>8</v>
      </c>
      <c r="I4471" t="str">
        <f t="shared" si="69"/>
        <v>COPPER/OLIVE GREEN FLOWER NECKLACE [90000D]</v>
      </c>
    </row>
    <row r="4472" spans="1:9" x14ac:dyDescent="0.3">
      <c r="A4472" s="1" t="s">
        <v>794</v>
      </c>
      <c r="B4472" t="s">
        <v>793</v>
      </c>
      <c r="C4472" s="1">
        <v>4.25</v>
      </c>
      <c r="D4472" s="1">
        <v>1</v>
      </c>
      <c r="E4472" s="1">
        <v>1.1000000000000001</v>
      </c>
      <c r="F4472" s="1">
        <v>10</v>
      </c>
      <c r="G4472" s="1">
        <v>46.6</v>
      </c>
      <c r="H4472" s="1" t="s">
        <v>8</v>
      </c>
      <c r="I4472" t="str">
        <f t="shared" si="69"/>
        <v>ANTIQUE RASPBERRY FLOWER EARRINGS [90001A]</v>
      </c>
    </row>
    <row r="4473" spans="1:9" x14ac:dyDescent="0.3">
      <c r="A4473" s="1" t="s">
        <v>792</v>
      </c>
      <c r="B4473" t="s">
        <v>791</v>
      </c>
      <c r="C4473" s="1">
        <v>4.2450000000000001</v>
      </c>
      <c r="D4473" s="1">
        <v>1.5</v>
      </c>
      <c r="E4473" s="1">
        <v>1.625</v>
      </c>
      <c r="F4473" s="1">
        <v>8</v>
      </c>
      <c r="G4473" s="2">
        <v>55.12</v>
      </c>
      <c r="H4473" s="1" t="s">
        <v>8</v>
      </c>
      <c r="I4473" t="str">
        <f t="shared" si="69"/>
        <v>ANTIQUE MID BLUE FLOWER EARRINGS [90001B]</v>
      </c>
    </row>
    <row r="4474" spans="1:9" x14ac:dyDescent="0.3">
      <c r="A4474" s="1" t="s">
        <v>790</v>
      </c>
      <c r="B4474" t="s">
        <v>789</v>
      </c>
      <c r="C4474" s="1">
        <v>4.25</v>
      </c>
      <c r="D4474" s="1">
        <v>2</v>
      </c>
      <c r="E4474" s="2">
        <v>1.5714285714285701</v>
      </c>
      <c r="F4474" s="1">
        <v>7</v>
      </c>
      <c r="G4474" s="1">
        <v>46.7</v>
      </c>
      <c r="H4474" s="1" t="s">
        <v>8</v>
      </c>
      <c r="I4474" t="str">
        <f t="shared" si="69"/>
        <v>ANTIQUE OPAL WHITE FLOWER EARRINGS [90001C]</v>
      </c>
    </row>
    <row r="4475" spans="1:9" x14ac:dyDescent="0.3">
      <c r="A4475" s="1" t="s">
        <v>788</v>
      </c>
      <c r="B4475" t="s">
        <v>787</v>
      </c>
      <c r="C4475" s="1">
        <v>4.25</v>
      </c>
      <c r="D4475" s="1">
        <v>1</v>
      </c>
      <c r="E4475" s="2">
        <v>2.2222222222222201</v>
      </c>
      <c r="F4475" s="1">
        <v>9</v>
      </c>
      <c r="G4475" s="2">
        <v>84.96</v>
      </c>
      <c r="H4475" s="1" t="s">
        <v>8</v>
      </c>
      <c r="I4475" t="str">
        <f t="shared" si="69"/>
        <v>ANTIQUE OLIVE GREEN FLOWER EARRINGS [90001D]</v>
      </c>
    </row>
    <row r="4476" spans="1:9" x14ac:dyDescent="0.3">
      <c r="A4476" s="1" t="s">
        <v>786</v>
      </c>
      <c r="B4476" t="s">
        <v>785</v>
      </c>
      <c r="C4476" s="1">
        <v>3.75</v>
      </c>
      <c r="D4476" s="1">
        <v>3.5</v>
      </c>
      <c r="E4476" s="1">
        <v>4.5</v>
      </c>
      <c r="F4476" s="1">
        <v>8</v>
      </c>
      <c r="G4476" s="1">
        <v>135</v>
      </c>
      <c r="H4476" s="1" t="s">
        <v>8</v>
      </c>
      <c r="I4476" t="str">
        <f t="shared" si="69"/>
        <v>FLOWER BURST SILVER RING OPAL [90002A]</v>
      </c>
    </row>
    <row r="4477" spans="1:9" x14ac:dyDescent="0.3">
      <c r="A4477" s="1" t="s">
        <v>784</v>
      </c>
      <c r="B4477" t="s">
        <v>783</v>
      </c>
      <c r="C4477" s="1">
        <v>3.76</v>
      </c>
      <c r="D4477" s="1">
        <v>3</v>
      </c>
      <c r="E4477" s="1">
        <v>4.4000000000000004</v>
      </c>
      <c r="F4477" s="1">
        <v>5</v>
      </c>
      <c r="G4477" s="1">
        <v>82.74</v>
      </c>
      <c r="H4477" s="1" t="s">
        <v>8</v>
      </c>
      <c r="I4477" t="str">
        <f t="shared" si="69"/>
        <v>FLOWER BURST SILVER RING ROSE [90002B]</v>
      </c>
    </row>
    <row r="4478" spans="1:9" x14ac:dyDescent="0.3">
      <c r="A4478" s="1" t="s">
        <v>782</v>
      </c>
      <c r="B4478" t="s">
        <v>781</v>
      </c>
      <c r="C4478" s="1">
        <v>3.75</v>
      </c>
      <c r="D4478" s="1">
        <v>4</v>
      </c>
      <c r="E4478" s="2">
        <v>3.6666666666666599</v>
      </c>
      <c r="F4478" s="1">
        <v>9</v>
      </c>
      <c r="G4478" s="1">
        <v>124.38</v>
      </c>
      <c r="H4478" s="1" t="s">
        <v>8</v>
      </c>
      <c r="I4478" t="str">
        <f t="shared" si="69"/>
        <v>FLOWER BURST SILVER RING MIDN'T BLU [90002C]</v>
      </c>
    </row>
    <row r="4479" spans="1:9" x14ac:dyDescent="0.3">
      <c r="A4479" s="1" t="s">
        <v>780</v>
      </c>
      <c r="B4479" t="s">
        <v>779</v>
      </c>
      <c r="C4479" s="1">
        <v>3.75</v>
      </c>
      <c r="D4479" s="1">
        <v>4</v>
      </c>
      <c r="E4479" s="2">
        <v>6.93333333333333</v>
      </c>
      <c r="F4479" s="1">
        <v>15</v>
      </c>
      <c r="G4479" s="1">
        <v>365.74</v>
      </c>
      <c r="H4479" s="1" t="s">
        <v>8</v>
      </c>
      <c r="I4479" t="str">
        <f t="shared" si="69"/>
        <v>FLOWER BURST SILVER RING CRYSTAL [90002D]</v>
      </c>
    </row>
    <row r="4480" spans="1:9" x14ac:dyDescent="0.3">
      <c r="A4480" s="1" t="s">
        <v>778</v>
      </c>
      <c r="B4480" t="s">
        <v>777</v>
      </c>
      <c r="C4480" s="1">
        <v>3.75</v>
      </c>
      <c r="D4480" s="1">
        <v>1</v>
      </c>
      <c r="E4480" s="1">
        <v>2.25</v>
      </c>
      <c r="F4480" s="1">
        <v>8</v>
      </c>
      <c r="G4480" s="1">
        <v>67.77</v>
      </c>
      <c r="H4480" s="1" t="s">
        <v>8</v>
      </c>
      <c r="I4480" t="str">
        <f t="shared" si="69"/>
        <v>FLOWER BURST SILVER RING GREEN [90002E]</v>
      </c>
    </row>
    <row r="4481" spans="1:9" x14ac:dyDescent="0.3">
      <c r="A4481" s="1" t="s">
        <v>776</v>
      </c>
      <c r="B4481" t="s">
        <v>775</v>
      </c>
      <c r="C4481" s="1">
        <v>3.76</v>
      </c>
      <c r="D4481" s="1">
        <v>2</v>
      </c>
      <c r="E4481" s="2">
        <v>2.93333333333333</v>
      </c>
      <c r="F4481" s="1">
        <v>15</v>
      </c>
      <c r="G4481" s="1">
        <v>165.81</v>
      </c>
      <c r="H4481" s="1" t="s">
        <v>8</v>
      </c>
      <c r="I4481" t="str">
        <f t="shared" si="69"/>
        <v>ROSE COLOUR PAIR HEART HAIR SLIDES [90003B]</v>
      </c>
    </row>
    <row r="4482" spans="1:9" x14ac:dyDescent="0.3">
      <c r="A4482" s="1" t="s">
        <v>774</v>
      </c>
      <c r="B4482" t="s">
        <v>773</v>
      </c>
      <c r="C4482" s="1">
        <v>3.75</v>
      </c>
      <c r="D4482" s="1">
        <v>2</v>
      </c>
      <c r="E4482" s="2">
        <v>2.6842105263157801</v>
      </c>
      <c r="F4482" s="1">
        <v>19</v>
      </c>
      <c r="G4482" s="1">
        <v>191.54</v>
      </c>
      <c r="H4482" s="1" t="s">
        <v>8</v>
      </c>
      <c r="I4482" t="str">
        <f t="shared" si="69"/>
        <v>MIDNIGHT BLUE PAIR HEART HAIR SLIDE [90003C]</v>
      </c>
    </row>
    <row r="4483" spans="1:9" x14ac:dyDescent="0.3">
      <c r="A4483" s="1" t="s">
        <v>772</v>
      </c>
      <c r="B4483" t="s">
        <v>771</v>
      </c>
      <c r="C4483" s="1">
        <v>3.75</v>
      </c>
      <c r="D4483" s="1">
        <v>3</v>
      </c>
      <c r="E4483" s="1">
        <v>4</v>
      </c>
      <c r="F4483" s="1">
        <v>15</v>
      </c>
      <c r="G4483" s="1">
        <v>226.17</v>
      </c>
      <c r="H4483" s="1" t="s">
        <v>8</v>
      </c>
      <c r="I4483" t="str">
        <f t="shared" ref="I4483:I4546" si="70">B4483&amp;" ["&amp;A4483&amp;"]"</f>
        <v>CRYSTAL PAIR HEART HAIR SLIDES [90003D]</v>
      </c>
    </row>
    <row r="4484" spans="1:9" x14ac:dyDescent="0.3">
      <c r="A4484" s="1" t="s">
        <v>770</v>
      </c>
      <c r="B4484" t="s">
        <v>769</v>
      </c>
      <c r="C4484" s="1">
        <v>3.75</v>
      </c>
      <c r="D4484" s="1">
        <v>2</v>
      </c>
      <c r="E4484" s="2">
        <v>2.2857142857142798</v>
      </c>
      <c r="F4484" s="1">
        <v>14</v>
      </c>
      <c r="G4484" s="1">
        <v>120.31</v>
      </c>
      <c r="H4484" s="1" t="s">
        <v>8</v>
      </c>
      <c r="I4484" t="str">
        <f t="shared" si="70"/>
        <v>GREEN PAIR HEART HAIR SLIDES [90003E]</v>
      </c>
    </row>
    <row r="4485" spans="1:9" x14ac:dyDescent="0.3">
      <c r="A4485" s="1" t="s">
        <v>768</v>
      </c>
      <c r="B4485" t="s">
        <v>767</v>
      </c>
      <c r="C4485" s="1">
        <v>3.75</v>
      </c>
      <c r="D4485" s="1">
        <v>1</v>
      </c>
      <c r="E4485" s="1">
        <v>1</v>
      </c>
      <c r="F4485" s="1">
        <v>1</v>
      </c>
      <c r="G4485" s="1">
        <v>3.75</v>
      </c>
      <c r="H4485" s="1" t="s">
        <v>8</v>
      </c>
      <c r="I4485" t="str">
        <f t="shared" si="70"/>
        <v>JADE GREEN PAIR ENAMEL HAIR SLIDES [90004A]</v>
      </c>
    </row>
    <row r="4486" spans="1:9" x14ac:dyDescent="0.3">
      <c r="A4486" s="1" t="s">
        <v>766</v>
      </c>
      <c r="B4486" t="s">
        <v>765</v>
      </c>
      <c r="C4486" s="1">
        <v>2.04</v>
      </c>
      <c r="D4486" s="1">
        <v>6</v>
      </c>
      <c r="E4486" s="2">
        <v>7.0666666666666602</v>
      </c>
      <c r="F4486" s="1">
        <v>15</v>
      </c>
      <c r="G4486" s="1">
        <v>216.87</v>
      </c>
      <c r="H4486" s="1" t="s">
        <v>8</v>
      </c>
      <c r="I4486" t="str">
        <f t="shared" si="70"/>
        <v>JADE GREEN ENAMEL HAIR COMB [90005A]</v>
      </c>
    </row>
    <row r="4487" spans="1:9" x14ac:dyDescent="0.3">
      <c r="A4487" s="1" t="s">
        <v>764</v>
      </c>
      <c r="B4487" t="s">
        <v>763</v>
      </c>
      <c r="C4487" s="1">
        <v>9.1199999999999992</v>
      </c>
      <c r="D4487" s="1">
        <v>2</v>
      </c>
      <c r="E4487" s="2">
        <v>3.2666666666666599</v>
      </c>
      <c r="F4487" s="1">
        <v>15</v>
      </c>
      <c r="G4487" s="1">
        <v>443.85</v>
      </c>
      <c r="H4487" s="1" t="s">
        <v>8</v>
      </c>
      <c r="I4487" t="str">
        <f t="shared" si="70"/>
        <v>MIDNIGHT BLUE GLASS/SILVER BRACELET [90010A]</v>
      </c>
    </row>
    <row r="4488" spans="1:9" x14ac:dyDescent="0.3">
      <c r="A4488" s="1" t="s">
        <v>762</v>
      </c>
      <c r="B4488" t="s">
        <v>761</v>
      </c>
      <c r="C4488" s="1">
        <v>9.1349999999999998</v>
      </c>
      <c r="D4488" s="1">
        <v>4</v>
      </c>
      <c r="E4488" s="1">
        <v>4.5</v>
      </c>
      <c r="F4488" s="1">
        <v>14</v>
      </c>
      <c r="G4488" s="1">
        <v>578.02</v>
      </c>
      <c r="H4488" s="1" t="s">
        <v>8</v>
      </c>
      <c r="I4488" t="str">
        <f t="shared" si="70"/>
        <v>BLACK/WHITE GLASS/SILVER BRACELET [90010B]</v>
      </c>
    </row>
    <row r="4489" spans="1:9" x14ac:dyDescent="0.3">
      <c r="A4489" s="1" t="s">
        <v>760</v>
      </c>
      <c r="B4489" t="s">
        <v>759</v>
      </c>
      <c r="C4489" s="2">
        <v>9.0249999999999897</v>
      </c>
      <c r="D4489" s="1">
        <v>3.5</v>
      </c>
      <c r="E4489" s="1">
        <v>3.5</v>
      </c>
      <c r="F4489" s="1">
        <v>16</v>
      </c>
      <c r="G4489" s="1">
        <v>501.65</v>
      </c>
      <c r="H4489" s="1" t="s">
        <v>8</v>
      </c>
      <c r="I4489" t="str">
        <f t="shared" si="70"/>
        <v>AMBER GLASS/SILVER BRACELET [90010E]</v>
      </c>
    </row>
    <row r="4490" spans="1:9" x14ac:dyDescent="0.3">
      <c r="A4490" s="1" t="s">
        <v>758</v>
      </c>
      <c r="B4490" t="s">
        <v>757</v>
      </c>
      <c r="C4490" s="1">
        <v>2.96</v>
      </c>
      <c r="D4490" s="1">
        <v>2</v>
      </c>
      <c r="E4490" s="2">
        <v>1.6666666666666601</v>
      </c>
      <c r="F4490" s="1">
        <v>9</v>
      </c>
      <c r="G4490" s="1">
        <v>44.28</v>
      </c>
      <c r="H4490" s="1" t="s">
        <v>8</v>
      </c>
      <c r="I4490" t="str">
        <f t="shared" si="70"/>
        <v>MIDNIGHT BLUE CRYSTAL DROP EARRINGS [90011A]</v>
      </c>
    </row>
    <row r="4491" spans="1:9" x14ac:dyDescent="0.3">
      <c r="A4491" s="1" t="s">
        <v>756</v>
      </c>
      <c r="B4491" t="s">
        <v>755</v>
      </c>
      <c r="C4491" s="1">
        <v>2.9550000000000001</v>
      </c>
      <c r="D4491" s="1">
        <v>1</v>
      </c>
      <c r="E4491" s="1">
        <v>2</v>
      </c>
      <c r="F4491" s="1">
        <v>10</v>
      </c>
      <c r="G4491" s="1">
        <v>59.06</v>
      </c>
      <c r="H4491" s="1" t="s">
        <v>8</v>
      </c>
      <c r="I4491" t="str">
        <f t="shared" si="70"/>
        <v>BLACK CRYSTAL DROP EARRINGS [90011B]</v>
      </c>
    </row>
    <row r="4492" spans="1:9" x14ac:dyDescent="0.3">
      <c r="A4492" s="1" t="s">
        <v>754</v>
      </c>
      <c r="B4492" t="s">
        <v>753</v>
      </c>
      <c r="C4492" s="1">
        <v>2.95</v>
      </c>
      <c r="D4492" s="1">
        <v>1</v>
      </c>
      <c r="E4492" s="2">
        <v>1.71428571428571</v>
      </c>
      <c r="F4492" s="1">
        <v>7</v>
      </c>
      <c r="G4492" s="1">
        <v>35.33</v>
      </c>
      <c r="H4492" s="1" t="s">
        <v>8</v>
      </c>
      <c r="I4492" t="str">
        <f t="shared" si="70"/>
        <v>GREEN CRYSTAL DROP EARRINGS [90011C]</v>
      </c>
    </row>
    <row r="4493" spans="1:9" x14ac:dyDescent="0.3">
      <c r="A4493" s="1" t="s">
        <v>752</v>
      </c>
      <c r="B4493" t="s">
        <v>751</v>
      </c>
      <c r="C4493" s="1">
        <v>2.96</v>
      </c>
      <c r="D4493" s="1">
        <v>1</v>
      </c>
      <c r="E4493" s="1">
        <v>1</v>
      </c>
      <c r="F4493" s="1">
        <v>5</v>
      </c>
      <c r="G4493" s="1">
        <v>14.75</v>
      </c>
      <c r="H4493" s="1" t="s">
        <v>8</v>
      </c>
      <c r="I4493" t="str">
        <f t="shared" si="70"/>
        <v>PURPLE CRYSTAL DROP EARRINGS [90011D]</v>
      </c>
    </row>
    <row r="4494" spans="1:9" x14ac:dyDescent="0.3">
      <c r="A4494" s="1" t="s">
        <v>750</v>
      </c>
      <c r="B4494" t="s">
        <v>749</v>
      </c>
      <c r="C4494" s="1">
        <v>2.96</v>
      </c>
      <c r="D4494" s="1">
        <v>1</v>
      </c>
      <c r="E4494" s="2">
        <v>1.1428571428571399</v>
      </c>
      <c r="F4494" s="1">
        <v>7</v>
      </c>
      <c r="G4494" s="1">
        <v>23.61</v>
      </c>
      <c r="H4494" s="1" t="s">
        <v>8</v>
      </c>
      <c r="I4494" t="str">
        <f t="shared" si="70"/>
        <v>AMBER CRYSTAL DROP EARRINGS [90011E]</v>
      </c>
    </row>
    <row r="4495" spans="1:9" x14ac:dyDescent="0.3">
      <c r="A4495" s="1" t="s">
        <v>748</v>
      </c>
      <c r="B4495" t="s">
        <v>747</v>
      </c>
      <c r="C4495" s="1">
        <v>10.09</v>
      </c>
      <c r="D4495" s="1">
        <v>1</v>
      </c>
      <c r="E4495" s="2">
        <v>2.1666666666666599</v>
      </c>
      <c r="F4495" s="1">
        <v>6</v>
      </c>
      <c r="G4495" s="1">
        <v>74.38</v>
      </c>
      <c r="H4495" s="1" t="s">
        <v>8</v>
      </c>
      <c r="I4495" t="str">
        <f t="shared" si="70"/>
        <v>MIDNIGHT BLUE DROP CRYSTAL NECKLACE [90012A]</v>
      </c>
    </row>
    <row r="4496" spans="1:9" x14ac:dyDescent="0.3">
      <c r="A4496" s="1" t="s">
        <v>746</v>
      </c>
      <c r="B4496" t="s">
        <v>745</v>
      </c>
      <c r="C4496" s="1">
        <v>9.9499999999999993</v>
      </c>
      <c r="D4496" s="1">
        <v>1.5</v>
      </c>
      <c r="E4496" s="2">
        <v>2.8333333333333299</v>
      </c>
      <c r="F4496" s="1">
        <v>6</v>
      </c>
      <c r="G4496" s="2">
        <v>85.899999999999906</v>
      </c>
      <c r="H4496" s="1" t="s">
        <v>8</v>
      </c>
      <c r="I4496" t="str">
        <f t="shared" si="70"/>
        <v>BLACK DROP CRYSTAL NECKLACE [90012B]</v>
      </c>
    </row>
    <row r="4497" spans="1:9" x14ac:dyDescent="0.3">
      <c r="A4497" s="1" t="s">
        <v>744</v>
      </c>
      <c r="B4497" t="s">
        <v>743</v>
      </c>
      <c r="C4497" s="1">
        <v>3.77</v>
      </c>
      <c r="D4497" s="1">
        <v>5</v>
      </c>
      <c r="E4497" s="2">
        <v>5.4761904761904701</v>
      </c>
      <c r="F4497" s="1">
        <v>21</v>
      </c>
      <c r="G4497" s="1">
        <v>434.27</v>
      </c>
      <c r="H4497" s="1" t="s">
        <v>8</v>
      </c>
      <c r="I4497" t="str">
        <f t="shared" si="70"/>
        <v>MIDNIGHT BLUE VINTAGE EARRINGS [90013A]</v>
      </c>
    </row>
    <row r="4498" spans="1:9" x14ac:dyDescent="0.3">
      <c r="A4498" s="1" t="s">
        <v>742</v>
      </c>
      <c r="B4498" t="s">
        <v>741</v>
      </c>
      <c r="C4498" s="1">
        <v>4.1500000000000004</v>
      </c>
      <c r="D4498" s="1">
        <v>3</v>
      </c>
      <c r="E4498" s="2">
        <v>4.5217391304347796</v>
      </c>
      <c r="F4498" s="1">
        <v>23</v>
      </c>
      <c r="G4498" s="1">
        <v>428.92</v>
      </c>
      <c r="H4498" s="1" t="s">
        <v>8</v>
      </c>
      <c r="I4498" t="str">
        <f t="shared" si="70"/>
        <v>BLACK VINTAGE EARRINGS [90013B]</v>
      </c>
    </row>
    <row r="4499" spans="1:9" x14ac:dyDescent="0.3">
      <c r="A4499" s="1" t="s">
        <v>740</v>
      </c>
      <c r="B4499" t="s">
        <v>739</v>
      </c>
      <c r="C4499" s="1">
        <v>4.1500000000000004</v>
      </c>
      <c r="D4499" s="1">
        <v>2.5</v>
      </c>
      <c r="E4499" s="1">
        <v>4</v>
      </c>
      <c r="F4499" s="1">
        <v>22</v>
      </c>
      <c r="G4499" s="1">
        <v>353.55</v>
      </c>
      <c r="H4499" s="1" t="s">
        <v>8</v>
      </c>
      <c r="I4499" t="str">
        <f t="shared" si="70"/>
        <v>GREEN VINTAGE EARRINGS [90013C]</v>
      </c>
    </row>
    <row r="4500" spans="1:9" x14ac:dyDescent="0.3">
      <c r="A4500" s="1" t="s">
        <v>738</v>
      </c>
      <c r="B4500" t="s">
        <v>737</v>
      </c>
      <c r="C4500" s="1">
        <v>4.03</v>
      </c>
      <c r="D4500" s="1">
        <v>3.5</v>
      </c>
      <c r="E4500" s="1">
        <v>4.5999999999999996</v>
      </c>
      <c r="F4500" s="1">
        <v>10</v>
      </c>
      <c r="G4500" s="1">
        <v>178.11</v>
      </c>
      <c r="H4500" s="1" t="s">
        <v>8</v>
      </c>
      <c r="I4500" t="str">
        <f t="shared" si="70"/>
        <v>PURPLE VINTAGE EARRINGS [90013D]</v>
      </c>
    </row>
    <row r="4501" spans="1:9" x14ac:dyDescent="0.3">
      <c r="A4501" s="1" t="s">
        <v>736</v>
      </c>
      <c r="B4501" t="s">
        <v>735</v>
      </c>
      <c r="C4501" s="1">
        <v>4.2850000000000001</v>
      </c>
      <c r="D4501" s="1">
        <v>1</v>
      </c>
      <c r="E4501" s="1">
        <v>1</v>
      </c>
      <c r="F4501" s="1">
        <v>2</v>
      </c>
      <c r="G4501" s="1">
        <v>8.57</v>
      </c>
      <c r="H4501" s="1" t="s">
        <v>8</v>
      </c>
      <c r="I4501" t="str">
        <f t="shared" si="70"/>
        <v>AMBER VINTAGE EARRINGS [90013E]</v>
      </c>
    </row>
    <row r="4502" spans="1:9" x14ac:dyDescent="0.3">
      <c r="A4502" s="1" t="s">
        <v>734</v>
      </c>
      <c r="B4502" t="s">
        <v>733</v>
      </c>
      <c r="C4502" s="1">
        <v>9.9499999999999993</v>
      </c>
      <c r="D4502" s="1">
        <v>2</v>
      </c>
      <c r="E4502" s="1">
        <v>2.75</v>
      </c>
      <c r="F4502" s="1">
        <v>20</v>
      </c>
      <c r="G4502" s="1">
        <v>502.01</v>
      </c>
      <c r="H4502" s="1" t="s">
        <v>8</v>
      </c>
      <c r="I4502" t="str">
        <f t="shared" si="70"/>
        <v>SILVER/MOP ORBIT NECKLACE [90014A]</v>
      </c>
    </row>
    <row r="4503" spans="1:9" x14ac:dyDescent="0.3">
      <c r="A4503" s="1" t="s">
        <v>732</v>
      </c>
      <c r="B4503" t="s">
        <v>731</v>
      </c>
      <c r="C4503" s="1">
        <v>10.25</v>
      </c>
      <c r="D4503" s="1">
        <v>2</v>
      </c>
      <c r="E4503" s="1">
        <v>2</v>
      </c>
      <c r="F4503" s="1">
        <v>17</v>
      </c>
      <c r="G4503" s="1">
        <v>333.71</v>
      </c>
      <c r="H4503" s="1" t="s">
        <v>8</v>
      </c>
      <c r="I4503" t="str">
        <f t="shared" si="70"/>
        <v>GOLD M PEARL  ORBIT NECKLACE [90014B]</v>
      </c>
    </row>
    <row r="4504" spans="1:9" x14ac:dyDescent="0.3">
      <c r="A4504" s="1" t="s">
        <v>730</v>
      </c>
      <c r="B4504" t="s">
        <v>729</v>
      </c>
      <c r="C4504" s="1">
        <v>9.9499999999999993</v>
      </c>
      <c r="D4504" s="1">
        <v>2</v>
      </c>
      <c r="E4504" s="2">
        <v>2.2307692307692299</v>
      </c>
      <c r="F4504" s="1">
        <v>13</v>
      </c>
      <c r="G4504" s="1">
        <v>284.68</v>
      </c>
      <c r="H4504" s="1" t="s">
        <v>8</v>
      </c>
      <c r="I4504" t="str">
        <f t="shared" si="70"/>
        <v>SILVER/BLACK ORBIT NECKLACE [90014C]</v>
      </c>
    </row>
    <row r="4505" spans="1:9" x14ac:dyDescent="0.3">
      <c r="A4505" s="1" t="s">
        <v>728</v>
      </c>
      <c r="B4505" t="s">
        <v>727</v>
      </c>
      <c r="C4505" s="1">
        <v>8.5</v>
      </c>
      <c r="D4505" s="1">
        <v>1</v>
      </c>
      <c r="E4505" s="2">
        <v>1.93333333333333</v>
      </c>
      <c r="F4505" s="1">
        <v>15</v>
      </c>
      <c r="G4505" s="1">
        <v>207.86</v>
      </c>
      <c r="H4505" s="1" t="s">
        <v>8</v>
      </c>
      <c r="I4505" t="str">
        <f t="shared" si="70"/>
        <v>SILVER/M.O.P PENDANT ORBIT NECKLACE [90016A]</v>
      </c>
    </row>
    <row r="4506" spans="1:9" x14ac:dyDescent="0.3">
      <c r="A4506" s="1" t="s">
        <v>726</v>
      </c>
      <c r="B4506" t="s">
        <v>725</v>
      </c>
      <c r="C4506" s="1">
        <v>8.5</v>
      </c>
      <c r="D4506" s="1">
        <v>2</v>
      </c>
      <c r="E4506" s="2">
        <v>2.05555555555555</v>
      </c>
      <c r="F4506" s="1">
        <v>18</v>
      </c>
      <c r="G4506" s="1">
        <v>312.14</v>
      </c>
      <c r="H4506" s="1" t="s">
        <v>8</v>
      </c>
      <c r="I4506" t="str">
        <f t="shared" si="70"/>
        <v>GOLD/M.O.P PENDANT ORBIT NECKLACE [90016B]</v>
      </c>
    </row>
    <row r="4507" spans="1:9" x14ac:dyDescent="0.3">
      <c r="A4507" s="1" t="s">
        <v>724</v>
      </c>
      <c r="B4507" t="s">
        <v>723</v>
      </c>
      <c r="C4507" s="1">
        <v>8.5</v>
      </c>
      <c r="D4507" s="1">
        <v>1</v>
      </c>
      <c r="E4507" s="2">
        <v>1.88888888888888</v>
      </c>
      <c r="F4507" s="1">
        <v>9</v>
      </c>
      <c r="G4507" s="1">
        <v>144.07</v>
      </c>
      <c r="H4507" s="1" t="s">
        <v>8</v>
      </c>
      <c r="I4507" t="str">
        <f t="shared" si="70"/>
        <v>SILVER/BLACK PENDANT ORBIT NECKLACE [90016C]</v>
      </c>
    </row>
    <row r="4508" spans="1:9" x14ac:dyDescent="0.3">
      <c r="A4508" s="1" t="s">
        <v>722</v>
      </c>
      <c r="B4508" t="s">
        <v>721</v>
      </c>
      <c r="C4508" s="1">
        <v>4.24</v>
      </c>
      <c r="D4508" s="1">
        <v>3</v>
      </c>
      <c r="E4508" s="1">
        <v>3.75</v>
      </c>
      <c r="F4508" s="1">
        <v>20</v>
      </c>
      <c r="G4508" s="1">
        <v>316.99</v>
      </c>
      <c r="H4508" s="1" t="s">
        <v>8</v>
      </c>
      <c r="I4508" t="str">
        <f t="shared" si="70"/>
        <v>SILVER M.O.P ORBIT DROP EARRINGS [90018A]</v>
      </c>
    </row>
    <row r="4509" spans="1:9" x14ac:dyDescent="0.3">
      <c r="A4509" s="1" t="s">
        <v>720</v>
      </c>
      <c r="B4509" t="s">
        <v>719</v>
      </c>
      <c r="C4509" s="1">
        <v>4.2450000000000001</v>
      </c>
      <c r="D4509" s="1">
        <v>2</v>
      </c>
      <c r="E4509" s="2">
        <v>2.1666666666666599</v>
      </c>
      <c r="F4509" s="1">
        <v>18</v>
      </c>
      <c r="G4509" s="1">
        <v>164.62</v>
      </c>
      <c r="H4509" s="1" t="s">
        <v>8</v>
      </c>
      <c r="I4509" t="str">
        <f t="shared" si="70"/>
        <v>GOLD M.O.P ORBIT DROP EARRINGS [90018B]</v>
      </c>
    </row>
    <row r="4510" spans="1:9" x14ac:dyDescent="0.3">
      <c r="A4510" s="1" t="s">
        <v>718</v>
      </c>
      <c r="B4510" t="s">
        <v>717</v>
      </c>
      <c r="C4510" s="1">
        <v>4.2450000000000001</v>
      </c>
      <c r="D4510" s="1">
        <v>2</v>
      </c>
      <c r="E4510" s="2">
        <v>2.3333333333333299</v>
      </c>
      <c r="F4510" s="1">
        <v>12</v>
      </c>
      <c r="G4510" s="1">
        <v>118.51</v>
      </c>
      <c r="H4510" s="1" t="s">
        <v>8</v>
      </c>
      <c r="I4510" t="str">
        <f t="shared" si="70"/>
        <v>SILVER BLACK ORBIT DROP EARRINGS [90018C]</v>
      </c>
    </row>
    <row r="4511" spans="1:9" x14ac:dyDescent="0.3">
      <c r="A4511" s="1" t="s">
        <v>716</v>
      </c>
      <c r="B4511" t="s">
        <v>715</v>
      </c>
      <c r="C4511" s="1">
        <v>5.32</v>
      </c>
      <c r="D4511" s="1">
        <v>3</v>
      </c>
      <c r="E4511" s="2">
        <v>2.9565217391304301</v>
      </c>
      <c r="F4511" s="1">
        <v>23</v>
      </c>
      <c r="G4511" s="1">
        <v>354.59</v>
      </c>
      <c r="H4511" s="1" t="s">
        <v>8</v>
      </c>
      <c r="I4511" t="str">
        <f t="shared" si="70"/>
        <v>SILVER M.O.P ORBIT BRACELET [90019A]</v>
      </c>
    </row>
    <row r="4512" spans="1:9" x14ac:dyDescent="0.3">
      <c r="A4512" s="1" t="s">
        <v>714</v>
      </c>
      <c r="B4512" t="s">
        <v>713</v>
      </c>
      <c r="C4512" s="1">
        <v>5.4</v>
      </c>
      <c r="D4512" s="1">
        <v>2</v>
      </c>
      <c r="E4512" s="2">
        <v>1.8823529411764699</v>
      </c>
      <c r="F4512" s="1">
        <v>17</v>
      </c>
      <c r="G4512" s="1">
        <v>168.62</v>
      </c>
      <c r="H4512" s="1" t="s">
        <v>8</v>
      </c>
      <c r="I4512" t="str">
        <f t="shared" si="70"/>
        <v>GOLD M.O.P ORBIT BRACELET [90019B]</v>
      </c>
    </row>
    <row r="4513" spans="1:9" x14ac:dyDescent="0.3">
      <c r="A4513" s="1" t="s">
        <v>712</v>
      </c>
      <c r="B4513" t="s">
        <v>711</v>
      </c>
      <c r="C4513" s="1">
        <v>5.4</v>
      </c>
      <c r="D4513" s="1">
        <v>2</v>
      </c>
      <c r="E4513" s="2">
        <v>2.2222222222222201</v>
      </c>
      <c r="F4513" s="1">
        <v>18</v>
      </c>
      <c r="G4513" s="1">
        <v>213.38</v>
      </c>
      <c r="H4513" s="1" t="s">
        <v>8</v>
      </c>
      <c r="I4513" t="str">
        <f t="shared" si="70"/>
        <v>SILVER BLACK ORBIT BRACELET [90019C]</v>
      </c>
    </row>
    <row r="4514" spans="1:9" x14ac:dyDescent="0.3">
      <c r="A4514" s="1">
        <v>90020</v>
      </c>
      <c r="B4514" t="s">
        <v>710</v>
      </c>
      <c r="C4514" s="1">
        <v>12.75</v>
      </c>
      <c r="D4514" s="1">
        <v>1</v>
      </c>
      <c r="E4514" s="1">
        <v>1.5</v>
      </c>
      <c r="F4514" s="1">
        <v>4</v>
      </c>
      <c r="G4514" s="1">
        <v>76.23</v>
      </c>
      <c r="H4514" s="1" t="s">
        <v>8</v>
      </c>
      <c r="I4514" t="str">
        <f t="shared" si="70"/>
        <v>FILIGREE DIAMANTE CHAIN [90020]</v>
      </c>
    </row>
    <row r="4515" spans="1:9" x14ac:dyDescent="0.3">
      <c r="A4515" s="1">
        <v>90021</v>
      </c>
      <c r="B4515" t="s">
        <v>709</v>
      </c>
      <c r="C4515" s="1">
        <v>11.95</v>
      </c>
      <c r="D4515" s="1">
        <v>2</v>
      </c>
      <c r="E4515" s="2">
        <v>1.6666666666666601</v>
      </c>
      <c r="F4515" s="1">
        <v>3</v>
      </c>
      <c r="G4515" s="1">
        <v>59.75</v>
      </c>
      <c r="H4515" s="1" t="s">
        <v>8</v>
      </c>
      <c r="I4515" t="str">
        <f t="shared" si="70"/>
        <v>LASER CUT MULTI STRAND NECKLACE [90021]</v>
      </c>
    </row>
    <row r="4516" spans="1:9" x14ac:dyDescent="0.3">
      <c r="A4516" s="1">
        <v>90022</v>
      </c>
      <c r="B4516" t="s">
        <v>708</v>
      </c>
      <c r="C4516" s="1">
        <v>3.75</v>
      </c>
      <c r="D4516" s="1">
        <v>1</v>
      </c>
      <c r="E4516" s="2">
        <v>2.1764705882352899</v>
      </c>
      <c r="F4516" s="1">
        <v>17</v>
      </c>
      <c r="G4516" s="1">
        <v>139.66999999999999</v>
      </c>
      <c r="H4516" s="1" t="s">
        <v>8</v>
      </c>
      <c r="I4516" t="str">
        <f t="shared" si="70"/>
        <v>EDWARDIAN DROP EARRINGS JET BLACK [90022]</v>
      </c>
    </row>
    <row r="4517" spans="1:9" x14ac:dyDescent="0.3">
      <c r="A4517" s="1">
        <v>90023</v>
      </c>
      <c r="B4517" t="s">
        <v>707</v>
      </c>
      <c r="C4517" s="1">
        <v>4.25</v>
      </c>
      <c r="D4517" s="1">
        <v>2</v>
      </c>
      <c r="E4517" s="2">
        <v>2.21428571428571</v>
      </c>
      <c r="F4517" s="1">
        <v>14</v>
      </c>
      <c r="G4517" s="1">
        <v>131.74</v>
      </c>
      <c r="H4517" s="1" t="s">
        <v>8</v>
      </c>
      <c r="I4517" t="str">
        <f t="shared" si="70"/>
        <v>FILIGREE DIAMANTE EARRINGS [90023]</v>
      </c>
    </row>
    <row r="4518" spans="1:9" x14ac:dyDescent="0.3">
      <c r="A4518" s="1" t="s">
        <v>706</v>
      </c>
      <c r="B4518" t="s">
        <v>705</v>
      </c>
      <c r="C4518" s="1">
        <v>8.5</v>
      </c>
      <c r="D4518" s="1">
        <v>1</v>
      </c>
      <c r="E4518" s="1">
        <v>1.25</v>
      </c>
      <c r="F4518" s="1">
        <v>4</v>
      </c>
      <c r="G4518" s="1">
        <v>42.5</v>
      </c>
      <c r="H4518" s="1" t="s">
        <v>8</v>
      </c>
      <c r="I4518" t="str">
        <f t="shared" si="70"/>
        <v>NEW BAROQUE B'FLY NECKLACE BLACK [90024A]</v>
      </c>
    </row>
    <row r="4519" spans="1:9" x14ac:dyDescent="0.3">
      <c r="A4519" s="1" t="s">
        <v>704</v>
      </c>
      <c r="B4519" t="s">
        <v>703</v>
      </c>
      <c r="C4519" s="1">
        <v>8.49</v>
      </c>
      <c r="D4519" s="1">
        <v>1</v>
      </c>
      <c r="E4519" s="2">
        <v>1.92307692307692</v>
      </c>
      <c r="F4519" s="1">
        <v>13</v>
      </c>
      <c r="G4519" s="1">
        <v>212.24</v>
      </c>
      <c r="H4519" s="1" t="s">
        <v>8</v>
      </c>
      <c r="I4519" t="str">
        <f t="shared" si="70"/>
        <v>NEW BAROQUE B'FLY NECKLACE RED [90024B]</v>
      </c>
    </row>
    <row r="4520" spans="1:9" x14ac:dyDescent="0.3">
      <c r="A4520" s="1" t="s">
        <v>702</v>
      </c>
      <c r="B4520" t="s">
        <v>701</v>
      </c>
      <c r="C4520" s="1">
        <v>8.5</v>
      </c>
      <c r="D4520" s="1">
        <v>1</v>
      </c>
      <c r="E4520" s="2">
        <v>1.2222222222222201</v>
      </c>
      <c r="F4520" s="1">
        <v>9</v>
      </c>
      <c r="G4520" s="1">
        <v>93.48</v>
      </c>
      <c r="H4520" s="1" t="s">
        <v>8</v>
      </c>
      <c r="I4520" t="str">
        <f t="shared" si="70"/>
        <v>NEW BAROQUE B'FLY NECKLACE GREEN [90024C]</v>
      </c>
    </row>
    <row r="4521" spans="1:9" x14ac:dyDescent="0.3">
      <c r="A4521" s="1" t="s">
        <v>700</v>
      </c>
      <c r="B4521" t="s">
        <v>699</v>
      </c>
      <c r="C4521" s="1">
        <v>8.5</v>
      </c>
      <c r="D4521" s="1">
        <v>1</v>
      </c>
      <c r="E4521" s="1">
        <v>1.5</v>
      </c>
      <c r="F4521" s="1">
        <v>10</v>
      </c>
      <c r="G4521" s="1">
        <v>127.5</v>
      </c>
      <c r="H4521" s="1" t="s">
        <v>8</v>
      </c>
      <c r="I4521" t="str">
        <f t="shared" si="70"/>
        <v>NEW BAROQUE B'FLY NECKLACE PINK [90024D]</v>
      </c>
    </row>
    <row r="4522" spans="1:9" x14ac:dyDescent="0.3">
      <c r="A4522" s="1" t="s">
        <v>698</v>
      </c>
      <c r="B4522" t="s">
        <v>697</v>
      </c>
      <c r="C4522" s="1">
        <v>8.5</v>
      </c>
      <c r="D4522" s="1">
        <v>1</v>
      </c>
      <c r="E4522" s="1">
        <v>2</v>
      </c>
      <c r="F4522" s="1">
        <v>8</v>
      </c>
      <c r="G4522" s="1">
        <v>135.97999999999999</v>
      </c>
      <c r="H4522" s="1" t="s">
        <v>8</v>
      </c>
      <c r="I4522" t="str">
        <f t="shared" si="70"/>
        <v>NEW BAROQUE B'FLY NECKLACE MONTANA [90024E]</v>
      </c>
    </row>
    <row r="4523" spans="1:9" x14ac:dyDescent="0.3">
      <c r="A4523" s="1" t="s">
        <v>696</v>
      </c>
      <c r="B4523" t="s">
        <v>695</v>
      </c>
      <c r="C4523" s="1">
        <v>8.49</v>
      </c>
      <c r="D4523" s="1">
        <v>1</v>
      </c>
      <c r="E4523" s="2">
        <v>1.3333333333333299</v>
      </c>
      <c r="F4523" s="1">
        <v>6</v>
      </c>
      <c r="G4523" s="1">
        <v>67.61</v>
      </c>
      <c r="H4523" s="1" t="s">
        <v>8</v>
      </c>
      <c r="I4523" t="str">
        <f t="shared" si="70"/>
        <v>NEW BAROQUE B'FLY NECKLACE CRYSTAL [90024F]</v>
      </c>
    </row>
    <row r="4524" spans="1:9" x14ac:dyDescent="0.3">
      <c r="A4524" s="1" t="s">
        <v>694</v>
      </c>
      <c r="B4524" t="s">
        <v>693</v>
      </c>
      <c r="C4524" s="1">
        <v>3.75</v>
      </c>
      <c r="D4524" s="1">
        <v>1</v>
      </c>
      <c r="E4524" s="1">
        <v>1</v>
      </c>
      <c r="F4524" s="1">
        <v>2</v>
      </c>
      <c r="G4524" s="1">
        <v>7.5</v>
      </c>
      <c r="H4524" s="1" t="s">
        <v>8</v>
      </c>
      <c r="I4524" t="str">
        <f t="shared" si="70"/>
        <v>BAROQUE BUTTERFLY EARRINGS BLACK [90025A]</v>
      </c>
    </row>
    <row r="4525" spans="1:9" x14ac:dyDescent="0.3">
      <c r="A4525" s="1" t="s">
        <v>692</v>
      </c>
      <c r="B4525" t="s">
        <v>691</v>
      </c>
      <c r="C4525" s="1">
        <v>3.75</v>
      </c>
      <c r="D4525" s="1">
        <v>1</v>
      </c>
      <c r="E4525" s="1">
        <v>1</v>
      </c>
      <c r="F4525" s="1">
        <v>3</v>
      </c>
      <c r="G4525" s="1">
        <v>11.29</v>
      </c>
      <c r="H4525" s="1" t="s">
        <v>8</v>
      </c>
      <c r="I4525" t="str">
        <f t="shared" si="70"/>
        <v>BAROQUE BUTTERFLY EARRINGS RED [90025B]</v>
      </c>
    </row>
    <row r="4526" spans="1:9" x14ac:dyDescent="0.3">
      <c r="A4526" s="1" t="s">
        <v>690</v>
      </c>
      <c r="B4526" t="s">
        <v>689</v>
      </c>
      <c r="C4526" s="1">
        <v>3.75</v>
      </c>
      <c r="D4526" s="1">
        <v>1</v>
      </c>
      <c r="E4526" s="1">
        <v>1.2</v>
      </c>
      <c r="F4526" s="1">
        <v>5</v>
      </c>
      <c r="G4526" s="1">
        <v>22.56</v>
      </c>
      <c r="H4526" s="1" t="s">
        <v>8</v>
      </c>
      <c r="I4526" t="str">
        <f t="shared" si="70"/>
        <v>BAROQUE BUTTERFLY EARRINGS GREEN [90025C]</v>
      </c>
    </row>
    <row r="4527" spans="1:9" x14ac:dyDescent="0.3">
      <c r="A4527" s="1" t="s">
        <v>688</v>
      </c>
      <c r="B4527" t="s">
        <v>687</v>
      </c>
      <c r="C4527" s="1">
        <v>3.73</v>
      </c>
      <c r="D4527" s="1">
        <v>1</v>
      </c>
      <c r="E4527" s="1">
        <v>1</v>
      </c>
      <c r="F4527" s="1">
        <v>5</v>
      </c>
      <c r="G4527" s="1">
        <v>18.690000000000001</v>
      </c>
      <c r="H4527" s="1" t="s">
        <v>8</v>
      </c>
      <c r="I4527" t="str">
        <f t="shared" si="70"/>
        <v>BAROQUE BUTTERFLY EARRINGS PINK [90025D]</v>
      </c>
    </row>
    <row r="4528" spans="1:9" x14ac:dyDescent="0.3">
      <c r="A4528" s="1" t="s">
        <v>686</v>
      </c>
      <c r="B4528" t="s">
        <v>685</v>
      </c>
      <c r="C4528" s="2">
        <v>3.78</v>
      </c>
      <c r="D4528" s="1">
        <v>1</v>
      </c>
      <c r="E4528" s="2">
        <v>1.1666666666666601</v>
      </c>
      <c r="F4528" s="1">
        <v>6</v>
      </c>
      <c r="G4528" s="1">
        <v>26.5</v>
      </c>
      <c r="H4528" s="1" t="s">
        <v>8</v>
      </c>
      <c r="I4528" t="str">
        <f t="shared" si="70"/>
        <v>BAROQUE BUTTERFLY EARRINGS MONTANA [90025E]</v>
      </c>
    </row>
    <row r="4529" spans="1:9" x14ac:dyDescent="0.3">
      <c r="A4529" s="1" t="s">
        <v>684</v>
      </c>
      <c r="B4529" t="s">
        <v>683</v>
      </c>
      <c r="C4529" s="1">
        <v>3.75</v>
      </c>
      <c r="D4529" s="1">
        <v>1</v>
      </c>
      <c r="E4529" s="2">
        <v>1.3333333333333299</v>
      </c>
      <c r="F4529" s="1">
        <v>6</v>
      </c>
      <c r="G4529" s="1">
        <v>30.23</v>
      </c>
      <c r="H4529" s="1" t="s">
        <v>8</v>
      </c>
      <c r="I4529" t="str">
        <f t="shared" si="70"/>
        <v>BAROQUE BUTTERFLY EARRINGS CRYSTAL [90025F]</v>
      </c>
    </row>
    <row r="4530" spans="1:9" x14ac:dyDescent="0.3">
      <c r="A4530" s="1" t="s">
        <v>682</v>
      </c>
      <c r="B4530" t="s">
        <v>681</v>
      </c>
      <c r="C4530" s="1">
        <v>8.5</v>
      </c>
      <c r="D4530" s="1">
        <v>1</v>
      </c>
      <c r="E4530" s="2">
        <v>1.5714285714285701</v>
      </c>
      <c r="F4530" s="1">
        <v>7</v>
      </c>
      <c r="G4530" s="1">
        <v>93.47</v>
      </c>
      <c r="H4530" s="1" t="s">
        <v>8</v>
      </c>
      <c r="I4530" t="str">
        <f t="shared" si="70"/>
        <v>GLASS BEAD HOOP NECKLACE BLACK [90026A]</v>
      </c>
    </row>
    <row r="4531" spans="1:9" x14ac:dyDescent="0.3">
      <c r="A4531" s="1" t="s">
        <v>680</v>
      </c>
      <c r="B4531" t="s">
        <v>679</v>
      </c>
      <c r="C4531" s="1">
        <v>8.5</v>
      </c>
      <c r="D4531" s="1">
        <v>1</v>
      </c>
      <c r="E4531" s="2">
        <v>1.3333333333333299</v>
      </c>
      <c r="F4531" s="1">
        <v>6</v>
      </c>
      <c r="G4531" s="1">
        <v>67.819999999999993</v>
      </c>
      <c r="H4531" s="1" t="s">
        <v>8</v>
      </c>
      <c r="I4531" t="str">
        <f t="shared" si="70"/>
        <v>GLASS BEAD HOOP NECKLACE MONTANA [90026B]</v>
      </c>
    </row>
    <row r="4532" spans="1:9" x14ac:dyDescent="0.3">
      <c r="A4532" s="1" t="s">
        <v>678</v>
      </c>
      <c r="B4532" t="s">
        <v>677</v>
      </c>
      <c r="C4532" s="1">
        <v>8.5</v>
      </c>
      <c r="D4532" s="1">
        <v>1</v>
      </c>
      <c r="E4532" s="2">
        <v>1.3333333333333299</v>
      </c>
      <c r="F4532" s="1">
        <v>6</v>
      </c>
      <c r="G4532" s="1">
        <v>67.819999999999993</v>
      </c>
      <c r="H4532" s="1" t="s">
        <v>8</v>
      </c>
      <c r="I4532" t="str">
        <f t="shared" si="70"/>
        <v>GLASS BEAD HOOP NECKLACE GREEN [90026C]</v>
      </c>
    </row>
    <row r="4533" spans="1:9" x14ac:dyDescent="0.3">
      <c r="A4533" s="1" t="s">
        <v>676</v>
      </c>
      <c r="B4533" t="s">
        <v>675</v>
      </c>
      <c r="C4533" s="1">
        <v>8.5</v>
      </c>
      <c r="D4533" s="1">
        <v>1</v>
      </c>
      <c r="E4533" s="1">
        <v>1.25</v>
      </c>
      <c r="F4533" s="1">
        <v>8</v>
      </c>
      <c r="G4533" s="1">
        <v>85</v>
      </c>
      <c r="H4533" s="1" t="s">
        <v>8</v>
      </c>
      <c r="I4533" t="str">
        <f t="shared" si="70"/>
        <v>GLASS BEAD HOOP NECKLACE AMETHYST [90026D]</v>
      </c>
    </row>
    <row r="4534" spans="1:9" x14ac:dyDescent="0.3">
      <c r="A4534" s="1" t="s">
        <v>674</v>
      </c>
      <c r="B4534" t="s">
        <v>673</v>
      </c>
      <c r="C4534" s="1">
        <v>2.95</v>
      </c>
      <c r="D4534" s="1">
        <v>1.5</v>
      </c>
      <c r="E4534" s="1">
        <v>2.25</v>
      </c>
      <c r="F4534" s="1">
        <v>4</v>
      </c>
      <c r="G4534" s="1">
        <v>26.52</v>
      </c>
      <c r="H4534" s="1" t="s">
        <v>8</v>
      </c>
      <c r="I4534" t="str">
        <f t="shared" si="70"/>
        <v>GLASS BEAD HOOP EARRINGS BLACK [90027A]</v>
      </c>
    </row>
    <row r="4535" spans="1:9" x14ac:dyDescent="0.3">
      <c r="A4535" s="1" t="s">
        <v>672</v>
      </c>
      <c r="B4535" t="s">
        <v>671</v>
      </c>
      <c r="C4535" s="1">
        <v>2.95</v>
      </c>
      <c r="D4535" s="1">
        <v>1</v>
      </c>
      <c r="E4535" s="2">
        <v>1.8571428571428501</v>
      </c>
      <c r="F4535" s="1">
        <v>7</v>
      </c>
      <c r="G4535" s="1">
        <v>38.28</v>
      </c>
      <c r="H4535" s="1" t="s">
        <v>8</v>
      </c>
      <c r="I4535" t="str">
        <f t="shared" si="70"/>
        <v>GLASS BEAD HOOP EARRINGS MONTANA [90027B]</v>
      </c>
    </row>
    <row r="4536" spans="1:9" x14ac:dyDescent="0.3">
      <c r="A4536" s="1" t="s">
        <v>670</v>
      </c>
      <c r="B4536" t="s">
        <v>669</v>
      </c>
      <c r="C4536" s="1">
        <v>2.9249999999999998</v>
      </c>
      <c r="D4536" s="1">
        <v>1</v>
      </c>
      <c r="E4536" s="1">
        <v>1.75</v>
      </c>
      <c r="F4536" s="1">
        <v>8</v>
      </c>
      <c r="G4536" s="1">
        <v>41.17</v>
      </c>
      <c r="H4536" s="1" t="s">
        <v>8</v>
      </c>
      <c r="I4536" t="str">
        <f t="shared" si="70"/>
        <v>GLASS BEAD HOOP EARRINGS GREEN [90027C]</v>
      </c>
    </row>
    <row r="4537" spans="1:9" x14ac:dyDescent="0.3">
      <c r="A4537" s="1" t="s">
        <v>668</v>
      </c>
      <c r="B4537" t="s">
        <v>667</v>
      </c>
      <c r="C4537" s="2">
        <v>3.21999999999999</v>
      </c>
      <c r="D4537" s="1">
        <v>2</v>
      </c>
      <c r="E4537" s="1">
        <v>2.875</v>
      </c>
      <c r="F4537" s="1">
        <v>8</v>
      </c>
      <c r="G4537" s="2">
        <v>72.179999999999893</v>
      </c>
      <c r="H4537" s="1" t="s">
        <v>8</v>
      </c>
      <c r="I4537" t="str">
        <f t="shared" si="70"/>
        <v>GLASS BEAD HOOP EARRINGS AMETHYST [90027D]</v>
      </c>
    </row>
    <row r="4538" spans="1:9" x14ac:dyDescent="0.3">
      <c r="A4538" s="1">
        <v>90028</v>
      </c>
      <c r="B4538" t="s">
        <v>666</v>
      </c>
      <c r="C4538" s="1">
        <v>8.49</v>
      </c>
      <c r="D4538" s="1">
        <v>1</v>
      </c>
      <c r="E4538" s="2">
        <v>1.93333333333333</v>
      </c>
      <c r="F4538" s="1">
        <v>15</v>
      </c>
      <c r="G4538" s="1">
        <v>244.79</v>
      </c>
      <c r="H4538" s="1" t="s">
        <v>8</v>
      </c>
      <c r="I4538" t="str">
        <f t="shared" si="70"/>
        <v>NEW BAROQUE LARGE NECKLACE BLK/WHIT [90028]</v>
      </c>
    </row>
    <row r="4539" spans="1:9" x14ac:dyDescent="0.3">
      <c r="A4539" s="1">
        <v>90029</v>
      </c>
      <c r="B4539" t="s">
        <v>665</v>
      </c>
      <c r="C4539" s="1">
        <v>8.5</v>
      </c>
      <c r="D4539" s="1">
        <v>2</v>
      </c>
      <c r="E4539" s="2">
        <v>2.55555555555555</v>
      </c>
      <c r="F4539" s="1">
        <v>9</v>
      </c>
      <c r="G4539" s="1">
        <v>195.14</v>
      </c>
      <c r="H4539" s="1" t="s">
        <v>8</v>
      </c>
      <c r="I4539" t="str">
        <f t="shared" si="70"/>
        <v>NEW BAROQUE SMALL NECKLACE BLACK [90029]</v>
      </c>
    </row>
    <row r="4540" spans="1:9" x14ac:dyDescent="0.3">
      <c r="A4540" s="1" t="s">
        <v>664</v>
      </c>
      <c r="B4540" t="s">
        <v>663</v>
      </c>
      <c r="C4540" s="1">
        <v>1</v>
      </c>
      <c r="D4540" s="1">
        <v>6</v>
      </c>
      <c r="E4540" s="1">
        <v>18</v>
      </c>
      <c r="F4540" s="1">
        <v>4</v>
      </c>
      <c r="G4540" s="1">
        <v>72</v>
      </c>
      <c r="H4540" s="1" t="s">
        <v>8</v>
      </c>
      <c r="I4540" t="str">
        <f t="shared" si="70"/>
        <v>SPOTTED WHITE NATURAL SEED NECKLACE [90030A]</v>
      </c>
    </row>
    <row r="4541" spans="1:9" x14ac:dyDescent="0.3">
      <c r="A4541" s="1" t="s">
        <v>662</v>
      </c>
      <c r="B4541" t="s">
        <v>661</v>
      </c>
      <c r="C4541" s="1">
        <v>5.94</v>
      </c>
      <c r="D4541" s="1">
        <v>2</v>
      </c>
      <c r="E4541" s="2">
        <v>3.2727272727272698</v>
      </c>
      <c r="F4541" s="1">
        <v>11</v>
      </c>
      <c r="G4541" s="1">
        <v>184.26</v>
      </c>
      <c r="H4541" s="1" t="s">
        <v>8</v>
      </c>
      <c r="I4541" t="str">
        <f t="shared" si="70"/>
        <v>RED KUKUI COCONUT SEED NECKLACE [90030B]</v>
      </c>
    </row>
    <row r="4542" spans="1:9" x14ac:dyDescent="0.3">
      <c r="A4542" s="1" t="s">
        <v>660</v>
      </c>
      <c r="B4542" t="s">
        <v>659</v>
      </c>
      <c r="C4542" s="1">
        <v>5.94</v>
      </c>
      <c r="D4542" s="1">
        <v>1</v>
      </c>
      <c r="E4542" s="2">
        <v>1.8571428571428501</v>
      </c>
      <c r="F4542" s="1">
        <v>7</v>
      </c>
      <c r="G4542" s="1">
        <v>77.3</v>
      </c>
      <c r="H4542" s="1" t="s">
        <v>8</v>
      </c>
      <c r="I4542" t="str">
        <f t="shared" si="70"/>
        <v>BROWN KUKUI COCONUT SEED NECKLACE [90030C]</v>
      </c>
    </row>
    <row r="4543" spans="1:9" x14ac:dyDescent="0.3">
      <c r="A4543" s="1">
        <v>90031</v>
      </c>
      <c r="B4543" t="s">
        <v>658</v>
      </c>
      <c r="C4543" s="1">
        <v>3.47</v>
      </c>
      <c r="D4543" s="1">
        <v>3.5</v>
      </c>
      <c r="E4543" s="1">
        <v>6.5</v>
      </c>
      <c r="F4543" s="1">
        <v>8</v>
      </c>
      <c r="G4543" s="1">
        <v>71.900000000000006</v>
      </c>
      <c r="H4543" s="1" t="s">
        <v>8</v>
      </c>
      <c r="I4543" t="str">
        <f t="shared" si="70"/>
        <v>BILI NUT AND WOOD NECKLACE [90031]</v>
      </c>
    </row>
    <row r="4544" spans="1:9" x14ac:dyDescent="0.3">
      <c r="A4544" s="1">
        <v>90032</v>
      </c>
      <c r="B4544" t="s">
        <v>657</v>
      </c>
      <c r="C4544" s="1">
        <v>6.25</v>
      </c>
      <c r="D4544" s="1">
        <v>3</v>
      </c>
      <c r="E4544" s="2">
        <v>3.6923076923076898</v>
      </c>
      <c r="F4544" s="1">
        <v>13</v>
      </c>
      <c r="G4544" s="1">
        <v>271.88</v>
      </c>
      <c r="H4544" s="1" t="s">
        <v>8</v>
      </c>
      <c r="I4544" t="str">
        <f t="shared" si="70"/>
        <v>IVORY SHELL HEART NECKLACE [90032]</v>
      </c>
    </row>
    <row r="4545" spans="1:9" x14ac:dyDescent="0.3">
      <c r="A4545" s="1">
        <v>90033</v>
      </c>
      <c r="B4545" t="s">
        <v>656</v>
      </c>
      <c r="C4545" s="1">
        <v>2.54</v>
      </c>
      <c r="D4545" s="1">
        <v>1</v>
      </c>
      <c r="E4545" s="2">
        <v>1.6923076923076901</v>
      </c>
      <c r="F4545" s="1">
        <v>13</v>
      </c>
      <c r="G4545" s="2">
        <v>55.879999999999903</v>
      </c>
      <c r="H4545" s="1" t="s">
        <v>8</v>
      </c>
      <c r="I4545" t="str">
        <f t="shared" si="70"/>
        <v>IVORY SHELL HEART EARRINGS [90033]</v>
      </c>
    </row>
    <row r="4546" spans="1:9" x14ac:dyDescent="0.3">
      <c r="A4546" s="1">
        <v>90034</v>
      </c>
      <c r="B4546" t="s">
        <v>655</v>
      </c>
      <c r="C4546" s="1">
        <v>10.08</v>
      </c>
      <c r="D4546" s="1">
        <v>1</v>
      </c>
      <c r="E4546" s="1">
        <v>1.25</v>
      </c>
      <c r="F4546" s="1">
        <v>4</v>
      </c>
      <c r="G4546" s="1">
        <v>50.48</v>
      </c>
      <c r="H4546" s="1" t="s">
        <v>8</v>
      </c>
      <c r="I4546" t="str">
        <f t="shared" si="70"/>
        <v>WHITE SILVER NECKLACE SHELL GLASS [90034]</v>
      </c>
    </row>
    <row r="4547" spans="1:9" x14ac:dyDescent="0.3">
      <c r="A4547" s="1" t="s">
        <v>654</v>
      </c>
      <c r="B4547" t="s">
        <v>653</v>
      </c>
      <c r="C4547" s="2">
        <v>10.719999999999899</v>
      </c>
      <c r="D4547" s="1">
        <v>2.5</v>
      </c>
      <c r="E4547" s="1">
        <v>3</v>
      </c>
      <c r="F4547" s="1">
        <v>8</v>
      </c>
      <c r="G4547" s="1">
        <v>257.55</v>
      </c>
      <c r="H4547" s="1" t="s">
        <v>8</v>
      </c>
      <c r="I4547" t="str">
        <f t="shared" ref="I4547:I4610" si="71">B4547&amp;" ["&amp;A4547&amp;"]"</f>
        <v>PEARL &amp; SHELL 42"NECKL. GREEN [90035A]</v>
      </c>
    </row>
    <row r="4548" spans="1:9" x14ac:dyDescent="0.3">
      <c r="A4548" s="1" t="s">
        <v>652</v>
      </c>
      <c r="B4548" t="s">
        <v>651</v>
      </c>
      <c r="C4548" s="1">
        <v>9.76</v>
      </c>
      <c r="D4548" s="1">
        <v>21.5</v>
      </c>
      <c r="E4548" s="1">
        <v>21.5</v>
      </c>
      <c r="F4548" s="1">
        <v>2</v>
      </c>
      <c r="G4548" s="1">
        <v>380.89</v>
      </c>
      <c r="H4548" s="1" t="s">
        <v>9</v>
      </c>
      <c r="I4548" t="str">
        <f t="shared" si="71"/>
        <v>PEARL &amp; SHELL 42"NECKL. PINK [90035B]</v>
      </c>
    </row>
    <row r="4549" spans="1:9" x14ac:dyDescent="0.3">
      <c r="A4549" s="1" t="s">
        <v>650</v>
      </c>
      <c r="B4549" t="s">
        <v>649</v>
      </c>
      <c r="C4549" s="1">
        <v>10.75</v>
      </c>
      <c r="D4549" s="1">
        <v>2</v>
      </c>
      <c r="E4549" s="2">
        <v>9.3333333333333304</v>
      </c>
      <c r="F4549" s="1">
        <v>3</v>
      </c>
      <c r="G4549" s="1">
        <v>301</v>
      </c>
      <c r="H4549" s="1" t="s">
        <v>8</v>
      </c>
      <c r="I4549" t="str">
        <f t="shared" si="71"/>
        <v>PEARL &amp; SHELL 42"NECKL. IVORY [90035C]</v>
      </c>
    </row>
    <row r="4550" spans="1:9" x14ac:dyDescent="0.3">
      <c r="A4550" s="1" t="s">
        <v>648</v>
      </c>
      <c r="B4550" t="s">
        <v>647</v>
      </c>
      <c r="C4550" s="1">
        <v>7.95</v>
      </c>
      <c r="D4550" s="1">
        <v>3</v>
      </c>
      <c r="E4550" s="2">
        <v>2.4545454545454501</v>
      </c>
      <c r="F4550" s="1">
        <v>11</v>
      </c>
      <c r="G4550" s="1">
        <v>215.76</v>
      </c>
      <c r="H4550" s="1" t="s">
        <v>8</v>
      </c>
      <c r="I4550" t="str">
        <f t="shared" si="71"/>
        <v>FLOWER GARLAND NECKLACE RED [90036A]</v>
      </c>
    </row>
    <row r="4551" spans="1:9" x14ac:dyDescent="0.3">
      <c r="A4551" s="1" t="s">
        <v>646</v>
      </c>
      <c r="B4551" t="s">
        <v>645</v>
      </c>
      <c r="C4551" s="1">
        <v>7.95</v>
      </c>
      <c r="D4551" s="1">
        <v>1.5</v>
      </c>
      <c r="E4551" s="1">
        <v>2.25</v>
      </c>
      <c r="F4551" s="1">
        <v>8</v>
      </c>
      <c r="G4551" s="1">
        <v>143.1</v>
      </c>
      <c r="H4551" s="1" t="s">
        <v>8</v>
      </c>
      <c r="I4551" t="str">
        <f t="shared" si="71"/>
        <v>FLOWER GLASS GARLAND NECKL.36"GREEN [90036B]</v>
      </c>
    </row>
    <row r="4552" spans="1:9" x14ac:dyDescent="0.3">
      <c r="A4552" s="1" t="s">
        <v>644</v>
      </c>
      <c r="B4552" t="s">
        <v>643</v>
      </c>
      <c r="C4552" s="1">
        <v>7.95</v>
      </c>
      <c r="D4552" s="1">
        <v>2</v>
      </c>
      <c r="E4552" s="2">
        <v>2.8181818181818099</v>
      </c>
      <c r="F4552" s="1">
        <v>11</v>
      </c>
      <c r="G4552" s="1">
        <v>246.83</v>
      </c>
      <c r="H4552" s="1" t="s">
        <v>8</v>
      </c>
      <c r="I4552" t="str">
        <f t="shared" si="71"/>
        <v>FLOWER GLASS GARLAND NECKL.36"BLUE [90036C]</v>
      </c>
    </row>
    <row r="4553" spans="1:9" x14ac:dyDescent="0.3">
      <c r="A4553" s="1" t="s">
        <v>642</v>
      </c>
      <c r="B4553" t="s">
        <v>641</v>
      </c>
      <c r="C4553" s="1">
        <v>7.95</v>
      </c>
      <c r="D4553" s="1">
        <v>2.5</v>
      </c>
      <c r="E4553" s="2">
        <v>3.1666666666666599</v>
      </c>
      <c r="F4553" s="1">
        <v>12</v>
      </c>
      <c r="G4553" s="1">
        <v>302.29000000000002</v>
      </c>
      <c r="H4553" s="1" t="s">
        <v>8</v>
      </c>
      <c r="I4553" t="str">
        <f t="shared" si="71"/>
        <v>FLOWER GLASS GARLAND NECKL.36"BLACK [90036D]</v>
      </c>
    </row>
    <row r="4554" spans="1:9" x14ac:dyDescent="0.3">
      <c r="A4554" s="1" t="s">
        <v>640</v>
      </c>
      <c r="B4554" t="s">
        <v>639</v>
      </c>
      <c r="C4554" s="1">
        <v>7.95</v>
      </c>
      <c r="D4554" s="1">
        <v>1</v>
      </c>
      <c r="E4554" s="2">
        <v>2.3684210526315699</v>
      </c>
      <c r="F4554" s="1">
        <v>19</v>
      </c>
      <c r="G4554" s="1">
        <v>358.87</v>
      </c>
      <c r="H4554" s="1" t="s">
        <v>8</v>
      </c>
      <c r="I4554" t="str">
        <f t="shared" si="71"/>
        <v>FLOWER GLASS GARLD NECKL36"AMETHYST [90036E]</v>
      </c>
    </row>
    <row r="4555" spans="1:9" x14ac:dyDescent="0.3">
      <c r="A4555" s="1" t="s">
        <v>638</v>
      </c>
      <c r="B4555" t="s">
        <v>637</v>
      </c>
      <c r="C4555" s="1">
        <v>8.07</v>
      </c>
      <c r="D4555" s="1">
        <v>2</v>
      </c>
      <c r="E4555" s="2">
        <v>2.6666666666666599</v>
      </c>
      <c r="F4555" s="1">
        <v>9</v>
      </c>
      <c r="G4555" s="2">
        <v>192.17</v>
      </c>
      <c r="H4555" s="1" t="s">
        <v>8</v>
      </c>
      <c r="I4555" t="str">
        <f t="shared" si="71"/>
        <v>FLOWER GLASS GARLD NECKL36"TURQUOIS [90036F]</v>
      </c>
    </row>
    <row r="4556" spans="1:9" x14ac:dyDescent="0.3">
      <c r="A4556" s="1" t="s">
        <v>636</v>
      </c>
      <c r="B4556" t="s">
        <v>635</v>
      </c>
      <c r="C4556" s="1">
        <v>2.5499999999999998</v>
      </c>
      <c r="D4556" s="1">
        <v>1</v>
      </c>
      <c r="E4556" s="2">
        <v>2.3636363636363602</v>
      </c>
      <c r="F4556" s="1">
        <v>11</v>
      </c>
      <c r="G4556" s="1">
        <v>66.31</v>
      </c>
      <c r="H4556" s="1" t="s">
        <v>8</v>
      </c>
      <c r="I4556" t="str">
        <f t="shared" si="71"/>
        <v>TINY CRYSTAL BRACELET RED [90037A]</v>
      </c>
    </row>
    <row r="4557" spans="1:9" x14ac:dyDescent="0.3">
      <c r="A4557" s="1" t="s">
        <v>634</v>
      </c>
      <c r="B4557" t="s">
        <v>633</v>
      </c>
      <c r="C4557" s="1">
        <v>2.5449999999999999</v>
      </c>
      <c r="D4557" s="1">
        <v>1.5</v>
      </c>
      <c r="E4557" s="1">
        <v>3.5</v>
      </c>
      <c r="F4557" s="1">
        <v>8</v>
      </c>
      <c r="G4557" s="1">
        <v>71.17</v>
      </c>
      <c r="H4557" s="1" t="s">
        <v>8</v>
      </c>
      <c r="I4557" t="str">
        <f t="shared" si="71"/>
        <v>TINY CRYSTAL BRACELET GREEN [90037B]</v>
      </c>
    </row>
    <row r="4558" spans="1:9" x14ac:dyDescent="0.3">
      <c r="A4558" s="1" t="s">
        <v>632</v>
      </c>
      <c r="B4558" t="s">
        <v>631</v>
      </c>
      <c r="C4558" s="1">
        <v>2.54</v>
      </c>
      <c r="D4558" s="1">
        <v>1</v>
      </c>
      <c r="E4558" s="2">
        <v>2.3636363636363602</v>
      </c>
      <c r="F4558" s="1">
        <v>11</v>
      </c>
      <c r="G4558" s="1">
        <v>66.08</v>
      </c>
      <c r="H4558" s="1" t="s">
        <v>8</v>
      </c>
      <c r="I4558" t="str">
        <f t="shared" si="71"/>
        <v>TINY CRYSTAL BRACELET BLUE [90037C]</v>
      </c>
    </row>
    <row r="4559" spans="1:9" x14ac:dyDescent="0.3">
      <c r="A4559" s="1" t="s">
        <v>630</v>
      </c>
      <c r="B4559" t="s">
        <v>629</v>
      </c>
      <c r="C4559" s="1">
        <v>2.57</v>
      </c>
      <c r="D4559" s="1">
        <v>2.5</v>
      </c>
      <c r="E4559" s="1">
        <v>3.5</v>
      </c>
      <c r="F4559" s="1">
        <v>4</v>
      </c>
      <c r="G4559" s="1">
        <v>35.869999999999997</v>
      </c>
      <c r="H4559" s="1" t="s">
        <v>8</v>
      </c>
      <c r="I4559" t="str">
        <f t="shared" si="71"/>
        <v>TINY CRYSTALS BRACELET BLACK [90037D]</v>
      </c>
    </row>
    <row r="4560" spans="1:9" x14ac:dyDescent="0.3">
      <c r="A4560" s="1" t="s">
        <v>628</v>
      </c>
      <c r="B4560" t="s">
        <v>627</v>
      </c>
      <c r="C4560" s="1">
        <v>3.75</v>
      </c>
      <c r="D4560" s="1">
        <v>1.5</v>
      </c>
      <c r="E4560" s="1">
        <v>2.25</v>
      </c>
      <c r="F4560" s="1">
        <v>16</v>
      </c>
      <c r="G4560" s="1">
        <v>135.80000000000001</v>
      </c>
      <c r="H4560" s="1" t="s">
        <v>8</v>
      </c>
      <c r="I4560" t="str">
        <f t="shared" si="71"/>
        <v>GLASS AND PAINTED BEADS BRACELET TO [90038A]</v>
      </c>
    </row>
    <row r="4561" spans="1:9" x14ac:dyDescent="0.3">
      <c r="A4561" s="1" t="s">
        <v>626</v>
      </c>
      <c r="B4561" t="s">
        <v>625</v>
      </c>
      <c r="C4561" s="1">
        <v>3.75</v>
      </c>
      <c r="D4561" s="1">
        <v>1.5</v>
      </c>
      <c r="E4561" s="1">
        <v>2.1</v>
      </c>
      <c r="F4561" s="1">
        <v>10</v>
      </c>
      <c r="G4561" s="1">
        <v>79.19</v>
      </c>
      <c r="H4561" s="1" t="s">
        <v>8</v>
      </c>
      <c r="I4561" t="str">
        <f t="shared" si="71"/>
        <v>GLASS AND PAINTED BEADS BRACELET OL [90038B]</v>
      </c>
    </row>
    <row r="4562" spans="1:9" x14ac:dyDescent="0.3">
      <c r="A4562" s="1" t="s">
        <v>624</v>
      </c>
      <c r="B4562" t="s">
        <v>623</v>
      </c>
      <c r="C4562" s="1">
        <v>3.75</v>
      </c>
      <c r="D4562" s="1">
        <v>1</v>
      </c>
      <c r="E4562" s="2">
        <v>2.1111111111111098</v>
      </c>
      <c r="F4562" s="1">
        <v>9</v>
      </c>
      <c r="G4562" s="1">
        <v>71.459999999999994</v>
      </c>
      <c r="H4562" s="1" t="s">
        <v>8</v>
      </c>
      <c r="I4562" t="str">
        <f t="shared" si="71"/>
        <v>GLASS AND BEADS BRACELET IVORY [90038C]</v>
      </c>
    </row>
    <row r="4563" spans="1:9" x14ac:dyDescent="0.3">
      <c r="A4563" s="1" t="s">
        <v>622</v>
      </c>
      <c r="B4563" t="s">
        <v>621</v>
      </c>
      <c r="C4563" s="1">
        <v>3.75</v>
      </c>
      <c r="D4563" s="1">
        <v>1</v>
      </c>
      <c r="E4563" s="1">
        <v>2</v>
      </c>
      <c r="F4563" s="1">
        <v>5</v>
      </c>
      <c r="G4563" s="1">
        <v>37.61</v>
      </c>
      <c r="H4563" s="1" t="s">
        <v>8</v>
      </c>
      <c r="I4563" t="str">
        <f t="shared" si="71"/>
        <v>FIRE POLISHED GLASS BRACELET RED [90039A]</v>
      </c>
    </row>
    <row r="4564" spans="1:9" x14ac:dyDescent="0.3">
      <c r="A4564" s="1" t="s">
        <v>620</v>
      </c>
      <c r="B4564" t="s">
        <v>619</v>
      </c>
      <c r="C4564" s="1">
        <v>3.76</v>
      </c>
      <c r="D4564" s="1">
        <v>1</v>
      </c>
      <c r="E4564" s="1">
        <v>2.1</v>
      </c>
      <c r="F4564" s="1">
        <v>10</v>
      </c>
      <c r="G4564" s="1">
        <v>78.989999999999995</v>
      </c>
      <c r="H4564" s="1" t="s">
        <v>8</v>
      </c>
      <c r="I4564" t="str">
        <f t="shared" si="71"/>
        <v>FIRE POLISHED GLASS BRACELET MONTAN [90039B]</v>
      </c>
    </row>
    <row r="4565" spans="1:9" x14ac:dyDescent="0.3">
      <c r="A4565" s="1" t="s">
        <v>618</v>
      </c>
      <c r="B4565" t="s">
        <v>617</v>
      </c>
      <c r="C4565" s="1">
        <v>3.75</v>
      </c>
      <c r="D4565" s="1">
        <v>1</v>
      </c>
      <c r="E4565" s="2">
        <v>2.55555555555555</v>
      </c>
      <c r="F4565" s="1">
        <v>9</v>
      </c>
      <c r="G4565" s="1">
        <v>86.65</v>
      </c>
      <c r="H4565" s="1" t="s">
        <v>8</v>
      </c>
      <c r="I4565" t="str">
        <f t="shared" si="71"/>
        <v>FIRE POLISHED GLASS BRACELET BLACK [90039C]</v>
      </c>
    </row>
    <row r="4566" spans="1:9" x14ac:dyDescent="0.3">
      <c r="A4566" s="1" t="s">
        <v>616</v>
      </c>
      <c r="B4566" t="s">
        <v>615</v>
      </c>
      <c r="C4566" s="1">
        <v>3.75</v>
      </c>
      <c r="D4566" s="1">
        <v>1</v>
      </c>
      <c r="E4566" s="1">
        <v>2.6875</v>
      </c>
      <c r="F4566" s="1">
        <v>16</v>
      </c>
      <c r="G4566" s="1">
        <v>162.66</v>
      </c>
      <c r="H4566" s="1" t="s">
        <v>8</v>
      </c>
      <c r="I4566" t="str">
        <f t="shared" si="71"/>
        <v>FIRE POLISHED GLASS BRACELET GREEN [90039D]</v>
      </c>
    </row>
    <row r="4567" spans="1:9" x14ac:dyDescent="0.3">
      <c r="A4567" s="1" t="s">
        <v>614</v>
      </c>
      <c r="B4567" t="s">
        <v>613</v>
      </c>
      <c r="C4567" s="1">
        <v>4.08</v>
      </c>
      <c r="D4567" s="1">
        <v>3</v>
      </c>
      <c r="E4567" s="2">
        <v>3.7857142857142798</v>
      </c>
      <c r="F4567" s="1">
        <v>14</v>
      </c>
      <c r="G4567" s="1">
        <v>207.05</v>
      </c>
      <c r="H4567" s="1" t="s">
        <v>8</v>
      </c>
      <c r="I4567" t="str">
        <f t="shared" si="71"/>
        <v>MURANO STYLE GLASS BRACELET RED [90040A]</v>
      </c>
    </row>
    <row r="4568" spans="1:9" x14ac:dyDescent="0.3">
      <c r="A4568" s="1" t="s">
        <v>612</v>
      </c>
      <c r="B4568" t="s">
        <v>611</v>
      </c>
      <c r="C4568" s="1">
        <v>3.55</v>
      </c>
      <c r="D4568" s="1">
        <v>5</v>
      </c>
      <c r="E4568" s="2">
        <v>5.4615384615384599</v>
      </c>
      <c r="F4568" s="1">
        <v>13</v>
      </c>
      <c r="G4568" s="1">
        <v>255.97</v>
      </c>
      <c r="H4568" s="1" t="s">
        <v>8</v>
      </c>
      <c r="I4568" t="str">
        <f t="shared" si="71"/>
        <v>MURANO STYLE GLASS BRACELET BLACK [90040B]</v>
      </c>
    </row>
    <row r="4569" spans="1:9" x14ac:dyDescent="0.3">
      <c r="A4569" s="1" t="s">
        <v>610</v>
      </c>
      <c r="B4569" t="s">
        <v>609</v>
      </c>
      <c r="C4569" s="1">
        <v>3.56</v>
      </c>
      <c r="D4569" s="1">
        <v>3</v>
      </c>
      <c r="E4569" s="2">
        <v>3.4166666666666599</v>
      </c>
      <c r="F4569" s="1">
        <v>12</v>
      </c>
      <c r="G4569" s="1">
        <v>146.75</v>
      </c>
      <c r="H4569" s="1" t="s">
        <v>8</v>
      </c>
      <c r="I4569" t="str">
        <f t="shared" si="71"/>
        <v>MURANO STYLE GLASS BRACELET GOLD [90040C]</v>
      </c>
    </row>
    <row r="4570" spans="1:9" x14ac:dyDescent="0.3">
      <c r="A4570" s="1" t="s">
        <v>608</v>
      </c>
      <c r="B4570" t="s">
        <v>607</v>
      </c>
      <c r="C4570" s="2">
        <v>3.6799999999999899</v>
      </c>
      <c r="D4570" s="1">
        <v>3</v>
      </c>
      <c r="E4570" s="1">
        <v>5.125</v>
      </c>
      <c r="F4570" s="1">
        <v>8</v>
      </c>
      <c r="G4570" s="1">
        <v>148.87</v>
      </c>
      <c r="H4570" s="1" t="s">
        <v>8</v>
      </c>
      <c r="I4570" t="str">
        <f t="shared" si="71"/>
        <v>MURANO STYLE GLASS BRACELET PINK [90040D]</v>
      </c>
    </row>
    <row r="4571" spans="1:9" x14ac:dyDescent="0.3">
      <c r="A4571" s="1">
        <v>90041</v>
      </c>
      <c r="B4571" t="s">
        <v>606</v>
      </c>
      <c r="C4571" s="1">
        <v>3.73</v>
      </c>
      <c r="D4571" s="1">
        <v>1</v>
      </c>
      <c r="E4571" s="2">
        <v>1.1666666666666601</v>
      </c>
      <c r="F4571" s="1">
        <v>6</v>
      </c>
      <c r="G4571" s="1">
        <v>25.67</v>
      </c>
      <c r="H4571" s="1" t="s">
        <v>8</v>
      </c>
      <c r="I4571" t="str">
        <f t="shared" si="71"/>
        <v>PEARL AND CHERRY QUARTZ BRACLET [90041]</v>
      </c>
    </row>
    <row r="4572" spans="1:9" x14ac:dyDescent="0.3">
      <c r="A4572" s="1" t="s">
        <v>605</v>
      </c>
      <c r="B4572" t="s">
        <v>604</v>
      </c>
      <c r="C4572" s="1">
        <v>2.5449999999999999</v>
      </c>
      <c r="D4572" s="1">
        <v>3.5</v>
      </c>
      <c r="E4572" s="1">
        <v>5.25</v>
      </c>
      <c r="F4572" s="1">
        <v>12</v>
      </c>
      <c r="G4572" s="1">
        <v>160.79</v>
      </c>
      <c r="H4572" s="1" t="s">
        <v>8</v>
      </c>
      <c r="I4572" t="str">
        <f t="shared" si="71"/>
        <v>FRESHWATER PEARL BRACELET GOLD [90042A]</v>
      </c>
    </row>
    <row r="4573" spans="1:9" x14ac:dyDescent="0.3">
      <c r="A4573" s="1" t="s">
        <v>603</v>
      </c>
      <c r="B4573" t="s">
        <v>602</v>
      </c>
      <c r="C4573" s="1">
        <v>2.5499999999999998</v>
      </c>
      <c r="D4573" s="1">
        <v>3</v>
      </c>
      <c r="E4573" s="1">
        <v>3.4</v>
      </c>
      <c r="F4573" s="1">
        <v>5</v>
      </c>
      <c r="G4573" s="1">
        <v>43.35</v>
      </c>
      <c r="H4573" s="1" t="s">
        <v>8</v>
      </c>
      <c r="I4573" t="str">
        <f t="shared" si="71"/>
        <v>FRESHWATER PEARL BRACELET PINK [90042B]</v>
      </c>
    </row>
    <row r="4574" spans="1:9" x14ac:dyDescent="0.3">
      <c r="A4574" s="1" t="s">
        <v>601</v>
      </c>
      <c r="B4574" t="s">
        <v>600</v>
      </c>
      <c r="C4574" s="1">
        <v>2.5499999999999998</v>
      </c>
      <c r="D4574" s="1">
        <v>6</v>
      </c>
      <c r="E4574" s="2">
        <v>8.4285714285714199</v>
      </c>
      <c r="F4574" s="1">
        <v>7</v>
      </c>
      <c r="G4574" s="2">
        <v>150.20999999999901</v>
      </c>
      <c r="H4574" s="1" t="s">
        <v>8</v>
      </c>
      <c r="I4574" t="str">
        <f t="shared" si="71"/>
        <v>FRESHWATER PEARL BRACELET IVORY [90042C]</v>
      </c>
    </row>
    <row r="4575" spans="1:9" x14ac:dyDescent="0.3">
      <c r="A4575" s="1">
        <v>90043</v>
      </c>
      <c r="B4575" t="s">
        <v>599</v>
      </c>
      <c r="C4575" s="1">
        <v>4.95</v>
      </c>
      <c r="D4575" s="1">
        <v>2</v>
      </c>
      <c r="E4575" s="1">
        <v>2</v>
      </c>
      <c r="F4575" s="1">
        <v>5</v>
      </c>
      <c r="G4575" s="1">
        <v>54.51</v>
      </c>
      <c r="H4575" s="1" t="s">
        <v>8</v>
      </c>
      <c r="I4575" t="str">
        <f t="shared" si="71"/>
        <v>COPPER AND BRASS BAG CHARM [90043]</v>
      </c>
    </row>
    <row r="4576" spans="1:9" x14ac:dyDescent="0.3">
      <c r="A4576" s="1">
        <v>90046</v>
      </c>
      <c r="B4576" t="s">
        <v>598</v>
      </c>
      <c r="C4576" s="1">
        <v>4.95</v>
      </c>
      <c r="D4576" s="1">
        <v>3</v>
      </c>
      <c r="E4576" s="1">
        <v>2.6</v>
      </c>
      <c r="F4576" s="1">
        <v>5</v>
      </c>
      <c r="G4576" s="1">
        <v>64.349999999999994</v>
      </c>
      <c r="H4576" s="1" t="s">
        <v>8</v>
      </c>
      <c r="I4576" t="str">
        <f t="shared" si="71"/>
        <v>WHITE WITH METAL BAG CHARM [90046]</v>
      </c>
    </row>
    <row r="4577" spans="1:9" x14ac:dyDescent="0.3">
      <c r="A4577" s="1">
        <v>90048</v>
      </c>
      <c r="B4577" t="s">
        <v>597</v>
      </c>
      <c r="C4577" s="1">
        <v>4.95</v>
      </c>
      <c r="D4577" s="1">
        <v>2.5</v>
      </c>
      <c r="E4577" s="2">
        <v>5.1666666666666599</v>
      </c>
      <c r="F4577" s="1">
        <v>6</v>
      </c>
      <c r="G4577" s="1">
        <v>158.88999999999999</v>
      </c>
      <c r="H4577" s="1" t="s">
        <v>8</v>
      </c>
      <c r="I4577" t="str">
        <f t="shared" si="71"/>
        <v>GREEN WITH METAL BAG CHARM [90048]</v>
      </c>
    </row>
    <row r="4578" spans="1:9" x14ac:dyDescent="0.3">
      <c r="A4578" s="1">
        <v>90049</v>
      </c>
      <c r="B4578" t="s">
        <v>596</v>
      </c>
      <c r="C4578" s="1">
        <v>9.9600000000000009</v>
      </c>
      <c r="D4578" s="1">
        <v>1</v>
      </c>
      <c r="E4578" s="1">
        <v>4</v>
      </c>
      <c r="F4578" s="1">
        <v>5</v>
      </c>
      <c r="G4578" s="1">
        <v>114.24</v>
      </c>
      <c r="H4578" s="1" t="s">
        <v>8</v>
      </c>
      <c r="I4578" t="str">
        <f t="shared" si="71"/>
        <v>IVORY GOLD METAL BAG CHARM [90049]</v>
      </c>
    </row>
    <row r="4579" spans="1:9" x14ac:dyDescent="0.3">
      <c r="A4579" s="1">
        <v>90050</v>
      </c>
      <c r="B4579" t="s">
        <v>595</v>
      </c>
      <c r="C4579" s="1">
        <v>7.01</v>
      </c>
      <c r="D4579" s="1">
        <v>1</v>
      </c>
      <c r="E4579" s="2">
        <v>1.6666666666666601</v>
      </c>
      <c r="F4579" s="1">
        <v>6</v>
      </c>
      <c r="G4579" s="1">
        <v>70.16</v>
      </c>
      <c r="H4579" s="1" t="s">
        <v>8</v>
      </c>
      <c r="I4579" t="str">
        <f t="shared" si="71"/>
        <v>CRACKED GLAZE NECKLACE IVORY [90050]</v>
      </c>
    </row>
    <row r="4580" spans="1:9" x14ac:dyDescent="0.3">
      <c r="A4580" s="1">
        <v>90051</v>
      </c>
      <c r="B4580" t="s">
        <v>594</v>
      </c>
      <c r="C4580" s="1">
        <v>7.01</v>
      </c>
      <c r="D4580" s="1">
        <v>1.5</v>
      </c>
      <c r="E4580" s="1">
        <v>1.875</v>
      </c>
      <c r="F4580" s="1">
        <v>8</v>
      </c>
      <c r="G4580" s="1">
        <v>105.72</v>
      </c>
      <c r="H4580" s="1" t="s">
        <v>8</v>
      </c>
      <c r="I4580" t="str">
        <f t="shared" si="71"/>
        <v>CRACKED GLAZE NECKLACE RED [90051]</v>
      </c>
    </row>
    <row r="4581" spans="1:9" x14ac:dyDescent="0.3">
      <c r="A4581" s="1">
        <v>90052</v>
      </c>
      <c r="B4581" t="s">
        <v>593</v>
      </c>
      <c r="C4581" s="1">
        <v>7.07</v>
      </c>
      <c r="D4581" s="1">
        <v>1</v>
      </c>
      <c r="E4581" s="1">
        <v>1.4</v>
      </c>
      <c r="F4581" s="1">
        <v>5</v>
      </c>
      <c r="G4581" s="1">
        <v>49.58</v>
      </c>
      <c r="H4581" s="1" t="s">
        <v>8</v>
      </c>
      <c r="I4581" t="str">
        <f t="shared" si="71"/>
        <v>CRACKED GLAZE NECKLACE BROWN [90052]</v>
      </c>
    </row>
    <row r="4582" spans="1:9" x14ac:dyDescent="0.3">
      <c r="A4582" s="1">
        <v>90053</v>
      </c>
      <c r="B4582" t="s">
        <v>592</v>
      </c>
      <c r="C4582" s="1">
        <v>2.54</v>
      </c>
      <c r="D4582" s="1">
        <v>1</v>
      </c>
      <c r="E4582" s="2">
        <v>1.1111111111111101</v>
      </c>
      <c r="F4582" s="1">
        <v>9</v>
      </c>
      <c r="G4582" s="1">
        <v>25.23</v>
      </c>
      <c r="H4582" s="1" t="s">
        <v>8</v>
      </c>
      <c r="I4582" t="str">
        <f t="shared" si="71"/>
        <v>CRACKED GLAZE EARRINGS IVORY [90053]</v>
      </c>
    </row>
    <row r="4583" spans="1:9" x14ac:dyDescent="0.3">
      <c r="A4583" s="1">
        <v>90054</v>
      </c>
      <c r="B4583" t="s">
        <v>591</v>
      </c>
      <c r="C4583" s="1">
        <v>2.5449999999999999</v>
      </c>
      <c r="D4583" s="1">
        <v>1</v>
      </c>
      <c r="E4583" s="2">
        <v>1.4166666666666601</v>
      </c>
      <c r="F4583" s="1">
        <v>12</v>
      </c>
      <c r="G4583" s="2">
        <v>43.019999999999897</v>
      </c>
      <c r="H4583" s="1" t="s">
        <v>8</v>
      </c>
      <c r="I4583" t="str">
        <f t="shared" si="71"/>
        <v>CRACKED GLAZE EARRINGS RED [90054]</v>
      </c>
    </row>
    <row r="4584" spans="1:9" x14ac:dyDescent="0.3">
      <c r="A4584" s="1">
        <v>90055</v>
      </c>
      <c r="B4584" t="s">
        <v>590</v>
      </c>
      <c r="C4584" s="1">
        <v>2.54</v>
      </c>
      <c r="D4584" s="1">
        <v>1</v>
      </c>
      <c r="E4584" s="2">
        <v>1.1111111111111101</v>
      </c>
      <c r="F4584" s="1">
        <v>9</v>
      </c>
      <c r="G4584" s="1">
        <v>25.28</v>
      </c>
      <c r="H4584" s="1" t="s">
        <v>8</v>
      </c>
      <c r="I4584" t="str">
        <f t="shared" si="71"/>
        <v>CRACKED GLAZE EARRINGS BROWN [90055]</v>
      </c>
    </row>
    <row r="4585" spans="1:9" x14ac:dyDescent="0.3">
      <c r="A4585" s="1">
        <v>90056</v>
      </c>
      <c r="B4585" t="s">
        <v>589</v>
      </c>
      <c r="C4585" s="1">
        <v>11.05</v>
      </c>
      <c r="D4585" s="1">
        <v>2</v>
      </c>
      <c r="E4585" s="2">
        <v>2.1111111111111098</v>
      </c>
      <c r="F4585" s="1">
        <v>9</v>
      </c>
      <c r="G4585" s="1">
        <v>207.94</v>
      </c>
      <c r="H4585" s="1" t="s">
        <v>8</v>
      </c>
      <c r="I4585" t="str">
        <f t="shared" si="71"/>
        <v>CHUNKY CRACKED GLAZE NECKLACE IVORY [90056]</v>
      </c>
    </row>
    <row r="4586" spans="1:9" x14ac:dyDescent="0.3">
      <c r="A4586" s="1">
        <v>90057</v>
      </c>
      <c r="B4586" t="s">
        <v>588</v>
      </c>
      <c r="C4586" s="1">
        <v>1.25</v>
      </c>
      <c r="D4586" s="1">
        <v>193.5</v>
      </c>
      <c r="E4586" s="1">
        <v>207.375</v>
      </c>
      <c r="F4586" s="1">
        <v>8</v>
      </c>
      <c r="G4586" s="2">
        <v>2183.9699999999998</v>
      </c>
      <c r="H4586" s="1" t="s">
        <v>10</v>
      </c>
      <c r="I4586" t="str">
        <f t="shared" si="71"/>
        <v>DIAMANTE RING ASSORTED IN BOX. [90057]</v>
      </c>
    </row>
    <row r="4587" spans="1:9" x14ac:dyDescent="0.3">
      <c r="A4587" s="1" t="s">
        <v>587</v>
      </c>
      <c r="B4587" t="s">
        <v>586</v>
      </c>
      <c r="C4587" s="1">
        <v>0.38</v>
      </c>
      <c r="D4587" s="1">
        <v>36</v>
      </c>
      <c r="E4587" s="1">
        <v>64</v>
      </c>
      <c r="F4587" s="1">
        <v>9</v>
      </c>
      <c r="G4587" s="1">
        <v>218.88</v>
      </c>
      <c r="H4587" s="1" t="s">
        <v>9</v>
      </c>
      <c r="I4587" t="str">
        <f t="shared" si="71"/>
        <v>CRYSTAL STUD EARRINGS CLEAR DISPLAY [90058A]</v>
      </c>
    </row>
    <row r="4588" spans="1:9" x14ac:dyDescent="0.3">
      <c r="A4588" s="1" t="s">
        <v>585</v>
      </c>
      <c r="B4588" t="s">
        <v>584</v>
      </c>
      <c r="C4588" s="1">
        <v>0.38</v>
      </c>
      <c r="D4588" s="1">
        <v>54</v>
      </c>
      <c r="E4588" s="2">
        <v>84.1666666666666</v>
      </c>
      <c r="F4588" s="1">
        <v>12</v>
      </c>
      <c r="G4588" s="1">
        <v>432.76</v>
      </c>
      <c r="H4588" s="1" t="s">
        <v>9</v>
      </c>
      <c r="I4588" t="str">
        <f t="shared" si="71"/>
        <v>CRYSTAL STUD EARRINGS ASSORTED COL [90058B]</v>
      </c>
    </row>
    <row r="4589" spans="1:9" x14ac:dyDescent="0.3">
      <c r="A4589" s="1" t="s">
        <v>583</v>
      </c>
      <c r="B4589" t="s">
        <v>582</v>
      </c>
      <c r="C4589" s="1">
        <v>1.67</v>
      </c>
      <c r="D4589" s="1">
        <v>4</v>
      </c>
      <c r="E4589" s="2">
        <v>4.9473684210526301</v>
      </c>
      <c r="F4589" s="1">
        <v>19</v>
      </c>
      <c r="G4589" s="1">
        <v>156.97999999999999</v>
      </c>
      <c r="H4589" s="1" t="s">
        <v>8</v>
      </c>
      <c r="I4589" t="str">
        <f t="shared" si="71"/>
        <v>DIAMANTE HAIR GRIP PACK/2 CRYSTAL [90059A]</v>
      </c>
    </row>
    <row r="4590" spans="1:9" x14ac:dyDescent="0.3">
      <c r="A4590" s="1" t="s">
        <v>581</v>
      </c>
      <c r="B4590" t="s">
        <v>580</v>
      </c>
      <c r="C4590" s="1">
        <v>1.67</v>
      </c>
      <c r="D4590" s="1">
        <v>2</v>
      </c>
      <c r="E4590" s="2">
        <v>2.4545454545454501</v>
      </c>
      <c r="F4590" s="1">
        <v>11</v>
      </c>
      <c r="G4590" s="1">
        <v>44.87</v>
      </c>
      <c r="H4590" s="1" t="s">
        <v>8</v>
      </c>
      <c r="I4590" t="str">
        <f t="shared" si="71"/>
        <v>DIAMANTE HAIR GRIP PACK/2 BLACK DIA [90059B]</v>
      </c>
    </row>
    <row r="4591" spans="1:9" x14ac:dyDescent="0.3">
      <c r="A4591" s="1" t="s">
        <v>579</v>
      </c>
      <c r="B4591" t="s">
        <v>578</v>
      </c>
      <c r="C4591" s="1">
        <v>1.65</v>
      </c>
      <c r="D4591" s="1">
        <v>2</v>
      </c>
      <c r="E4591" s="2">
        <v>3.1538461538461502</v>
      </c>
      <c r="F4591" s="1">
        <v>13</v>
      </c>
      <c r="G4591" s="2">
        <v>68.179999999999893</v>
      </c>
      <c r="H4591" s="1" t="s">
        <v>8</v>
      </c>
      <c r="I4591" t="str">
        <f t="shared" si="71"/>
        <v>DIAMANTE HAIR GRIP PACK/2 MONTANA [90059C]</v>
      </c>
    </row>
    <row r="4592" spans="1:9" x14ac:dyDescent="0.3">
      <c r="A4592" s="1" t="s">
        <v>577</v>
      </c>
      <c r="B4592" t="s">
        <v>576</v>
      </c>
      <c r="C4592" s="1">
        <v>1.66</v>
      </c>
      <c r="D4592" s="1">
        <v>2</v>
      </c>
      <c r="E4592" s="2">
        <v>3.0476190476190399</v>
      </c>
      <c r="F4592" s="1">
        <v>21</v>
      </c>
      <c r="G4592" s="1">
        <v>106.74</v>
      </c>
      <c r="H4592" s="1" t="s">
        <v>8</v>
      </c>
      <c r="I4592" t="str">
        <f t="shared" si="71"/>
        <v>DIAMANTE HAIR GRIP PACK/2 PERIDOT [90059D]</v>
      </c>
    </row>
    <row r="4593" spans="1:9" x14ac:dyDescent="0.3">
      <c r="A4593" s="1" t="s">
        <v>575</v>
      </c>
      <c r="B4593" t="s">
        <v>574</v>
      </c>
      <c r="C4593" s="1">
        <v>1.665</v>
      </c>
      <c r="D4593" s="1">
        <v>2.5</v>
      </c>
      <c r="E4593" s="1">
        <v>3.3125</v>
      </c>
      <c r="F4593" s="1">
        <v>16</v>
      </c>
      <c r="G4593" s="1">
        <v>88.31</v>
      </c>
      <c r="H4593" s="1" t="s">
        <v>8</v>
      </c>
      <c r="I4593" t="str">
        <f t="shared" si="71"/>
        <v>DIAMANTE HAIR GRIP PACK/2 RUBY [90059E]</v>
      </c>
    </row>
    <row r="4594" spans="1:9" x14ac:dyDescent="0.3">
      <c r="A4594" s="1" t="s">
        <v>573</v>
      </c>
      <c r="B4594" t="s">
        <v>572</v>
      </c>
      <c r="C4594" s="1">
        <v>1.66</v>
      </c>
      <c r="D4594" s="1">
        <v>2</v>
      </c>
      <c r="E4594" s="2">
        <v>2.6666666666666599</v>
      </c>
      <c r="F4594" s="1">
        <v>18</v>
      </c>
      <c r="G4594" s="1">
        <v>79.87</v>
      </c>
      <c r="H4594" s="1" t="s">
        <v>8</v>
      </c>
      <c r="I4594" t="str">
        <f t="shared" si="71"/>
        <v>DIAMANTE HAIR GRIP PACK/2 LT ROSE [90059F]</v>
      </c>
    </row>
    <row r="4595" spans="1:9" x14ac:dyDescent="0.3">
      <c r="A4595" s="1" t="s">
        <v>571</v>
      </c>
      <c r="B4595" t="s">
        <v>570</v>
      </c>
      <c r="C4595" s="1">
        <v>5.95</v>
      </c>
      <c r="D4595" s="1">
        <v>1.5</v>
      </c>
      <c r="E4595" s="1">
        <v>1.5</v>
      </c>
      <c r="F4595" s="1">
        <v>4</v>
      </c>
      <c r="G4595" s="1">
        <v>35.700000000000003</v>
      </c>
      <c r="H4595" s="1" t="s">
        <v>8</v>
      </c>
      <c r="I4595" t="str">
        <f t="shared" si="71"/>
        <v>FIRE POLISHED GLASS NECKL GOLD [90060B]</v>
      </c>
    </row>
    <row r="4596" spans="1:9" x14ac:dyDescent="0.3">
      <c r="A4596" s="1" t="s">
        <v>569</v>
      </c>
      <c r="B4596" t="s">
        <v>568</v>
      </c>
      <c r="C4596" s="1">
        <v>5.95</v>
      </c>
      <c r="D4596" s="1">
        <v>1</v>
      </c>
      <c r="E4596" s="2">
        <v>2.3333333333333299</v>
      </c>
      <c r="F4596" s="1">
        <v>3</v>
      </c>
      <c r="G4596" s="1">
        <v>41.65</v>
      </c>
      <c r="H4596" s="1" t="s">
        <v>8</v>
      </c>
      <c r="I4596" t="str">
        <f t="shared" si="71"/>
        <v>FIRE POLISHED GLASS NECKL SILVER [90060C]</v>
      </c>
    </row>
    <row r="4597" spans="1:9" x14ac:dyDescent="0.3">
      <c r="A4597" s="1" t="s">
        <v>567</v>
      </c>
      <c r="B4597" t="s">
        <v>566</v>
      </c>
      <c r="C4597" s="1">
        <v>5.95</v>
      </c>
      <c r="D4597" s="1">
        <v>1</v>
      </c>
      <c r="E4597" s="1">
        <v>2</v>
      </c>
      <c r="F4597" s="1">
        <v>6</v>
      </c>
      <c r="G4597" s="1">
        <v>71.400000000000006</v>
      </c>
      <c r="H4597" s="1" t="s">
        <v>8</v>
      </c>
      <c r="I4597" t="str">
        <f t="shared" si="71"/>
        <v>FIRE POLISHED GLASS NECKL BRONZE [90060D]</v>
      </c>
    </row>
    <row r="4598" spans="1:9" x14ac:dyDescent="0.3">
      <c r="A4598" s="1" t="s">
        <v>565</v>
      </c>
      <c r="B4598" t="s">
        <v>564</v>
      </c>
      <c r="C4598" s="1">
        <v>5.95</v>
      </c>
      <c r="D4598" s="1">
        <v>1</v>
      </c>
      <c r="E4598" s="2">
        <v>2.1538461538461502</v>
      </c>
      <c r="F4598" s="1">
        <v>13</v>
      </c>
      <c r="G4598" s="2">
        <v>166.14</v>
      </c>
      <c r="H4598" s="1" t="s">
        <v>8</v>
      </c>
      <c r="I4598" t="str">
        <f t="shared" si="71"/>
        <v>FIRE POLISHED GLASS NECKL GREEN [90060F]</v>
      </c>
    </row>
    <row r="4599" spans="1:9" x14ac:dyDescent="0.3">
      <c r="A4599" s="1">
        <v>90062</v>
      </c>
      <c r="B4599" t="s">
        <v>563</v>
      </c>
      <c r="C4599" s="1">
        <v>12.75</v>
      </c>
      <c r="D4599" s="1">
        <v>11</v>
      </c>
      <c r="E4599" s="1">
        <v>12.75</v>
      </c>
      <c r="F4599" s="1">
        <v>16</v>
      </c>
      <c r="G4599" s="1">
        <v>2591.42</v>
      </c>
      <c r="H4599" s="1" t="s">
        <v>9</v>
      </c>
      <c r="I4599" t="str">
        <f t="shared" si="71"/>
        <v>CARNIVAL BRACELET [90062]</v>
      </c>
    </row>
    <row r="4600" spans="1:9" x14ac:dyDescent="0.3">
      <c r="A4600" s="1" t="s">
        <v>562</v>
      </c>
      <c r="B4600" t="s">
        <v>561</v>
      </c>
      <c r="C4600" s="1">
        <v>8.5</v>
      </c>
      <c r="D4600" s="1">
        <v>2</v>
      </c>
      <c r="E4600" s="1">
        <v>2.1</v>
      </c>
      <c r="F4600" s="1">
        <v>10</v>
      </c>
      <c r="G4600" s="1">
        <v>178.48</v>
      </c>
      <c r="H4600" s="1" t="s">
        <v>8</v>
      </c>
      <c r="I4600" t="str">
        <f t="shared" si="71"/>
        <v>WHITE VINT ART DECO CRYSTAL NECKLAC [90063A]</v>
      </c>
    </row>
    <row r="4601" spans="1:9" x14ac:dyDescent="0.3">
      <c r="A4601" s="1" t="s">
        <v>560</v>
      </c>
      <c r="B4601" t="s">
        <v>559</v>
      </c>
      <c r="C4601" s="1">
        <v>8.5</v>
      </c>
      <c r="D4601" s="1">
        <v>2</v>
      </c>
      <c r="E4601" s="2">
        <v>2.2222222222222201</v>
      </c>
      <c r="F4601" s="1">
        <v>9</v>
      </c>
      <c r="G4601" s="1">
        <v>170.17</v>
      </c>
      <c r="H4601" s="1" t="s">
        <v>8</v>
      </c>
      <c r="I4601" t="str">
        <f t="shared" si="71"/>
        <v>BLACK VINT ART DEC CRYSTAL NECKLACE [90063B]</v>
      </c>
    </row>
    <row r="4602" spans="1:9" x14ac:dyDescent="0.3">
      <c r="A4602" s="1" t="s">
        <v>558</v>
      </c>
      <c r="B4602" t="s">
        <v>557</v>
      </c>
      <c r="C4602" s="1">
        <v>4.1500000000000004</v>
      </c>
      <c r="D4602" s="1">
        <v>2</v>
      </c>
      <c r="E4602" s="1">
        <v>2.5</v>
      </c>
      <c r="F4602" s="1">
        <v>8</v>
      </c>
      <c r="G4602" s="1">
        <v>79.14</v>
      </c>
      <c r="H4602" s="1" t="s">
        <v>8</v>
      </c>
      <c r="I4602" t="str">
        <f t="shared" si="71"/>
        <v>WHITE VINTAGE CRYSTAL EARRINGS [90064A]</v>
      </c>
    </row>
    <row r="4603" spans="1:9" x14ac:dyDescent="0.3">
      <c r="A4603" s="1" t="s">
        <v>556</v>
      </c>
      <c r="B4603" t="s">
        <v>555</v>
      </c>
      <c r="C4603" s="1">
        <v>3.75</v>
      </c>
      <c r="D4603" s="1">
        <v>1.5</v>
      </c>
      <c r="E4603" s="1">
        <v>2.1</v>
      </c>
      <c r="F4603" s="1">
        <v>10</v>
      </c>
      <c r="G4603" s="1">
        <v>78.75</v>
      </c>
      <c r="H4603" s="1" t="s">
        <v>8</v>
      </c>
      <c r="I4603" t="str">
        <f t="shared" si="71"/>
        <v>BLACK VINTAGE  CRYSTAL EARRINGS [90064B]</v>
      </c>
    </row>
    <row r="4604" spans="1:9" x14ac:dyDescent="0.3">
      <c r="A4604" s="1" t="s">
        <v>554</v>
      </c>
      <c r="B4604" t="s">
        <v>553</v>
      </c>
      <c r="C4604" s="1">
        <v>6.75</v>
      </c>
      <c r="D4604" s="1">
        <v>2</v>
      </c>
      <c r="E4604" s="1">
        <v>3.25</v>
      </c>
      <c r="F4604" s="1">
        <v>8</v>
      </c>
      <c r="G4604" s="2">
        <v>180.45999999999901</v>
      </c>
      <c r="H4604" s="1" t="s">
        <v>8</v>
      </c>
      <c r="I4604" t="str">
        <f t="shared" si="71"/>
        <v>WHITE VINTAGE CRYSTAL BRACELET [90065A]</v>
      </c>
    </row>
    <row r="4605" spans="1:9" x14ac:dyDescent="0.3">
      <c r="A4605" s="1" t="s">
        <v>552</v>
      </c>
      <c r="B4605" t="s">
        <v>551</v>
      </c>
      <c r="C4605" s="1">
        <v>6.75</v>
      </c>
      <c r="D4605" s="1">
        <v>1</v>
      </c>
      <c r="E4605" s="2">
        <v>2.4444444444444402</v>
      </c>
      <c r="F4605" s="1">
        <v>9</v>
      </c>
      <c r="G4605" s="1">
        <v>154.87</v>
      </c>
      <c r="H4605" s="1" t="s">
        <v>8</v>
      </c>
      <c r="I4605" t="str">
        <f t="shared" si="71"/>
        <v>BLACK VINT ART DEC CRYSTAL BRACELET [90065B]</v>
      </c>
    </row>
    <row r="4606" spans="1:9" x14ac:dyDescent="0.3">
      <c r="A4606" s="1" t="s">
        <v>550</v>
      </c>
      <c r="B4606" t="s">
        <v>549</v>
      </c>
      <c r="C4606" s="1">
        <v>6.75</v>
      </c>
      <c r="D4606" s="1">
        <v>2.5</v>
      </c>
      <c r="E4606" s="1">
        <v>2.5</v>
      </c>
      <c r="F4606" s="1">
        <v>2</v>
      </c>
      <c r="G4606" s="1">
        <v>33.75</v>
      </c>
      <c r="H4606" s="1" t="s">
        <v>8</v>
      </c>
      <c r="I4606" t="str">
        <f t="shared" si="71"/>
        <v>PINK VINTAGE VICTORIAN CHOKER [90066A]</v>
      </c>
    </row>
    <row r="4607" spans="1:9" x14ac:dyDescent="0.3">
      <c r="A4607" s="1" t="s">
        <v>548</v>
      </c>
      <c r="B4607" t="s">
        <v>547</v>
      </c>
      <c r="C4607" s="1">
        <v>2.95</v>
      </c>
      <c r="D4607" s="1">
        <v>2</v>
      </c>
      <c r="E4607" s="1">
        <v>2.75</v>
      </c>
      <c r="F4607" s="1">
        <v>12</v>
      </c>
      <c r="G4607" s="1">
        <v>97.24</v>
      </c>
      <c r="H4607" s="1" t="s">
        <v>8</v>
      </c>
      <c r="I4607" t="str">
        <f t="shared" si="71"/>
        <v>PINK VINTAGE VICTORIAN EARRINGS [90067A]</v>
      </c>
    </row>
    <row r="4608" spans="1:9" x14ac:dyDescent="0.3">
      <c r="A4608" s="1" t="s">
        <v>546</v>
      </c>
      <c r="B4608" t="s">
        <v>545</v>
      </c>
      <c r="C4608" s="1">
        <v>2.95</v>
      </c>
      <c r="D4608" s="1">
        <v>2</v>
      </c>
      <c r="E4608" s="1">
        <v>3.2</v>
      </c>
      <c r="F4608" s="1">
        <v>5</v>
      </c>
      <c r="G4608" s="1">
        <v>47.12</v>
      </c>
      <c r="H4608" s="1" t="s">
        <v>8</v>
      </c>
      <c r="I4608" t="str">
        <f t="shared" si="71"/>
        <v>BROWN VINTAGE VICTORIAN EARRINGS [90067B]</v>
      </c>
    </row>
    <row r="4609" spans="1:9" x14ac:dyDescent="0.3">
      <c r="A4609" s="1">
        <v>90068</v>
      </c>
      <c r="B4609" t="s">
        <v>544</v>
      </c>
      <c r="C4609" s="1">
        <v>7.5</v>
      </c>
      <c r="D4609" s="1">
        <v>1</v>
      </c>
      <c r="E4609" s="1">
        <v>1</v>
      </c>
      <c r="F4609" s="1">
        <v>2</v>
      </c>
      <c r="G4609" s="1">
        <v>15</v>
      </c>
      <c r="H4609" s="1" t="s">
        <v>8</v>
      </c>
      <c r="I4609" t="str">
        <f t="shared" si="71"/>
        <v>RUBY GLASS NECKLACE 42" [90068]</v>
      </c>
    </row>
    <row r="4610" spans="1:9" x14ac:dyDescent="0.3">
      <c r="A4610" s="1">
        <v>90069</v>
      </c>
      <c r="B4610" t="s">
        <v>543</v>
      </c>
      <c r="C4610" s="1">
        <v>7.5</v>
      </c>
      <c r="D4610" s="1">
        <v>2</v>
      </c>
      <c r="E4610" s="1">
        <v>2.75</v>
      </c>
      <c r="F4610" s="1">
        <v>4</v>
      </c>
      <c r="G4610" s="1">
        <v>82.5</v>
      </c>
      <c r="H4610" s="1" t="s">
        <v>8</v>
      </c>
      <c r="I4610" t="str">
        <f t="shared" si="71"/>
        <v>RUBY GLASS CLUSTER NECKLACE [90069]</v>
      </c>
    </row>
    <row r="4611" spans="1:9" x14ac:dyDescent="0.3">
      <c r="A4611" s="1">
        <v>90070</v>
      </c>
      <c r="B4611" t="s">
        <v>542</v>
      </c>
      <c r="C4611" s="1">
        <v>6.23</v>
      </c>
      <c r="D4611" s="1">
        <v>2</v>
      </c>
      <c r="E4611" s="1">
        <v>3.5</v>
      </c>
      <c r="F4611" s="1">
        <v>18</v>
      </c>
      <c r="G4611" s="2">
        <v>385.15</v>
      </c>
      <c r="H4611" s="1" t="s">
        <v>8</v>
      </c>
      <c r="I4611" t="str">
        <f t="shared" ref="I4611:I4674" si="72">B4611&amp;" ["&amp;A4611&amp;"]"</f>
        <v>RUBY GLASS CLUSTER BRACELET [90070]</v>
      </c>
    </row>
    <row r="4612" spans="1:9" x14ac:dyDescent="0.3">
      <c r="A4612" s="1">
        <v>90071</v>
      </c>
      <c r="B4612" t="s">
        <v>541</v>
      </c>
      <c r="C4612" s="1">
        <v>1.2549999999999999</v>
      </c>
      <c r="D4612" s="1">
        <v>3</v>
      </c>
      <c r="E4612" s="2">
        <v>3.9545454545454501</v>
      </c>
      <c r="F4612" s="1">
        <v>22</v>
      </c>
      <c r="G4612" s="1">
        <v>108.99</v>
      </c>
      <c r="H4612" s="1" t="s">
        <v>8</v>
      </c>
      <c r="I4612" t="str">
        <f t="shared" si="72"/>
        <v>RUBY GLASS CLUSTER EARRINGS [90071]</v>
      </c>
    </row>
    <row r="4613" spans="1:9" x14ac:dyDescent="0.3">
      <c r="A4613" s="1">
        <v>90072</v>
      </c>
      <c r="B4613" t="s">
        <v>540</v>
      </c>
      <c r="C4613" s="1">
        <v>4.1500000000000004</v>
      </c>
      <c r="D4613" s="1">
        <v>2</v>
      </c>
      <c r="E4613" s="2">
        <v>2.3157894736842102</v>
      </c>
      <c r="F4613" s="1">
        <v>19</v>
      </c>
      <c r="G4613" s="1">
        <v>176.31</v>
      </c>
      <c r="H4613" s="1" t="s">
        <v>8</v>
      </c>
      <c r="I4613" t="str">
        <f t="shared" si="72"/>
        <v>RUBY DROP CHANDELIER EARRINGS [90072]</v>
      </c>
    </row>
    <row r="4614" spans="1:9" x14ac:dyDescent="0.3">
      <c r="A4614" s="1">
        <v>90073</v>
      </c>
      <c r="B4614" t="s">
        <v>539</v>
      </c>
      <c r="C4614" s="1">
        <v>4.9800000000000004</v>
      </c>
      <c r="D4614" s="1">
        <v>2</v>
      </c>
      <c r="E4614" s="2">
        <v>2.6315789473684199</v>
      </c>
      <c r="F4614" s="1">
        <v>19</v>
      </c>
      <c r="G4614" s="1">
        <v>250.34</v>
      </c>
      <c r="H4614" s="1" t="s">
        <v>8</v>
      </c>
      <c r="I4614" t="str">
        <f t="shared" si="72"/>
        <v>VINTAGE ENAMEL &amp; CRYSTAL EARRINGS [90073]</v>
      </c>
    </row>
    <row r="4615" spans="1:9" x14ac:dyDescent="0.3">
      <c r="A4615" s="1">
        <v>90074</v>
      </c>
      <c r="B4615" t="s">
        <v>538</v>
      </c>
      <c r="C4615" s="1">
        <v>8.9499999999999993</v>
      </c>
      <c r="D4615" s="1">
        <v>1</v>
      </c>
      <c r="E4615" s="2">
        <v>1.1666666666666601</v>
      </c>
      <c r="F4615" s="1">
        <v>6</v>
      </c>
      <c r="G4615" s="1">
        <v>64.09</v>
      </c>
      <c r="H4615" s="1" t="s">
        <v>8</v>
      </c>
      <c r="I4615" t="str">
        <f t="shared" si="72"/>
        <v>BLACK DIAMOND CLUSTER NECKLACE [90074]</v>
      </c>
    </row>
    <row r="4616" spans="1:9" x14ac:dyDescent="0.3">
      <c r="A4616" s="1">
        <v>90075</v>
      </c>
      <c r="B4616" t="s">
        <v>537</v>
      </c>
      <c r="C4616" s="1">
        <v>9.16</v>
      </c>
      <c r="D4616" s="1">
        <v>2</v>
      </c>
      <c r="E4616" s="1">
        <v>2</v>
      </c>
      <c r="F4616" s="1">
        <v>5</v>
      </c>
      <c r="G4616" s="2">
        <v>92.179999999999893</v>
      </c>
      <c r="H4616" s="1" t="s">
        <v>8</v>
      </c>
      <c r="I4616" t="str">
        <f t="shared" si="72"/>
        <v>MONTANA DIAMOND CLUSTER NECKLACE [90075]</v>
      </c>
    </row>
    <row r="4617" spans="1:9" x14ac:dyDescent="0.3">
      <c r="A4617" s="1">
        <v>90076</v>
      </c>
      <c r="B4617" t="s">
        <v>536</v>
      </c>
      <c r="C4617" s="1">
        <v>2.96</v>
      </c>
      <c r="D4617" s="1">
        <v>1</v>
      </c>
      <c r="E4617" s="2">
        <v>1.71428571428571</v>
      </c>
      <c r="F4617" s="1">
        <v>7</v>
      </c>
      <c r="G4617" s="1">
        <v>33</v>
      </c>
      <c r="H4617" s="1" t="s">
        <v>8</v>
      </c>
      <c r="I4617" t="str">
        <f t="shared" si="72"/>
        <v>MONTANA DIAMOND CLUSTER EARRINGS [90076]</v>
      </c>
    </row>
    <row r="4618" spans="1:9" x14ac:dyDescent="0.3">
      <c r="A4618" s="1">
        <v>90077</v>
      </c>
      <c r="B4618" t="s">
        <v>535</v>
      </c>
      <c r="C4618" s="2">
        <v>2.9299999999999899</v>
      </c>
      <c r="D4618" s="1">
        <v>1</v>
      </c>
      <c r="E4618" s="1">
        <v>1.25</v>
      </c>
      <c r="F4618" s="1">
        <v>4</v>
      </c>
      <c r="G4618" s="2">
        <v>14.399999999999901</v>
      </c>
      <c r="H4618" s="1" t="s">
        <v>8</v>
      </c>
      <c r="I4618" t="str">
        <f t="shared" si="72"/>
        <v>BLACK DIAMOND CLUSTER EARRINGS [90077]</v>
      </c>
    </row>
    <row r="4619" spans="1:9" x14ac:dyDescent="0.3">
      <c r="A4619" s="1">
        <v>90078</v>
      </c>
      <c r="B4619" t="s">
        <v>534</v>
      </c>
      <c r="C4619" s="1">
        <v>7.5</v>
      </c>
      <c r="D4619" s="1">
        <v>2</v>
      </c>
      <c r="E4619" s="1">
        <v>2.25</v>
      </c>
      <c r="F4619" s="1">
        <v>4</v>
      </c>
      <c r="G4619" s="1">
        <v>67.64</v>
      </c>
      <c r="H4619" s="1" t="s">
        <v>8</v>
      </c>
      <c r="I4619" t="str">
        <f t="shared" si="72"/>
        <v>PINK/WHITE GLASS DEMI CHOKER [90078]</v>
      </c>
    </row>
    <row r="4620" spans="1:9" x14ac:dyDescent="0.3">
      <c r="A4620" s="1">
        <v>90079</v>
      </c>
      <c r="B4620" t="s">
        <v>533</v>
      </c>
      <c r="C4620" s="1">
        <v>4.95</v>
      </c>
      <c r="D4620" s="1">
        <v>1</v>
      </c>
      <c r="E4620" s="2">
        <v>1.9090909090909001</v>
      </c>
      <c r="F4620" s="1">
        <v>11</v>
      </c>
      <c r="G4620" s="2">
        <v>104.77</v>
      </c>
      <c r="H4620" s="1" t="s">
        <v>8</v>
      </c>
      <c r="I4620" t="str">
        <f t="shared" si="72"/>
        <v>VINTAGE ENAMEL &amp; CRYSTAL NECKLACE [90079]</v>
      </c>
    </row>
    <row r="4621" spans="1:9" x14ac:dyDescent="0.3">
      <c r="A4621" s="1" t="s">
        <v>532</v>
      </c>
      <c r="B4621" t="s">
        <v>531</v>
      </c>
      <c r="C4621" s="1">
        <v>4.95</v>
      </c>
      <c r="D4621" s="1">
        <v>2</v>
      </c>
      <c r="E4621" s="2">
        <v>2.7222222222222201</v>
      </c>
      <c r="F4621" s="1">
        <v>18</v>
      </c>
      <c r="G4621" s="1">
        <v>242.8</v>
      </c>
      <c r="H4621" s="1" t="s">
        <v>8</v>
      </c>
      <c r="I4621" t="str">
        <f t="shared" si="72"/>
        <v>LILY BROOCH AMETHYST COLOUR [90081A]</v>
      </c>
    </row>
    <row r="4622" spans="1:9" x14ac:dyDescent="0.3">
      <c r="A4622" s="1" t="s">
        <v>530</v>
      </c>
      <c r="B4622" t="s">
        <v>529</v>
      </c>
      <c r="C4622" s="1">
        <v>4.95</v>
      </c>
      <c r="D4622" s="1">
        <v>3</v>
      </c>
      <c r="E4622" s="2">
        <v>2.3333333333333299</v>
      </c>
      <c r="F4622" s="1">
        <v>3</v>
      </c>
      <c r="G4622" s="1">
        <v>34.65</v>
      </c>
      <c r="H4622" s="1" t="s">
        <v>8</v>
      </c>
      <c r="I4622" t="str">
        <f t="shared" si="72"/>
        <v>LILY BROOCH WHITE/SILVER COLOUR [90081B]</v>
      </c>
    </row>
    <row r="4623" spans="1:9" x14ac:dyDescent="0.3">
      <c r="A4623" s="1" t="s">
        <v>528</v>
      </c>
      <c r="B4623" t="s">
        <v>527</v>
      </c>
      <c r="C4623" s="1">
        <v>4.9800000000000004</v>
      </c>
      <c r="D4623" s="1">
        <v>3</v>
      </c>
      <c r="E4623" s="2">
        <v>2.7777777777777701</v>
      </c>
      <c r="F4623" s="1">
        <v>18</v>
      </c>
      <c r="G4623" s="1">
        <v>250.47</v>
      </c>
      <c r="H4623" s="1" t="s">
        <v>8</v>
      </c>
      <c r="I4623" t="str">
        <f t="shared" si="72"/>
        <v>LILY BROOCH OLIVE COLOUR [90081C]</v>
      </c>
    </row>
    <row r="4624" spans="1:9" x14ac:dyDescent="0.3">
      <c r="A4624" s="1" t="s">
        <v>526</v>
      </c>
      <c r="B4624" t="s">
        <v>525</v>
      </c>
      <c r="C4624" s="1">
        <v>6.42</v>
      </c>
      <c r="D4624" s="1">
        <v>2</v>
      </c>
      <c r="E4624" s="1">
        <v>2.75</v>
      </c>
      <c r="F4624" s="1">
        <v>20</v>
      </c>
      <c r="G4624" s="1">
        <v>353.71</v>
      </c>
      <c r="H4624" s="1" t="s">
        <v>8</v>
      </c>
      <c r="I4624" t="str">
        <f t="shared" si="72"/>
        <v>DIAMANTE BOW BROOCH GREEN COLOUR [90082A]</v>
      </c>
    </row>
    <row r="4625" spans="1:9" x14ac:dyDescent="0.3">
      <c r="A4625" s="1" t="s">
        <v>524</v>
      </c>
      <c r="B4625" t="s">
        <v>523</v>
      </c>
      <c r="C4625" s="1">
        <v>6.35</v>
      </c>
      <c r="D4625" s="1">
        <v>3</v>
      </c>
      <c r="E4625" s="2">
        <v>3.86666666666666</v>
      </c>
      <c r="F4625" s="1">
        <v>15</v>
      </c>
      <c r="G4625" s="1">
        <v>368.3</v>
      </c>
      <c r="H4625" s="1" t="s">
        <v>8</v>
      </c>
      <c r="I4625" t="str">
        <f t="shared" si="72"/>
        <v>DIAMANTE BOW BROOCH RED COLOUR [90082B]</v>
      </c>
    </row>
    <row r="4626" spans="1:9" x14ac:dyDescent="0.3">
      <c r="A4626" s="1" t="s">
        <v>522</v>
      </c>
      <c r="B4626" t="s">
        <v>521</v>
      </c>
      <c r="C4626" s="1">
        <v>6.57</v>
      </c>
      <c r="D4626" s="1">
        <v>1.5</v>
      </c>
      <c r="E4626" s="1">
        <v>1.5</v>
      </c>
      <c r="F4626" s="1">
        <v>2</v>
      </c>
      <c r="G4626" s="1">
        <v>19.93</v>
      </c>
      <c r="H4626" s="1" t="s">
        <v>8</v>
      </c>
      <c r="I4626" t="str">
        <f t="shared" si="72"/>
        <v>DIAMANTE BOW BROOCH WHITE COLOUR [90082C]</v>
      </c>
    </row>
    <row r="4627" spans="1:9" x14ac:dyDescent="0.3">
      <c r="A4627" s="1" t="s">
        <v>520</v>
      </c>
      <c r="B4627" t="s">
        <v>519</v>
      </c>
      <c r="C4627" s="1">
        <v>6.3949999999999996</v>
      </c>
      <c r="D4627" s="1">
        <v>6.5</v>
      </c>
      <c r="E4627" s="2">
        <v>7.3571428571428497</v>
      </c>
      <c r="F4627" s="1">
        <v>14</v>
      </c>
      <c r="G4627" s="1">
        <v>664.35</v>
      </c>
      <c r="H4627" s="1" t="s">
        <v>8</v>
      </c>
      <c r="I4627" t="str">
        <f t="shared" si="72"/>
        <v>DIAMANTE BOW BROOCH BLACK COLOUR [90082D]</v>
      </c>
    </row>
    <row r="4628" spans="1:9" x14ac:dyDescent="0.3">
      <c r="A4628" s="1">
        <v>90083</v>
      </c>
      <c r="B4628" t="s">
        <v>518</v>
      </c>
      <c r="C4628" s="1">
        <v>1.63</v>
      </c>
      <c r="D4628" s="1">
        <v>5</v>
      </c>
      <c r="E4628" s="2">
        <v>5.5714285714285703</v>
      </c>
      <c r="F4628" s="1">
        <v>7</v>
      </c>
      <c r="G4628" s="2">
        <v>44.169999999999902</v>
      </c>
      <c r="H4628" s="1" t="s">
        <v>8</v>
      </c>
      <c r="I4628" t="str">
        <f t="shared" si="72"/>
        <v>CRYSTAL CZECH CROSS PHONE CHARM [90083]</v>
      </c>
    </row>
    <row r="4629" spans="1:9" x14ac:dyDescent="0.3">
      <c r="A4629" s="1">
        <v>90084</v>
      </c>
      <c r="B4629" t="s">
        <v>517</v>
      </c>
      <c r="C4629" s="1">
        <v>0.85</v>
      </c>
      <c r="D4629" s="1">
        <v>5</v>
      </c>
      <c r="E4629" s="1">
        <v>12.8</v>
      </c>
      <c r="F4629" s="1">
        <v>5</v>
      </c>
      <c r="G4629" s="1">
        <v>54.4</v>
      </c>
      <c r="H4629" s="1" t="s">
        <v>8</v>
      </c>
      <c r="I4629" t="str">
        <f t="shared" si="72"/>
        <v>PINK CRYSTAL GUITAR PHONE CHARM [90084]</v>
      </c>
    </row>
    <row r="4630" spans="1:9" x14ac:dyDescent="0.3">
      <c r="A4630" s="1">
        <v>90085</v>
      </c>
      <c r="B4630" t="s">
        <v>516</v>
      </c>
      <c r="C4630" s="1">
        <v>0.88</v>
      </c>
      <c r="D4630" s="1">
        <v>11</v>
      </c>
      <c r="E4630" s="2">
        <v>22.214285714285701</v>
      </c>
      <c r="F4630" s="1">
        <v>14</v>
      </c>
      <c r="G4630" s="1">
        <v>275.52999999999997</v>
      </c>
      <c r="H4630" s="1" t="s">
        <v>9</v>
      </c>
      <c r="I4630" t="str">
        <f t="shared" si="72"/>
        <v>CRYSTAL STILETTO PHONE CHARM [90085]</v>
      </c>
    </row>
    <row r="4631" spans="1:9" x14ac:dyDescent="0.3">
      <c r="A4631" s="1">
        <v>90086</v>
      </c>
      <c r="B4631" t="s">
        <v>515</v>
      </c>
      <c r="C4631" s="1">
        <v>1.63</v>
      </c>
      <c r="D4631" s="1">
        <v>5</v>
      </c>
      <c r="E4631" s="2">
        <v>9.1176470588235201</v>
      </c>
      <c r="F4631" s="1">
        <v>17</v>
      </c>
      <c r="G4631" s="1">
        <v>161.84</v>
      </c>
      <c r="H4631" s="1" t="s">
        <v>8</v>
      </c>
      <c r="I4631" t="str">
        <f t="shared" si="72"/>
        <v>CRYSTAL FROG PHONE CHARM [90086]</v>
      </c>
    </row>
    <row r="4632" spans="1:9" x14ac:dyDescent="0.3">
      <c r="A4632" s="1">
        <v>90087</v>
      </c>
      <c r="B4632" t="s">
        <v>514</v>
      </c>
      <c r="C4632" s="1">
        <v>1.63</v>
      </c>
      <c r="D4632" s="1">
        <v>2.5</v>
      </c>
      <c r="E4632" s="2">
        <v>10.863636363636299</v>
      </c>
      <c r="F4632" s="1">
        <v>22</v>
      </c>
      <c r="G4632" s="1">
        <v>235.88</v>
      </c>
      <c r="H4632" s="1" t="s">
        <v>8</v>
      </c>
      <c r="I4632" t="str">
        <f t="shared" si="72"/>
        <v>CRYSTAL SEA HORSE PHONE CHARM [90087]</v>
      </c>
    </row>
    <row r="4633" spans="1:9" x14ac:dyDescent="0.3">
      <c r="A4633" s="1">
        <v>90088</v>
      </c>
      <c r="B4633" t="s">
        <v>513</v>
      </c>
      <c r="C4633" s="1">
        <v>0.85</v>
      </c>
      <c r="D4633" s="1">
        <v>12</v>
      </c>
      <c r="E4633" s="2">
        <v>14.4285714285714</v>
      </c>
      <c r="F4633" s="1">
        <v>7</v>
      </c>
      <c r="G4633" s="1">
        <v>86.7</v>
      </c>
      <c r="H4633" s="1" t="s">
        <v>9</v>
      </c>
      <c r="I4633" t="str">
        <f t="shared" si="72"/>
        <v>CRYSTAL KEY+LOCK PHONE CHARM [90088]</v>
      </c>
    </row>
    <row r="4634" spans="1:9" x14ac:dyDescent="0.3">
      <c r="A4634" s="1">
        <v>90089</v>
      </c>
      <c r="B4634" t="s">
        <v>512</v>
      </c>
      <c r="C4634" s="1">
        <v>1.26</v>
      </c>
      <c r="D4634" s="1">
        <v>2</v>
      </c>
      <c r="E4634" s="1">
        <v>7</v>
      </c>
      <c r="F4634" s="1">
        <v>13</v>
      </c>
      <c r="G4634" s="2">
        <v>89.429999999999893</v>
      </c>
      <c r="H4634" s="1" t="s">
        <v>8</v>
      </c>
      <c r="I4634" t="str">
        <f t="shared" si="72"/>
        <v>PINK CRYSTAL SKULL PHONE CHARM [90089]</v>
      </c>
    </row>
    <row r="4635" spans="1:9" x14ac:dyDescent="0.3">
      <c r="A4635" s="1">
        <v>90090</v>
      </c>
      <c r="B4635" t="s">
        <v>511</v>
      </c>
      <c r="C4635" s="1">
        <v>0.85</v>
      </c>
      <c r="D4635" s="1">
        <v>19.5</v>
      </c>
      <c r="E4635" s="1">
        <v>32.875</v>
      </c>
      <c r="F4635" s="1">
        <v>8</v>
      </c>
      <c r="G4635" s="1">
        <v>227.72</v>
      </c>
      <c r="H4635" s="1" t="s">
        <v>9</v>
      </c>
      <c r="I4635" t="str">
        <f t="shared" si="72"/>
        <v>PINK CRYSTAL HEART PHONE CHARM [90090]</v>
      </c>
    </row>
    <row r="4636" spans="1:9" x14ac:dyDescent="0.3">
      <c r="A4636" s="1">
        <v>90091</v>
      </c>
      <c r="B4636" t="s">
        <v>510</v>
      </c>
      <c r="C4636" s="1">
        <v>0.85</v>
      </c>
      <c r="D4636" s="1">
        <v>1.5</v>
      </c>
      <c r="E4636" s="1">
        <v>1.5</v>
      </c>
      <c r="F4636" s="1">
        <v>2</v>
      </c>
      <c r="G4636" s="1">
        <v>2.5499999999999998</v>
      </c>
      <c r="H4636" s="1" t="s">
        <v>8</v>
      </c>
      <c r="I4636" t="str">
        <f t="shared" si="72"/>
        <v>CRYSTAL DRAGONFLY PHONE CHARM [90091]</v>
      </c>
    </row>
    <row r="4637" spans="1:9" x14ac:dyDescent="0.3">
      <c r="A4637" s="1">
        <v>90092</v>
      </c>
      <c r="B4637" t="s">
        <v>509</v>
      </c>
      <c r="C4637" s="1">
        <v>0.85</v>
      </c>
      <c r="D4637" s="1">
        <v>7</v>
      </c>
      <c r="E4637" s="2">
        <v>14.5714285714285</v>
      </c>
      <c r="F4637" s="1">
        <v>7</v>
      </c>
      <c r="G4637" s="2">
        <v>87.509999999999906</v>
      </c>
      <c r="H4637" s="1" t="s">
        <v>8</v>
      </c>
      <c r="I4637" t="str">
        <f t="shared" si="72"/>
        <v>BLUE CRYSTAL BOOT PHONE CHARM [90092]</v>
      </c>
    </row>
    <row r="4638" spans="1:9" x14ac:dyDescent="0.3">
      <c r="A4638" s="1">
        <v>90093</v>
      </c>
      <c r="B4638" t="s">
        <v>508</v>
      </c>
      <c r="C4638" s="1">
        <v>0.89</v>
      </c>
      <c r="D4638" s="1">
        <v>1.5</v>
      </c>
      <c r="E4638" s="1">
        <v>11.0625</v>
      </c>
      <c r="F4638" s="1">
        <v>16</v>
      </c>
      <c r="G4638" s="1">
        <v>159.26</v>
      </c>
      <c r="H4638" s="1" t="s">
        <v>8</v>
      </c>
      <c r="I4638" t="str">
        <f t="shared" si="72"/>
        <v>CLEAR CRYSTAL STAR PHONE CHARM [90093]</v>
      </c>
    </row>
    <row r="4639" spans="1:9" x14ac:dyDescent="0.3">
      <c r="A4639" s="1">
        <v>90094</v>
      </c>
      <c r="B4639" t="s">
        <v>507</v>
      </c>
      <c r="C4639" s="1">
        <v>2.5499999999999998</v>
      </c>
      <c r="D4639" s="1">
        <v>3.5</v>
      </c>
      <c r="E4639" s="2">
        <v>6.1666666666666599</v>
      </c>
      <c r="F4639" s="1">
        <v>12</v>
      </c>
      <c r="G4639" s="1">
        <v>187.62</v>
      </c>
      <c r="H4639" s="1" t="s">
        <v>8</v>
      </c>
      <c r="I4639" t="str">
        <f t="shared" si="72"/>
        <v>NECKLACE+BRACELET SET FRUIT SALAD [90094]</v>
      </c>
    </row>
    <row r="4640" spans="1:9" x14ac:dyDescent="0.3">
      <c r="A4640" s="1">
        <v>90095</v>
      </c>
      <c r="B4640" t="s">
        <v>506</v>
      </c>
      <c r="C4640" s="1">
        <v>2.5499999999999998</v>
      </c>
      <c r="D4640" s="1">
        <v>1</v>
      </c>
      <c r="E4640" s="2">
        <v>2.6666666666666599</v>
      </c>
      <c r="F4640" s="1">
        <v>3</v>
      </c>
      <c r="G4640" s="1">
        <v>22.91</v>
      </c>
      <c r="H4640" s="1" t="s">
        <v>8</v>
      </c>
      <c r="I4640" t="str">
        <f t="shared" si="72"/>
        <v>NECKLACE+BRACELET SET PINK BLOSSOM [90095]</v>
      </c>
    </row>
    <row r="4641" spans="1:9" x14ac:dyDescent="0.3">
      <c r="A4641" s="1">
        <v>90096</v>
      </c>
      <c r="B4641" t="s">
        <v>505</v>
      </c>
      <c r="C4641" s="1">
        <v>2.5099999999999998</v>
      </c>
      <c r="D4641" s="1">
        <v>4.5</v>
      </c>
      <c r="E4641" s="2">
        <v>5.7777777777777697</v>
      </c>
      <c r="F4641" s="1">
        <v>18</v>
      </c>
      <c r="G4641" s="1">
        <v>243.61</v>
      </c>
      <c r="H4641" s="1" t="s">
        <v>8</v>
      </c>
      <c r="I4641" t="str">
        <f t="shared" si="72"/>
        <v>NECKLACE+BRACELET SET BLUE BLOSSOM [90096]</v>
      </c>
    </row>
    <row r="4642" spans="1:9" x14ac:dyDescent="0.3">
      <c r="A4642" s="1">
        <v>90098</v>
      </c>
      <c r="B4642" t="s">
        <v>504</v>
      </c>
      <c r="C4642" s="1">
        <v>2.5499999999999998</v>
      </c>
      <c r="D4642" s="1">
        <v>5</v>
      </c>
      <c r="E4642" s="2">
        <v>9.1333333333333293</v>
      </c>
      <c r="F4642" s="1">
        <v>15</v>
      </c>
      <c r="G4642" s="1">
        <v>301.27999999999997</v>
      </c>
      <c r="H4642" s="1" t="s">
        <v>8</v>
      </c>
      <c r="I4642" t="str">
        <f t="shared" si="72"/>
        <v>NECKLACE+BRACELET PINK BUTTERFLY [90098]</v>
      </c>
    </row>
    <row r="4643" spans="1:9" x14ac:dyDescent="0.3">
      <c r="A4643" s="1">
        <v>90099</v>
      </c>
      <c r="B4643" t="s">
        <v>503</v>
      </c>
      <c r="C4643" s="1">
        <v>2.5499999999999998</v>
      </c>
      <c r="D4643" s="1">
        <v>4</v>
      </c>
      <c r="E4643" s="2">
        <v>4.6666666666666599</v>
      </c>
      <c r="F4643" s="1">
        <v>9</v>
      </c>
      <c r="G4643" s="1">
        <v>129.69</v>
      </c>
      <c r="H4643" s="1" t="s">
        <v>8</v>
      </c>
      <c r="I4643" t="str">
        <f t="shared" si="72"/>
        <v>NECKLACE+BRACELET SET BLUE HIBISCUS [90099]</v>
      </c>
    </row>
    <row r="4644" spans="1:9" x14ac:dyDescent="0.3">
      <c r="A4644" s="1">
        <v>90100</v>
      </c>
      <c r="B4644" t="s">
        <v>502</v>
      </c>
      <c r="C4644" s="1">
        <v>2.5499999999999998</v>
      </c>
      <c r="D4644" s="1">
        <v>2</v>
      </c>
      <c r="E4644" s="1">
        <v>3.75</v>
      </c>
      <c r="F4644" s="1">
        <v>8</v>
      </c>
      <c r="G4644" s="1">
        <v>76.5</v>
      </c>
      <c r="H4644" s="1" t="s">
        <v>8</v>
      </c>
      <c r="I4644" t="str">
        <f t="shared" si="72"/>
        <v>NECKLACE+BRACELET SET PINK DAISY [90100]</v>
      </c>
    </row>
    <row r="4645" spans="1:9" x14ac:dyDescent="0.3">
      <c r="A4645" s="1">
        <v>90101</v>
      </c>
      <c r="B4645" t="s">
        <v>501</v>
      </c>
      <c r="C4645" s="1">
        <v>2.54</v>
      </c>
      <c r="D4645" s="1">
        <v>1.5</v>
      </c>
      <c r="E4645" s="2">
        <v>2.88888888888888</v>
      </c>
      <c r="F4645" s="1">
        <v>18</v>
      </c>
      <c r="G4645" s="1">
        <v>131.16</v>
      </c>
      <c r="H4645" s="1" t="s">
        <v>8</v>
      </c>
      <c r="I4645" t="str">
        <f t="shared" si="72"/>
        <v>WHITE FRANGIPANI NECKLACE [90101]</v>
      </c>
    </row>
    <row r="4646" spans="1:9" x14ac:dyDescent="0.3">
      <c r="A4646" s="1">
        <v>90102</v>
      </c>
      <c r="B4646" t="s">
        <v>500</v>
      </c>
      <c r="C4646" s="1">
        <v>0.85</v>
      </c>
      <c r="D4646" s="1">
        <v>4</v>
      </c>
      <c r="E4646" s="1">
        <v>4.75</v>
      </c>
      <c r="F4646" s="1">
        <v>4</v>
      </c>
      <c r="G4646" s="1">
        <v>16.11</v>
      </c>
      <c r="H4646" s="1" t="s">
        <v>8</v>
      </c>
      <c r="I4646" t="str">
        <f t="shared" si="72"/>
        <v>WHITE FRANGIPANI HAIR CLIP [90102]</v>
      </c>
    </row>
    <row r="4647" spans="1:9" x14ac:dyDescent="0.3">
      <c r="A4647" s="1">
        <v>90103</v>
      </c>
      <c r="B4647" t="s">
        <v>499</v>
      </c>
      <c r="C4647" s="1">
        <v>2.54</v>
      </c>
      <c r="D4647" s="1">
        <v>2</v>
      </c>
      <c r="E4647" s="2">
        <v>3.3846153846153801</v>
      </c>
      <c r="F4647" s="1">
        <v>13</v>
      </c>
      <c r="G4647" s="1">
        <v>110.85</v>
      </c>
      <c r="H4647" s="1" t="s">
        <v>8</v>
      </c>
      <c r="I4647" t="str">
        <f t="shared" si="72"/>
        <v>PURPLE FRANGIPANI NECKLACE [90103]</v>
      </c>
    </row>
    <row r="4648" spans="1:9" x14ac:dyDescent="0.3">
      <c r="A4648" s="1">
        <v>90104</v>
      </c>
      <c r="B4648" t="s">
        <v>498</v>
      </c>
      <c r="C4648" s="1">
        <v>0.83</v>
      </c>
      <c r="D4648" s="1">
        <v>8</v>
      </c>
      <c r="E4648" s="1">
        <v>12.9</v>
      </c>
      <c r="F4648" s="1">
        <v>10</v>
      </c>
      <c r="G4648" s="1">
        <v>108.11</v>
      </c>
      <c r="H4648" s="1" t="s">
        <v>8</v>
      </c>
      <c r="I4648" t="str">
        <f t="shared" si="72"/>
        <v>PURPLE FRANGIPANI HAIRCLIP [90104]</v>
      </c>
    </row>
    <row r="4649" spans="1:9" x14ac:dyDescent="0.3">
      <c r="A4649" s="1">
        <v>90108</v>
      </c>
      <c r="B4649" t="s">
        <v>497</v>
      </c>
      <c r="C4649" s="1">
        <v>1.05</v>
      </c>
      <c r="D4649" s="1">
        <v>11.5</v>
      </c>
      <c r="E4649" s="1">
        <v>10.3</v>
      </c>
      <c r="F4649" s="1">
        <v>10</v>
      </c>
      <c r="G4649" s="2">
        <v>111.07</v>
      </c>
      <c r="H4649" s="1" t="s">
        <v>9</v>
      </c>
      <c r="I4649" t="str">
        <f t="shared" si="72"/>
        <v>BLUE BLOSSOM HAIR CLIP [90108]</v>
      </c>
    </row>
    <row r="4650" spans="1:9" x14ac:dyDescent="0.3">
      <c r="A4650" s="1">
        <v>90111</v>
      </c>
      <c r="B4650" t="s">
        <v>496</v>
      </c>
      <c r="C4650" s="1">
        <v>1.05</v>
      </c>
      <c r="D4650" s="1">
        <v>1.5</v>
      </c>
      <c r="E4650" s="1">
        <v>1.75</v>
      </c>
      <c r="F4650" s="1">
        <v>4</v>
      </c>
      <c r="G4650" s="1">
        <v>7.35</v>
      </c>
      <c r="H4650" s="1" t="s">
        <v>8</v>
      </c>
      <c r="I4650" t="str">
        <f t="shared" si="72"/>
        <v>BLUE HIBISCUS  HAIR CLIP [90111]</v>
      </c>
    </row>
    <row r="4651" spans="1:9" x14ac:dyDescent="0.3">
      <c r="A4651" s="1">
        <v>90112</v>
      </c>
      <c r="B4651" t="s">
        <v>495</v>
      </c>
      <c r="C4651" s="1">
        <v>1.05</v>
      </c>
      <c r="D4651" s="1">
        <v>3.5</v>
      </c>
      <c r="E4651" s="1">
        <v>7</v>
      </c>
      <c r="F4651" s="1">
        <v>12</v>
      </c>
      <c r="G4651" s="1">
        <v>91.25</v>
      </c>
      <c r="H4651" s="1" t="s">
        <v>8</v>
      </c>
      <c r="I4651" t="str">
        <f t="shared" si="72"/>
        <v>PINK DOLLY HAIR CLIPS [90112]</v>
      </c>
    </row>
    <row r="4652" spans="1:9" x14ac:dyDescent="0.3">
      <c r="A4652" s="1">
        <v>90114</v>
      </c>
      <c r="B4652" t="s">
        <v>494</v>
      </c>
      <c r="C4652" s="1">
        <v>2.5</v>
      </c>
      <c r="D4652" s="1">
        <v>6</v>
      </c>
      <c r="E4652" s="2">
        <v>10.789473684210501</v>
      </c>
      <c r="F4652" s="1">
        <v>19</v>
      </c>
      <c r="G4652" s="1">
        <v>514.17999999999995</v>
      </c>
      <c r="H4652" s="1" t="s">
        <v>8</v>
      </c>
      <c r="I4652" t="str">
        <f t="shared" si="72"/>
        <v>SUMMER DAISIES BAG CHARM [90114]</v>
      </c>
    </row>
    <row r="4653" spans="1:9" x14ac:dyDescent="0.3">
      <c r="A4653" s="1">
        <v>90115</v>
      </c>
      <c r="B4653" t="s">
        <v>493</v>
      </c>
      <c r="C4653" s="1">
        <v>2.54</v>
      </c>
      <c r="D4653" s="1">
        <v>6.5</v>
      </c>
      <c r="E4653" s="1">
        <v>9</v>
      </c>
      <c r="F4653" s="1">
        <v>12</v>
      </c>
      <c r="G4653" s="1">
        <v>278.95999999999998</v>
      </c>
      <c r="H4653" s="1" t="s">
        <v>8</v>
      </c>
      <c r="I4653" t="str">
        <f t="shared" si="72"/>
        <v>SUMMER BUTTERFLIES BAG CHARM [90115]</v>
      </c>
    </row>
    <row r="4654" spans="1:9" x14ac:dyDescent="0.3">
      <c r="A4654" s="1">
        <v>90116</v>
      </c>
      <c r="B4654" t="s">
        <v>492</v>
      </c>
      <c r="C4654" s="1">
        <v>2.2650000000000001</v>
      </c>
      <c r="D4654" s="1">
        <v>5.5</v>
      </c>
      <c r="E4654" s="1">
        <v>5.3</v>
      </c>
      <c r="F4654" s="1">
        <v>20</v>
      </c>
      <c r="G4654" s="1">
        <v>225.52</v>
      </c>
      <c r="H4654" s="1" t="s">
        <v>8</v>
      </c>
      <c r="I4654" t="str">
        <f t="shared" si="72"/>
        <v>FRUIT SALAD BAG CHARM [90116]</v>
      </c>
    </row>
    <row r="4655" spans="1:9" x14ac:dyDescent="0.3">
      <c r="A4655" s="1">
        <v>90118</v>
      </c>
      <c r="B4655" t="s">
        <v>491</v>
      </c>
      <c r="C4655" s="1">
        <v>2.46</v>
      </c>
      <c r="D4655" s="1">
        <v>2</v>
      </c>
      <c r="E4655" s="2">
        <v>3.2307692307692299</v>
      </c>
      <c r="F4655" s="1">
        <v>13</v>
      </c>
      <c r="G4655" s="1">
        <v>107.39</v>
      </c>
      <c r="H4655" s="1" t="s">
        <v>8</v>
      </c>
      <c r="I4655" t="str">
        <f t="shared" si="72"/>
        <v>PINK DAISY BAG CHARM [90118]</v>
      </c>
    </row>
    <row r="4656" spans="1:9" x14ac:dyDescent="0.3">
      <c r="A4656" s="1">
        <v>90119</v>
      </c>
      <c r="B4656" t="s">
        <v>490</v>
      </c>
      <c r="C4656" s="1">
        <v>2.46</v>
      </c>
      <c r="D4656" s="1">
        <v>4</v>
      </c>
      <c r="E4656" s="2">
        <v>6.4666666666666597</v>
      </c>
      <c r="F4656" s="1">
        <v>15</v>
      </c>
      <c r="G4656" s="1">
        <v>243.07</v>
      </c>
      <c r="H4656" s="1" t="s">
        <v>8</v>
      </c>
      <c r="I4656" t="str">
        <f t="shared" si="72"/>
        <v>METALIC LEAVES BAG CHARMS [90119]</v>
      </c>
    </row>
    <row r="4657" spans="1:9" x14ac:dyDescent="0.3">
      <c r="A4657" s="1" t="s">
        <v>489</v>
      </c>
      <c r="B4657" t="s">
        <v>488</v>
      </c>
      <c r="C4657" s="1">
        <v>4.25</v>
      </c>
      <c r="D4657" s="1">
        <v>5</v>
      </c>
      <c r="E4657" s="2">
        <v>6.6428571428571397</v>
      </c>
      <c r="F4657" s="1">
        <v>14</v>
      </c>
      <c r="G4657" s="1">
        <v>395.68</v>
      </c>
      <c r="H4657" s="1" t="s">
        <v>8</v>
      </c>
      <c r="I4657" t="str">
        <f t="shared" si="72"/>
        <v>PINK MURANO TWIST BRACELET [90120A]</v>
      </c>
    </row>
    <row r="4658" spans="1:9" x14ac:dyDescent="0.3">
      <c r="A4658" s="1" t="s">
        <v>487</v>
      </c>
      <c r="B4658" t="s">
        <v>486</v>
      </c>
      <c r="C4658" s="1">
        <v>4.2450000000000001</v>
      </c>
      <c r="D4658" s="1">
        <v>2.5</v>
      </c>
      <c r="E4658" s="2">
        <v>4.8636363636363598</v>
      </c>
      <c r="F4658" s="1">
        <v>22</v>
      </c>
      <c r="G4658" s="1">
        <v>451.44</v>
      </c>
      <c r="H4658" s="1" t="s">
        <v>8</v>
      </c>
      <c r="I4658" t="str">
        <f t="shared" si="72"/>
        <v>BLUE MURANO TWIST BRACELET [90120B]</v>
      </c>
    </row>
    <row r="4659" spans="1:9" x14ac:dyDescent="0.3">
      <c r="A4659" s="1" t="s">
        <v>485</v>
      </c>
      <c r="B4659" t="s">
        <v>484</v>
      </c>
      <c r="C4659" s="1">
        <v>4.24</v>
      </c>
      <c r="D4659" s="1">
        <v>4</v>
      </c>
      <c r="E4659" s="1">
        <v>5.45</v>
      </c>
      <c r="F4659" s="1">
        <v>20</v>
      </c>
      <c r="G4659" s="1">
        <v>462.32</v>
      </c>
      <c r="H4659" s="1" t="s">
        <v>8</v>
      </c>
      <c r="I4659" t="str">
        <f t="shared" si="72"/>
        <v>GREEN MURANO TWIST BRACELET [90120C]</v>
      </c>
    </row>
    <row r="4660" spans="1:9" x14ac:dyDescent="0.3">
      <c r="A4660" s="1" t="s">
        <v>483</v>
      </c>
      <c r="B4660" t="s">
        <v>482</v>
      </c>
      <c r="C4660" s="1">
        <v>4.25</v>
      </c>
      <c r="D4660" s="1">
        <v>9</v>
      </c>
      <c r="E4660" s="2">
        <v>10.307692307692299</v>
      </c>
      <c r="F4660" s="1">
        <v>13</v>
      </c>
      <c r="G4660" s="1">
        <v>554.13</v>
      </c>
      <c r="H4660" s="1" t="s">
        <v>8</v>
      </c>
      <c r="I4660" t="str">
        <f t="shared" si="72"/>
        <v>WHITE MURANO TWIST BRACELET [90120D]</v>
      </c>
    </row>
    <row r="4661" spans="1:9" x14ac:dyDescent="0.3">
      <c r="A4661" s="1" t="s">
        <v>481</v>
      </c>
      <c r="B4661" t="s">
        <v>480</v>
      </c>
      <c r="C4661" s="1">
        <v>4.25</v>
      </c>
      <c r="D4661" s="1">
        <v>9.5</v>
      </c>
      <c r="E4661" s="1">
        <v>9.5</v>
      </c>
      <c r="F4661" s="1">
        <v>2</v>
      </c>
      <c r="G4661" s="1">
        <v>80.75</v>
      </c>
      <c r="H4661" s="1" t="s">
        <v>8</v>
      </c>
      <c r="I4661" t="str">
        <f t="shared" si="72"/>
        <v>VINTAGE ROSE BEAD BRACELET BLUE [90121B]</v>
      </c>
    </row>
    <row r="4662" spans="1:9" x14ac:dyDescent="0.3">
      <c r="A4662" s="1" t="s">
        <v>479</v>
      </c>
      <c r="B4662" t="s">
        <v>478</v>
      </c>
      <c r="C4662" s="1">
        <v>4.97</v>
      </c>
      <c r="D4662" s="1">
        <v>2</v>
      </c>
      <c r="E4662" s="2">
        <v>3.6666666666666599</v>
      </c>
      <c r="F4662" s="1">
        <v>15</v>
      </c>
      <c r="G4662" s="1">
        <v>273.89</v>
      </c>
      <c r="H4662" s="1" t="s">
        <v>8</v>
      </c>
      <c r="I4662" t="str">
        <f t="shared" si="72"/>
        <v>PINK CRYSTAL+GLASS BRACELET [90122A]</v>
      </c>
    </row>
    <row r="4663" spans="1:9" x14ac:dyDescent="0.3">
      <c r="A4663" s="1" t="s">
        <v>477</v>
      </c>
      <c r="B4663" t="s">
        <v>476</v>
      </c>
      <c r="C4663" s="1">
        <v>4.9749999999999996</v>
      </c>
      <c r="D4663" s="1">
        <v>2</v>
      </c>
      <c r="E4663" s="2">
        <v>3.2857142857142798</v>
      </c>
      <c r="F4663" s="1">
        <v>14</v>
      </c>
      <c r="G4663" s="1">
        <v>228.99</v>
      </c>
      <c r="H4663" s="1" t="s">
        <v>8</v>
      </c>
      <c r="I4663" t="str">
        <f t="shared" si="72"/>
        <v>JADE CRYSTAL+GLASS BRACELET [90122B]</v>
      </c>
    </row>
    <row r="4664" spans="1:9" x14ac:dyDescent="0.3">
      <c r="A4664" s="1" t="s">
        <v>475</v>
      </c>
      <c r="B4664" t="s">
        <v>474</v>
      </c>
      <c r="C4664" s="1">
        <v>4.9800000000000004</v>
      </c>
      <c r="D4664" s="1">
        <v>1</v>
      </c>
      <c r="E4664" s="1">
        <v>3</v>
      </c>
      <c r="F4664" s="1">
        <v>18</v>
      </c>
      <c r="G4664" s="1">
        <v>269.10000000000002</v>
      </c>
      <c r="H4664" s="1" t="s">
        <v>8</v>
      </c>
      <c r="I4664" t="str">
        <f t="shared" si="72"/>
        <v>TURQUOISE CRYSTAL+GLASS BRACELET [90122C]</v>
      </c>
    </row>
    <row r="4665" spans="1:9" x14ac:dyDescent="0.3">
      <c r="A4665" s="1" t="s">
        <v>473</v>
      </c>
      <c r="B4665" t="s">
        <v>472</v>
      </c>
      <c r="C4665" s="1">
        <v>5.95</v>
      </c>
      <c r="D4665" s="1">
        <v>3</v>
      </c>
      <c r="E4665" s="2">
        <v>2.7692307692307598</v>
      </c>
      <c r="F4665" s="1">
        <v>13</v>
      </c>
      <c r="G4665" s="2">
        <v>214.07</v>
      </c>
      <c r="H4665" s="1" t="s">
        <v>8</v>
      </c>
      <c r="I4665" t="str">
        <f t="shared" si="72"/>
        <v>PINK HEART OF GLASS BRACELET [90123A]</v>
      </c>
    </row>
    <row r="4666" spans="1:9" x14ac:dyDescent="0.3">
      <c r="A4666" s="1" t="s">
        <v>471</v>
      </c>
      <c r="B4666" t="s">
        <v>470</v>
      </c>
      <c r="C4666" s="1">
        <v>5.95</v>
      </c>
      <c r="D4666" s="1">
        <v>2.5</v>
      </c>
      <c r="E4666" s="1">
        <v>2.6</v>
      </c>
      <c r="F4666" s="1">
        <v>10</v>
      </c>
      <c r="G4666" s="1">
        <v>154.69</v>
      </c>
      <c r="H4666" s="1" t="s">
        <v>8</v>
      </c>
      <c r="I4666" t="str">
        <f t="shared" si="72"/>
        <v>TURQUOISE HEART OF GLASS BRACELET [90123B]</v>
      </c>
    </row>
    <row r="4667" spans="1:9" x14ac:dyDescent="0.3">
      <c r="A4667" s="1" t="s">
        <v>469</v>
      </c>
      <c r="B4667" t="s">
        <v>468</v>
      </c>
      <c r="C4667" s="1">
        <v>5.95</v>
      </c>
      <c r="D4667" s="1">
        <v>3</v>
      </c>
      <c r="E4667" s="1">
        <v>3</v>
      </c>
      <c r="F4667" s="1">
        <v>9</v>
      </c>
      <c r="G4667" s="1">
        <v>160.75</v>
      </c>
      <c r="H4667" s="1" t="s">
        <v>8</v>
      </c>
      <c r="I4667" t="str">
        <f t="shared" si="72"/>
        <v>GREEN HEART OF GLASS BRACELET [90123C]</v>
      </c>
    </row>
    <row r="4668" spans="1:9" x14ac:dyDescent="0.3">
      <c r="A4668" s="1" t="s">
        <v>467</v>
      </c>
      <c r="B4668" t="s">
        <v>466</v>
      </c>
      <c r="C4668" s="1">
        <v>5.95</v>
      </c>
      <c r="D4668" s="1">
        <v>1</v>
      </c>
      <c r="E4668" s="2">
        <v>2.4166666666666599</v>
      </c>
      <c r="F4668" s="1">
        <v>12</v>
      </c>
      <c r="G4668" s="1">
        <v>172.39</v>
      </c>
      <c r="H4668" s="1" t="s">
        <v>8</v>
      </c>
      <c r="I4668" t="str">
        <f t="shared" si="72"/>
        <v>WHITE HEART OF GLASS BRACELET [90123D]</v>
      </c>
    </row>
    <row r="4669" spans="1:9" x14ac:dyDescent="0.3">
      <c r="A4669" s="1" t="s">
        <v>465</v>
      </c>
      <c r="B4669" t="s">
        <v>464</v>
      </c>
      <c r="C4669" s="1">
        <v>9.9499999999999993</v>
      </c>
      <c r="D4669" s="1">
        <v>1</v>
      </c>
      <c r="E4669" s="2">
        <v>2.3076923076922999</v>
      </c>
      <c r="F4669" s="1">
        <v>13</v>
      </c>
      <c r="G4669" s="1">
        <v>299.27999999999997</v>
      </c>
      <c r="H4669" s="1" t="s">
        <v>8</v>
      </c>
      <c r="I4669" t="str">
        <f t="shared" si="72"/>
        <v>PINK MURANO TWIST NECKLACE [90124A]</v>
      </c>
    </row>
    <row r="4670" spans="1:9" x14ac:dyDescent="0.3">
      <c r="A4670" s="1" t="s">
        <v>463</v>
      </c>
      <c r="B4670" t="s">
        <v>462</v>
      </c>
      <c r="C4670" s="1">
        <v>9.9600000000000009</v>
      </c>
      <c r="D4670" s="1">
        <v>2</v>
      </c>
      <c r="E4670" s="2">
        <v>2.1666666666666599</v>
      </c>
      <c r="F4670" s="1">
        <v>18</v>
      </c>
      <c r="G4670" s="1">
        <v>391.18</v>
      </c>
      <c r="H4670" s="1" t="s">
        <v>8</v>
      </c>
      <c r="I4670" t="str">
        <f t="shared" si="72"/>
        <v>BLUE MURANO TWIST NECKLACE [90124B]</v>
      </c>
    </row>
    <row r="4671" spans="1:9" x14ac:dyDescent="0.3">
      <c r="A4671" s="1" t="s">
        <v>461</v>
      </c>
      <c r="B4671" t="s">
        <v>460</v>
      </c>
      <c r="C4671" s="1">
        <v>9.9600000000000009</v>
      </c>
      <c r="D4671" s="1">
        <v>1.5</v>
      </c>
      <c r="E4671" s="2">
        <v>1.8333333333333299</v>
      </c>
      <c r="F4671" s="1">
        <v>12</v>
      </c>
      <c r="G4671" s="1">
        <v>220.21</v>
      </c>
      <c r="H4671" s="1" t="s">
        <v>8</v>
      </c>
      <c r="I4671" t="str">
        <f t="shared" si="72"/>
        <v>GREEN MURANO TWIST NECKLACE [90124C]</v>
      </c>
    </row>
    <row r="4672" spans="1:9" x14ac:dyDescent="0.3">
      <c r="A4672" s="1" t="s">
        <v>459</v>
      </c>
      <c r="B4672" t="s">
        <v>458</v>
      </c>
      <c r="C4672" s="1">
        <v>2.1</v>
      </c>
      <c r="D4672" s="1">
        <v>4</v>
      </c>
      <c r="E4672" s="2">
        <v>16.5555555555555</v>
      </c>
      <c r="F4672" s="1">
        <v>9</v>
      </c>
      <c r="G4672" s="1">
        <v>183.97</v>
      </c>
      <c r="H4672" s="1" t="s">
        <v>8</v>
      </c>
      <c r="I4672" t="str">
        <f t="shared" si="72"/>
        <v>PINK BERTIE GLASS BEAD BAG CHARM [90125A]</v>
      </c>
    </row>
    <row r="4673" spans="1:9" x14ac:dyDescent="0.3">
      <c r="A4673" s="1" t="s">
        <v>457</v>
      </c>
      <c r="B4673" t="s">
        <v>456</v>
      </c>
      <c r="C4673" s="1">
        <v>2.1</v>
      </c>
      <c r="D4673" s="1">
        <v>1</v>
      </c>
      <c r="E4673" s="2">
        <v>4.8888888888888804</v>
      </c>
      <c r="F4673" s="1">
        <v>9</v>
      </c>
      <c r="G4673" s="1">
        <v>79.569999999999993</v>
      </c>
      <c r="H4673" s="1" t="s">
        <v>8</v>
      </c>
      <c r="I4673" t="str">
        <f t="shared" si="72"/>
        <v>AQUA BERTIE GLASS BEAD BAG CHARM [90125B]</v>
      </c>
    </row>
    <row r="4674" spans="1:9" x14ac:dyDescent="0.3">
      <c r="A4674" s="1" t="s">
        <v>455</v>
      </c>
      <c r="B4674" t="s">
        <v>454</v>
      </c>
      <c r="C4674" s="1">
        <v>1.53</v>
      </c>
      <c r="D4674" s="1">
        <v>20.5</v>
      </c>
      <c r="E4674" s="1">
        <v>23</v>
      </c>
      <c r="F4674" s="1">
        <v>4</v>
      </c>
      <c r="G4674" s="1">
        <v>101.35</v>
      </c>
      <c r="H4674" s="1" t="s">
        <v>9</v>
      </c>
      <c r="I4674" t="str">
        <f t="shared" si="72"/>
        <v>TURQUOISE BERTIE GLASS BEAD CHARM [90125C]</v>
      </c>
    </row>
    <row r="4675" spans="1:9" x14ac:dyDescent="0.3">
      <c r="A4675" s="1" t="s">
        <v>453</v>
      </c>
      <c r="B4675" t="s">
        <v>452</v>
      </c>
      <c r="C4675" s="1">
        <v>4.17</v>
      </c>
      <c r="D4675" s="1">
        <v>2</v>
      </c>
      <c r="E4675" s="1">
        <v>7.25</v>
      </c>
      <c r="F4675" s="1">
        <v>12</v>
      </c>
      <c r="G4675" s="1">
        <v>180.84</v>
      </c>
      <c r="H4675" s="1" t="s">
        <v>8</v>
      </c>
      <c r="I4675" t="str">
        <f t="shared" ref="I4675:I4738" si="73">B4675&amp;" ["&amp;A4675&amp;"]"</f>
        <v>PURPLE BERTIE GLASS BEAD BAG CHARM [90125D]</v>
      </c>
    </row>
    <row r="4676" spans="1:9" x14ac:dyDescent="0.3">
      <c r="A4676" s="1" t="s">
        <v>451</v>
      </c>
      <c r="B4676" t="s">
        <v>450</v>
      </c>
      <c r="C4676" s="1">
        <v>2.1</v>
      </c>
      <c r="D4676" s="1">
        <v>1</v>
      </c>
      <c r="E4676" s="2">
        <v>2.5714285714285698</v>
      </c>
      <c r="F4676" s="1">
        <v>7</v>
      </c>
      <c r="G4676" s="1">
        <v>44.19</v>
      </c>
      <c r="H4676" s="1" t="s">
        <v>8</v>
      </c>
      <c r="I4676" t="str">
        <f t="shared" si="73"/>
        <v>AMBER BERTIE GLASS BEAD BAG CHARM [90125E]</v>
      </c>
    </row>
    <row r="4677" spans="1:9" x14ac:dyDescent="0.3">
      <c r="A4677" s="1" t="s">
        <v>449</v>
      </c>
      <c r="B4677" t="s">
        <v>448</v>
      </c>
      <c r="C4677" s="1">
        <v>1.69</v>
      </c>
      <c r="D4677" s="1">
        <v>1</v>
      </c>
      <c r="E4677" s="1">
        <v>4</v>
      </c>
      <c r="F4677" s="1">
        <v>5</v>
      </c>
      <c r="G4677" s="1">
        <v>37.14</v>
      </c>
      <c r="H4677" s="1" t="s">
        <v>8</v>
      </c>
      <c r="I4677" t="str">
        <f t="shared" si="73"/>
        <v>PINK BERTIE MOBILE PHONE CHARM [90126A]</v>
      </c>
    </row>
    <row r="4678" spans="1:9" x14ac:dyDescent="0.3">
      <c r="A4678" s="1" t="s">
        <v>447</v>
      </c>
      <c r="B4678" t="s">
        <v>446</v>
      </c>
      <c r="C4678" s="1">
        <v>2.98</v>
      </c>
      <c r="D4678" s="1">
        <v>1.5</v>
      </c>
      <c r="E4678" s="1">
        <v>1.5</v>
      </c>
      <c r="F4678" s="1">
        <v>2</v>
      </c>
      <c r="G4678" s="1">
        <v>8.48</v>
      </c>
      <c r="H4678" s="1" t="s">
        <v>8</v>
      </c>
      <c r="I4678" t="str">
        <f t="shared" si="73"/>
        <v>BLUE BERTIE MOBILE PHONE CHARM [90126B]</v>
      </c>
    </row>
    <row r="4679" spans="1:9" x14ac:dyDescent="0.3">
      <c r="A4679" s="1" t="s">
        <v>445</v>
      </c>
      <c r="B4679" t="s">
        <v>444</v>
      </c>
      <c r="C4679" s="1">
        <v>2.5550000000000002</v>
      </c>
      <c r="D4679" s="1">
        <v>3.5</v>
      </c>
      <c r="E4679" s="1">
        <v>5.25</v>
      </c>
      <c r="F4679" s="1">
        <v>4</v>
      </c>
      <c r="G4679" s="1">
        <v>42.1</v>
      </c>
      <c r="H4679" s="1" t="s">
        <v>8</v>
      </c>
      <c r="I4679" t="str">
        <f t="shared" si="73"/>
        <v>AMBER BERTIE MOBILE PHONE CHARM [90126C]</v>
      </c>
    </row>
    <row r="4680" spans="1:9" x14ac:dyDescent="0.3">
      <c r="A4680" s="1" t="s">
        <v>443</v>
      </c>
      <c r="B4680" t="s">
        <v>442</v>
      </c>
      <c r="C4680" s="1">
        <v>1.855</v>
      </c>
      <c r="D4680" s="1">
        <v>7</v>
      </c>
      <c r="E4680" s="1">
        <v>7</v>
      </c>
      <c r="F4680" s="1">
        <v>2</v>
      </c>
      <c r="G4680" s="1">
        <v>19.920000000000002</v>
      </c>
      <c r="H4680" s="1" t="s">
        <v>8</v>
      </c>
      <c r="I4680" t="str">
        <f t="shared" si="73"/>
        <v>PINK BEADS+HAND PHONE CHARM [90127A]</v>
      </c>
    </row>
    <row r="4681" spans="1:9" x14ac:dyDescent="0.3">
      <c r="A4681" s="1" t="s">
        <v>441</v>
      </c>
      <c r="B4681" t="s">
        <v>440</v>
      </c>
      <c r="C4681" s="1">
        <v>1.25</v>
      </c>
      <c r="D4681" s="1">
        <v>1</v>
      </c>
      <c r="E4681" s="1">
        <v>1</v>
      </c>
      <c r="F4681" s="1">
        <v>2</v>
      </c>
      <c r="G4681" s="1">
        <v>2.5</v>
      </c>
      <c r="H4681" s="1" t="s">
        <v>8</v>
      </c>
      <c r="I4681" t="str">
        <f t="shared" si="73"/>
        <v>BLUE BEADS+HAND PHONE CHARM [90127B]</v>
      </c>
    </row>
    <row r="4682" spans="1:9" x14ac:dyDescent="0.3">
      <c r="A4682" s="1" t="s">
        <v>439</v>
      </c>
      <c r="B4682" t="s">
        <v>438</v>
      </c>
      <c r="C4682" s="1">
        <v>1.46</v>
      </c>
      <c r="D4682" s="1">
        <v>2</v>
      </c>
      <c r="E4682" s="2">
        <v>4.4285714285714199</v>
      </c>
      <c r="F4682" s="1">
        <v>7</v>
      </c>
      <c r="G4682" s="1">
        <v>46.21</v>
      </c>
      <c r="H4682" s="1" t="s">
        <v>8</v>
      </c>
      <c r="I4682" t="str">
        <f t="shared" si="73"/>
        <v>PINK LEAVES AND BEADS PHONE CHARM [90128A]</v>
      </c>
    </row>
    <row r="4683" spans="1:9" x14ac:dyDescent="0.3">
      <c r="A4683" s="1" t="s">
        <v>437</v>
      </c>
      <c r="B4683" t="s">
        <v>436</v>
      </c>
      <c r="C4683" s="1">
        <v>1.25</v>
      </c>
      <c r="D4683" s="1">
        <v>2</v>
      </c>
      <c r="E4683" s="1">
        <v>3.6</v>
      </c>
      <c r="F4683" s="1">
        <v>5</v>
      </c>
      <c r="G4683" s="2">
        <v>23.759999999999899</v>
      </c>
      <c r="H4683" s="1" t="s">
        <v>8</v>
      </c>
      <c r="I4683" t="str">
        <f t="shared" si="73"/>
        <v>BLUE LEAVES AND BEADS PHONE CHARM [90128B]</v>
      </c>
    </row>
    <row r="4684" spans="1:9" x14ac:dyDescent="0.3">
      <c r="A4684" s="1" t="s">
        <v>435</v>
      </c>
      <c r="B4684" t="s">
        <v>434</v>
      </c>
      <c r="C4684" s="1">
        <v>1.855</v>
      </c>
      <c r="D4684" s="1">
        <v>1</v>
      </c>
      <c r="E4684" s="2">
        <v>2.8333333333333299</v>
      </c>
      <c r="F4684" s="1">
        <v>6</v>
      </c>
      <c r="G4684" s="1">
        <v>25.04</v>
      </c>
      <c r="H4684" s="1" t="s">
        <v>8</v>
      </c>
      <c r="I4684" t="str">
        <f t="shared" si="73"/>
        <v>GREEN LEAVES AND BEADS PHONE CHARM [90128C]</v>
      </c>
    </row>
    <row r="4685" spans="1:9" x14ac:dyDescent="0.3">
      <c r="A4685" s="1" t="s">
        <v>433</v>
      </c>
      <c r="B4685" t="s">
        <v>432</v>
      </c>
      <c r="C4685" s="1">
        <v>2.46</v>
      </c>
      <c r="D4685" s="1">
        <v>1</v>
      </c>
      <c r="E4685" s="2">
        <v>1.8571428571428501</v>
      </c>
      <c r="F4685" s="1">
        <v>7</v>
      </c>
      <c r="G4685" s="1">
        <v>21.24</v>
      </c>
      <c r="H4685" s="1" t="s">
        <v>8</v>
      </c>
      <c r="I4685" t="str">
        <f t="shared" si="73"/>
        <v>PURPLE LEAVES AND BEADS PHONE CHAR [90128D]</v>
      </c>
    </row>
    <row r="4686" spans="1:9" x14ac:dyDescent="0.3">
      <c r="A4686" s="1" t="s">
        <v>431</v>
      </c>
      <c r="B4686" t="s">
        <v>430</v>
      </c>
      <c r="C4686" s="1">
        <v>1.7749999999999999</v>
      </c>
      <c r="D4686" s="1">
        <v>5.5</v>
      </c>
      <c r="E4686" s="1">
        <v>7.55</v>
      </c>
      <c r="F4686" s="1">
        <v>20</v>
      </c>
      <c r="G4686" s="1">
        <v>295.38</v>
      </c>
      <c r="H4686" s="1" t="s">
        <v>8</v>
      </c>
      <c r="I4686" t="str">
        <f t="shared" si="73"/>
        <v>PINK GLASS TASSLE BAG CHARM [90129A]</v>
      </c>
    </row>
    <row r="4687" spans="1:9" x14ac:dyDescent="0.3">
      <c r="A4687" s="1" t="s">
        <v>429</v>
      </c>
      <c r="B4687" t="s">
        <v>428</v>
      </c>
      <c r="C4687" s="1">
        <v>2.17</v>
      </c>
      <c r="D4687" s="1">
        <v>4</v>
      </c>
      <c r="E4687" s="2">
        <v>6.6363636363636296</v>
      </c>
      <c r="F4687" s="1">
        <v>22</v>
      </c>
      <c r="G4687" s="1">
        <v>329.95</v>
      </c>
      <c r="H4687" s="1" t="s">
        <v>8</v>
      </c>
      <c r="I4687" t="str">
        <f t="shared" si="73"/>
        <v>TURQUOISE GLASS TASSLE BAG CHARM [90129B]</v>
      </c>
    </row>
    <row r="4688" spans="1:9" x14ac:dyDescent="0.3">
      <c r="A4688" s="1" t="s">
        <v>427</v>
      </c>
      <c r="B4688" t="s">
        <v>426</v>
      </c>
      <c r="C4688" s="1">
        <v>2.09</v>
      </c>
      <c r="D4688" s="1">
        <v>3</v>
      </c>
      <c r="E4688" s="2">
        <v>5.6315789473684204</v>
      </c>
      <c r="F4688" s="1">
        <v>19</v>
      </c>
      <c r="G4688" s="1">
        <v>243.38</v>
      </c>
      <c r="H4688" s="1" t="s">
        <v>8</v>
      </c>
      <c r="I4688" t="str">
        <f t="shared" si="73"/>
        <v>GREEN GLASS TASSLE BAG CHARM [90129C]</v>
      </c>
    </row>
    <row r="4689" spans="1:9" x14ac:dyDescent="0.3">
      <c r="A4689" s="1" t="s">
        <v>425</v>
      </c>
      <c r="B4689" t="s">
        <v>424</v>
      </c>
      <c r="C4689" s="1">
        <v>2.1800000000000002</v>
      </c>
      <c r="D4689" s="1">
        <v>3</v>
      </c>
      <c r="E4689" s="2">
        <v>4.4666666666666597</v>
      </c>
      <c r="F4689" s="1">
        <v>15</v>
      </c>
      <c r="G4689" s="1">
        <v>161.57</v>
      </c>
      <c r="H4689" s="1" t="s">
        <v>8</v>
      </c>
      <c r="I4689" t="str">
        <f t="shared" si="73"/>
        <v>AMBER GLASS TASSLE BAG CHARM [90129D]</v>
      </c>
    </row>
    <row r="4690" spans="1:9" x14ac:dyDescent="0.3">
      <c r="A4690" s="1" t="s">
        <v>423</v>
      </c>
      <c r="B4690" t="s">
        <v>422</v>
      </c>
      <c r="C4690" s="1">
        <v>1.66</v>
      </c>
      <c r="D4690" s="1">
        <v>4</v>
      </c>
      <c r="E4690" s="2">
        <v>6.7894736842105203</v>
      </c>
      <c r="F4690" s="1">
        <v>19</v>
      </c>
      <c r="G4690" s="1">
        <v>263.14</v>
      </c>
      <c r="H4690" s="1" t="s">
        <v>8</v>
      </c>
      <c r="I4690" t="str">
        <f t="shared" si="73"/>
        <v>PURPLE GLASS TASSLE BAG CHARM [90129E]</v>
      </c>
    </row>
    <row r="4691" spans="1:9" x14ac:dyDescent="0.3">
      <c r="A4691" s="1" t="s">
        <v>421</v>
      </c>
      <c r="B4691" t="s">
        <v>420</v>
      </c>
      <c r="C4691" s="1">
        <v>2.2200000000000002</v>
      </c>
      <c r="D4691" s="1">
        <v>4</v>
      </c>
      <c r="E4691" s="2">
        <v>4.2631578947368398</v>
      </c>
      <c r="F4691" s="1">
        <v>19</v>
      </c>
      <c r="G4691" s="1">
        <v>183.26</v>
      </c>
      <c r="H4691" s="1" t="s">
        <v>8</v>
      </c>
      <c r="I4691" t="str">
        <f t="shared" si="73"/>
        <v>RED GLASS TASSLE BAG CHARM [90129F]</v>
      </c>
    </row>
    <row r="4692" spans="1:9" x14ac:dyDescent="0.3">
      <c r="A4692" s="1" t="s">
        <v>419</v>
      </c>
      <c r="B4692" t="s">
        <v>418</v>
      </c>
      <c r="C4692" s="1">
        <v>2.95</v>
      </c>
      <c r="D4692" s="1">
        <v>1.5</v>
      </c>
      <c r="E4692" s="1">
        <v>2.8</v>
      </c>
      <c r="F4692" s="1">
        <v>10</v>
      </c>
      <c r="G4692" s="1">
        <v>82.51</v>
      </c>
      <c r="H4692" s="1" t="s">
        <v>8</v>
      </c>
      <c r="I4692" t="str">
        <f t="shared" si="73"/>
        <v>WHITE STONE/CRYSTAL EARRINGS [90130A]</v>
      </c>
    </row>
    <row r="4693" spans="1:9" x14ac:dyDescent="0.3">
      <c r="A4693" s="1" t="s">
        <v>417</v>
      </c>
      <c r="B4693" t="s">
        <v>416</v>
      </c>
      <c r="C4693" s="1">
        <v>2.94</v>
      </c>
      <c r="D4693" s="1">
        <v>2</v>
      </c>
      <c r="E4693" s="2">
        <v>3.0476190476190399</v>
      </c>
      <c r="F4693" s="1">
        <v>21</v>
      </c>
      <c r="G4693" s="1">
        <v>188.09</v>
      </c>
      <c r="H4693" s="1" t="s">
        <v>8</v>
      </c>
      <c r="I4693" t="str">
        <f t="shared" si="73"/>
        <v>TURQ STONE/CRYSTAL EARRINGS [90130B]</v>
      </c>
    </row>
    <row r="4694" spans="1:9" x14ac:dyDescent="0.3">
      <c r="A4694" s="1" t="s">
        <v>415</v>
      </c>
      <c r="B4694" t="s">
        <v>414</v>
      </c>
      <c r="C4694" s="1">
        <v>2.9550000000000001</v>
      </c>
      <c r="D4694" s="1">
        <v>1</v>
      </c>
      <c r="E4694" s="2">
        <v>1.78571428571428</v>
      </c>
      <c r="F4694" s="1">
        <v>14</v>
      </c>
      <c r="G4694" s="1">
        <v>73.62</v>
      </c>
      <c r="H4694" s="1" t="s">
        <v>8</v>
      </c>
      <c r="I4694" t="str">
        <f t="shared" si="73"/>
        <v>GREEN STONE/CRYSTAL EARRINGS [90130C]</v>
      </c>
    </row>
    <row r="4695" spans="1:9" x14ac:dyDescent="0.3">
      <c r="A4695" s="1" t="s">
        <v>413</v>
      </c>
      <c r="B4695" t="s">
        <v>412</v>
      </c>
      <c r="C4695" s="1">
        <v>2.96</v>
      </c>
      <c r="D4695" s="1">
        <v>1</v>
      </c>
      <c r="E4695" s="2">
        <v>1.8571428571428501</v>
      </c>
      <c r="F4695" s="1">
        <v>7</v>
      </c>
      <c r="G4695" s="1">
        <v>38.31</v>
      </c>
      <c r="H4695" s="1" t="s">
        <v>8</v>
      </c>
      <c r="I4695" t="str">
        <f t="shared" si="73"/>
        <v>RED STONE/CRYSTAL EARRINGS [90130D]</v>
      </c>
    </row>
    <row r="4696" spans="1:9" x14ac:dyDescent="0.3">
      <c r="A4696" s="1">
        <v>90131</v>
      </c>
      <c r="B4696" t="s">
        <v>411</v>
      </c>
      <c r="C4696" s="1">
        <v>6.95</v>
      </c>
      <c r="D4696" s="1">
        <v>2</v>
      </c>
      <c r="E4696" s="1">
        <v>2</v>
      </c>
      <c r="F4696" s="1">
        <v>5</v>
      </c>
      <c r="G4696" s="1">
        <v>69.62</v>
      </c>
      <c r="H4696" s="1" t="s">
        <v>8</v>
      </c>
      <c r="I4696" t="str">
        <f t="shared" si="73"/>
        <v>PINK/AMETHYST/GOLD NECKLACE [90131]</v>
      </c>
    </row>
    <row r="4697" spans="1:9" x14ac:dyDescent="0.3">
      <c r="A4697" s="1">
        <v>90132</v>
      </c>
      <c r="B4697" t="s">
        <v>410</v>
      </c>
      <c r="C4697" s="1">
        <v>5.09</v>
      </c>
      <c r="D4697" s="1">
        <v>1</v>
      </c>
      <c r="E4697" s="1">
        <v>1</v>
      </c>
      <c r="F4697" s="1">
        <v>7</v>
      </c>
      <c r="G4697" s="1">
        <v>35.630000000000003</v>
      </c>
      <c r="H4697" s="1" t="s">
        <v>8</v>
      </c>
      <c r="I4697" t="str">
        <f t="shared" si="73"/>
        <v>LIGHT TOPAZ TEAL/AQUA COL NECKLACE [90132]</v>
      </c>
    </row>
    <row r="4698" spans="1:9" x14ac:dyDescent="0.3">
      <c r="A4698" s="1">
        <v>90133</v>
      </c>
      <c r="B4698" t="s">
        <v>409</v>
      </c>
      <c r="C4698" s="1">
        <v>4.99</v>
      </c>
      <c r="D4698" s="1">
        <v>2.5</v>
      </c>
      <c r="E4698" s="2">
        <v>3.3571428571428501</v>
      </c>
      <c r="F4698" s="1">
        <v>14</v>
      </c>
      <c r="G4698" s="1">
        <v>236.46</v>
      </c>
      <c r="H4698" s="1" t="s">
        <v>8</v>
      </c>
      <c r="I4698" t="str">
        <f t="shared" si="73"/>
        <v>TEAL/FUSCHIA COL BEAD NECKLACE [90133]</v>
      </c>
    </row>
    <row r="4699" spans="1:9" x14ac:dyDescent="0.3">
      <c r="A4699" s="1">
        <v>90134</v>
      </c>
      <c r="B4699" t="s">
        <v>408</v>
      </c>
      <c r="C4699" s="1">
        <v>2.9550000000000001</v>
      </c>
      <c r="D4699" s="1">
        <v>4.5</v>
      </c>
      <c r="E4699" s="1">
        <v>5.25</v>
      </c>
      <c r="F4699" s="1">
        <v>24</v>
      </c>
      <c r="G4699" s="1">
        <v>370.92</v>
      </c>
      <c r="H4699" s="1" t="s">
        <v>8</v>
      </c>
      <c r="I4699" t="str">
        <f t="shared" si="73"/>
        <v>OLD ROSE COMBO BEAD NECKLACE [90134]</v>
      </c>
    </row>
    <row r="4700" spans="1:9" x14ac:dyDescent="0.3">
      <c r="A4700" s="1">
        <v>90135</v>
      </c>
      <c r="B4700" t="s">
        <v>407</v>
      </c>
      <c r="C4700" s="1">
        <v>4.9800000000000004</v>
      </c>
      <c r="D4700" s="1">
        <v>2</v>
      </c>
      <c r="E4700" s="1">
        <v>3</v>
      </c>
      <c r="F4700" s="1">
        <v>3</v>
      </c>
      <c r="G4700" s="1">
        <v>44.75</v>
      </c>
      <c r="H4700" s="1" t="s">
        <v>8</v>
      </c>
      <c r="I4700" t="str">
        <f t="shared" si="73"/>
        <v>ORANGE/WHT/FUSCHIA STONES NECKLACE [90135]</v>
      </c>
    </row>
    <row r="4701" spans="1:9" x14ac:dyDescent="0.3">
      <c r="A4701" s="1" t="s">
        <v>406</v>
      </c>
      <c r="B4701" t="s">
        <v>405</v>
      </c>
      <c r="C4701" s="1">
        <v>4.9649999999999999</v>
      </c>
      <c r="D4701" s="1">
        <v>2</v>
      </c>
      <c r="E4701" s="1">
        <v>2.75</v>
      </c>
      <c r="F4701" s="1">
        <v>4</v>
      </c>
      <c r="G4701" s="1">
        <v>54.62</v>
      </c>
      <c r="H4701" s="1" t="s">
        <v>8</v>
      </c>
      <c r="I4701" t="str">
        <f t="shared" si="73"/>
        <v>ORANGE/FUSCHIA STONES NECKLACE [90135A]</v>
      </c>
    </row>
    <row r="4702" spans="1:9" x14ac:dyDescent="0.3">
      <c r="A4702" s="1">
        <v>90136</v>
      </c>
      <c r="B4702" t="s">
        <v>404</v>
      </c>
      <c r="C4702" s="1">
        <v>9.9499999999999993</v>
      </c>
      <c r="D4702" s="1">
        <v>1</v>
      </c>
      <c r="E4702" s="2">
        <v>1.3333333333333299</v>
      </c>
      <c r="F4702" s="1">
        <v>3</v>
      </c>
      <c r="G4702" s="1">
        <v>40.47</v>
      </c>
      <c r="H4702" s="1" t="s">
        <v>8</v>
      </c>
      <c r="I4702" t="str">
        <f t="shared" si="73"/>
        <v>PALE PINK/AMETHYST STONE NECKLACE [90136]</v>
      </c>
    </row>
    <row r="4703" spans="1:9" x14ac:dyDescent="0.3">
      <c r="A4703" s="1">
        <v>90137</v>
      </c>
      <c r="B4703" t="s">
        <v>403</v>
      </c>
      <c r="C4703" s="1">
        <v>5.2050000000000001</v>
      </c>
      <c r="D4703" s="1">
        <v>2</v>
      </c>
      <c r="E4703" s="1">
        <v>3.25</v>
      </c>
      <c r="F4703" s="1">
        <v>8</v>
      </c>
      <c r="G4703" s="1">
        <v>132.52000000000001</v>
      </c>
      <c r="H4703" s="1" t="s">
        <v>8</v>
      </c>
      <c r="I4703" t="str">
        <f t="shared" si="73"/>
        <v>PINK COMBO MINI CRYSTALS NECKLACE [90137]</v>
      </c>
    </row>
    <row r="4704" spans="1:9" x14ac:dyDescent="0.3">
      <c r="A4704" s="1">
        <v>90138</v>
      </c>
      <c r="B4704" t="s">
        <v>402</v>
      </c>
      <c r="C4704" s="1">
        <v>5.4</v>
      </c>
      <c r="D4704" s="1">
        <v>1</v>
      </c>
      <c r="E4704" s="1">
        <v>2</v>
      </c>
      <c r="F4704" s="1">
        <v>12</v>
      </c>
      <c r="G4704" s="1">
        <v>125.64</v>
      </c>
      <c r="H4704" s="1" t="s">
        <v>8</v>
      </c>
      <c r="I4704" t="str">
        <f t="shared" si="73"/>
        <v>WHITE/PINK MINI CRYSTALS NECKLACE [90138]</v>
      </c>
    </row>
    <row r="4705" spans="1:9" x14ac:dyDescent="0.3">
      <c r="A4705" s="1">
        <v>90139</v>
      </c>
      <c r="B4705" t="s">
        <v>401</v>
      </c>
      <c r="C4705" s="1">
        <v>5.17</v>
      </c>
      <c r="D4705" s="1">
        <v>4</v>
      </c>
      <c r="E4705" s="2">
        <v>7.6666666666666599</v>
      </c>
      <c r="F4705" s="1">
        <v>3</v>
      </c>
      <c r="G4705" s="2">
        <v>118.24</v>
      </c>
      <c r="H4705" s="1" t="s">
        <v>8</v>
      </c>
      <c r="I4705" t="str">
        <f t="shared" si="73"/>
        <v>FLOWER BROOCH 4 ASSORTED COLOURS [90139]</v>
      </c>
    </row>
    <row r="4706" spans="1:9" x14ac:dyDescent="0.3">
      <c r="A4706" s="1">
        <v>90140</v>
      </c>
      <c r="B4706" t="s">
        <v>400</v>
      </c>
      <c r="C4706" s="1">
        <v>7.5</v>
      </c>
      <c r="D4706" s="1">
        <v>1</v>
      </c>
      <c r="E4706" s="2">
        <v>1.28571428571428</v>
      </c>
      <c r="F4706" s="1">
        <v>7</v>
      </c>
      <c r="G4706" s="1">
        <v>67.900000000000006</v>
      </c>
      <c r="H4706" s="1" t="s">
        <v>8</v>
      </c>
      <c r="I4706" t="str">
        <f t="shared" si="73"/>
        <v>PINK SWEETIE NECKLACE [90140]</v>
      </c>
    </row>
    <row r="4707" spans="1:9" x14ac:dyDescent="0.3">
      <c r="A4707" s="1" t="s">
        <v>399</v>
      </c>
      <c r="B4707" t="s">
        <v>398</v>
      </c>
      <c r="C4707" s="1">
        <v>5.4</v>
      </c>
      <c r="D4707" s="1">
        <v>2</v>
      </c>
      <c r="E4707" s="1">
        <v>2</v>
      </c>
      <c r="F4707" s="1">
        <v>10</v>
      </c>
      <c r="G4707" s="1">
        <v>104.95</v>
      </c>
      <c r="H4707" s="1" t="s">
        <v>8</v>
      </c>
      <c r="I4707" t="str">
        <f t="shared" si="73"/>
        <v>GREEN PENDANT TRIPLE SHELL NECKLACE [90141A]</v>
      </c>
    </row>
    <row r="4708" spans="1:9" x14ac:dyDescent="0.3">
      <c r="A4708" s="1" t="s">
        <v>397</v>
      </c>
      <c r="B4708" t="s">
        <v>396</v>
      </c>
      <c r="C4708" s="1">
        <v>4.9800000000000004</v>
      </c>
      <c r="D4708" s="1">
        <v>1</v>
      </c>
      <c r="E4708" s="2">
        <v>1.44444444444444</v>
      </c>
      <c r="F4708" s="1">
        <v>9</v>
      </c>
      <c r="G4708" s="1">
        <v>64.94</v>
      </c>
      <c r="H4708" s="1" t="s">
        <v>8</v>
      </c>
      <c r="I4708" t="str">
        <f t="shared" si="73"/>
        <v>IVORY PENDANT TRIPLE SHELL NECKLACE [90141B]</v>
      </c>
    </row>
    <row r="4709" spans="1:9" x14ac:dyDescent="0.3">
      <c r="A4709" s="1" t="s">
        <v>395</v>
      </c>
      <c r="B4709" t="s">
        <v>394</v>
      </c>
      <c r="C4709" s="1">
        <v>5.4</v>
      </c>
      <c r="D4709" s="1">
        <v>1</v>
      </c>
      <c r="E4709" s="1">
        <v>1.6</v>
      </c>
      <c r="F4709" s="1">
        <v>10</v>
      </c>
      <c r="G4709" s="1">
        <v>83.69</v>
      </c>
      <c r="H4709" s="1" t="s">
        <v>8</v>
      </c>
      <c r="I4709" t="str">
        <f t="shared" si="73"/>
        <v>TURQ PENDANT TRIPLE SHELL NECKLACE [90141C]</v>
      </c>
    </row>
    <row r="4710" spans="1:9" x14ac:dyDescent="0.3">
      <c r="A4710" s="1" t="s">
        <v>393</v>
      </c>
      <c r="B4710" t="s">
        <v>392</v>
      </c>
      <c r="C4710" s="1">
        <v>5.51</v>
      </c>
      <c r="D4710" s="1">
        <v>1</v>
      </c>
      <c r="E4710" s="1">
        <v>1.4</v>
      </c>
      <c r="F4710" s="1">
        <v>5</v>
      </c>
      <c r="G4710" s="1">
        <v>36.33</v>
      </c>
      <c r="H4710" s="1" t="s">
        <v>8</v>
      </c>
      <c r="I4710" t="str">
        <f t="shared" si="73"/>
        <v>ROSE PENDANT TRIPLE SHELL NECKLACE [90141D]</v>
      </c>
    </row>
    <row r="4711" spans="1:9" x14ac:dyDescent="0.3">
      <c r="A4711" s="1" t="s">
        <v>391</v>
      </c>
      <c r="B4711" t="s">
        <v>390</v>
      </c>
      <c r="C4711" s="1">
        <v>4.95</v>
      </c>
      <c r="D4711" s="1">
        <v>2</v>
      </c>
      <c r="E4711" s="1">
        <v>2</v>
      </c>
      <c r="F4711" s="1">
        <v>5</v>
      </c>
      <c r="G4711" s="1">
        <v>50.06</v>
      </c>
      <c r="H4711" s="1" t="s">
        <v>8</v>
      </c>
      <c r="I4711" t="str">
        <f t="shared" si="73"/>
        <v>ORANGE PENDANT TRIPLE SHELL NECKLAC [90141E]</v>
      </c>
    </row>
    <row r="4712" spans="1:9" x14ac:dyDescent="0.3">
      <c r="A4712" s="1" t="s">
        <v>389</v>
      </c>
      <c r="B4712" t="s">
        <v>388</v>
      </c>
      <c r="C4712" s="1">
        <v>5.09</v>
      </c>
      <c r="D4712" s="1">
        <v>1</v>
      </c>
      <c r="E4712" s="1">
        <v>1.25</v>
      </c>
      <c r="F4712" s="1">
        <v>4</v>
      </c>
      <c r="G4712" s="1">
        <v>25.45</v>
      </c>
      <c r="H4712" s="1" t="s">
        <v>8</v>
      </c>
      <c r="I4712" t="str">
        <f t="shared" si="73"/>
        <v>GREEN PENDANT SHELL NECKLACE [90142A]</v>
      </c>
    </row>
    <row r="4713" spans="1:9" x14ac:dyDescent="0.3">
      <c r="A4713" s="1" t="s">
        <v>387</v>
      </c>
      <c r="B4713" t="s">
        <v>386</v>
      </c>
      <c r="C4713" s="1">
        <v>5.09</v>
      </c>
      <c r="D4713" s="1">
        <v>1</v>
      </c>
      <c r="E4713" s="1">
        <v>1</v>
      </c>
      <c r="F4713" s="1">
        <v>1</v>
      </c>
      <c r="G4713" s="1">
        <v>5.09</v>
      </c>
      <c r="H4713" s="1" t="s">
        <v>8</v>
      </c>
      <c r="I4713" t="str">
        <f t="shared" si="73"/>
        <v>IVORY PENDANT SHELL NECKLACE [90142B]</v>
      </c>
    </row>
    <row r="4714" spans="1:9" x14ac:dyDescent="0.3">
      <c r="A4714" s="1" t="s">
        <v>385</v>
      </c>
      <c r="B4714" t="s">
        <v>384</v>
      </c>
      <c r="C4714" s="1">
        <v>5.09</v>
      </c>
      <c r="D4714" s="1">
        <v>1</v>
      </c>
      <c r="E4714" s="1">
        <v>1</v>
      </c>
      <c r="F4714" s="1">
        <v>1</v>
      </c>
      <c r="G4714" s="1">
        <v>5.09</v>
      </c>
      <c r="H4714" s="1" t="s">
        <v>8</v>
      </c>
      <c r="I4714" t="str">
        <f t="shared" si="73"/>
        <v>ROSE PINK PENDANT SHELL NECKLACE [90142C]</v>
      </c>
    </row>
    <row r="4715" spans="1:9" x14ac:dyDescent="0.3">
      <c r="A4715" s="1" t="s">
        <v>383</v>
      </c>
      <c r="B4715" t="s">
        <v>382</v>
      </c>
      <c r="C4715" s="1">
        <v>4.95</v>
      </c>
      <c r="D4715" s="1">
        <v>2</v>
      </c>
      <c r="E4715" s="1">
        <v>2.75</v>
      </c>
      <c r="F4715" s="1">
        <v>4</v>
      </c>
      <c r="G4715" s="2">
        <v>54.589999999999897</v>
      </c>
      <c r="H4715" s="1" t="s">
        <v>8</v>
      </c>
      <c r="I4715" t="str">
        <f t="shared" si="73"/>
        <v>MOP PENDANT SHELL NECKLACE [90142D]</v>
      </c>
    </row>
    <row r="4716" spans="1:9" x14ac:dyDescent="0.3">
      <c r="A4716" s="1">
        <v>90143</v>
      </c>
      <c r="B4716" t="s">
        <v>381</v>
      </c>
      <c r="C4716" s="1">
        <v>7.5949999999999998</v>
      </c>
      <c r="D4716" s="1">
        <v>3</v>
      </c>
      <c r="E4716" s="1">
        <v>3.95</v>
      </c>
      <c r="F4716" s="1">
        <v>20</v>
      </c>
      <c r="G4716" s="1">
        <v>599.13</v>
      </c>
      <c r="H4716" s="1" t="s">
        <v>8</v>
      </c>
      <c r="I4716" t="str">
        <f t="shared" si="73"/>
        <v>SILVER BRACELET W PASTEL FLOWER [90143]</v>
      </c>
    </row>
    <row r="4717" spans="1:9" x14ac:dyDescent="0.3">
      <c r="A4717" s="1">
        <v>90144</v>
      </c>
      <c r="B4717" t="s">
        <v>380</v>
      </c>
      <c r="C4717" s="1">
        <v>3.75</v>
      </c>
      <c r="D4717" s="1">
        <v>2</v>
      </c>
      <c r="E4717" s="2">
        <v>2.7894736842105199</v>
      </c>
      <c r="F4717" s="1">
        <v>19</v>
      </c>
      <c r="G4717" s="1">
        <v>199.45</v>
      </c>
      <c r="H4717" s="1" t="s">
        <v>8</v>
      </c>
      <c r="I4717" t="str">
        <f t="shared" si="73"/>
        <v>SILVER DROP EARRINGS WITH FLOWER [90144]</v>
      </c>
    </row>
    <row r="4718" spans="1:9" x14ac:dyDescent="0.3">
      <c r="A4718" s="1">
        <v>90145</v>
      </c>
      <c r="B4718" t="s">
        <v>379</v>
      </c>
      <c r="C4718" s="1">
        <v>6.04</v>
      </c>
      <c r="D4718" s="1">
        <v>3</v>
      </c>
      <c r="E4718" s="2">
        <v>3.5714285714285698</v>
      </c>
      <c r="F4718" s="1">
        <v>21</v>
      </c>
      <c r="G4718" s="1">
        <v>455.86</v>
      </c>
      <c r="H4718" s="1" t="s">
        <v>8</v>
      </c>
      <c r="I4718" t="str">
        <f t="shared" si="73"/>
        <v>SILVER HOOP EARRINGS WITH FLOWER [90145]</v>
      </c>
    </row>
    <row r="4719" spans="1:9" x14ac:dyDescent="0.3">
      <c r="A4719" s="1">
        <v>90146</v>
      </c>
      <c r="B4719" t="s">
        <v>378</v>
      </c>
      <c r="C4719" s="1">
        <v>7.5</v>
      </c>
      <c r="D4719" s="1">
        <v>2</v>
      </c>
      <c r="E4719" s="2">
        <v>3.4166666666666599</v>
      </c>
      <c r="F4719" s="1">
        <v>12</v>
      </c>
      <c r="G4719" s="1">
        <v>276.49</v>
      </c>
      <c r="H4719" s="1" t="s">
        <v>8</v>
      </c>
      <c r="I4719" t="str">
        <f t="shared" si="73"/>
        <v>FINE SILVER NECKLACE W PASTEL FLOWE [90146]</v>
      </c>
    </row>
    <row r="4720" spans="1:9" x14ac:dyDescent="0.3">
      <c r="A4720" s="1">
        <v>90147</v>
      </c>
      <c r="B4720" t="s">
        <v>377</v>
      </c>
      <c r="C4720" s="1">
        <v>10.08</v>
      </c>
      <c r="D4720" s="1">
        <v>5</v>
      </c>
      <c r="E4720" s="2">
        <v>5.1666666666666599</v>
      </c>
      <c r="F4720" s="1">
        <v>18</v>
      </c>
      <c r="G4720" s="1">
        <v>937.45</v>
      </c>
      <c r="H4720" s="1" t="s">
        <v>8</v>
      </c>
      <c r="I4720" t="str">
        <f t="shared" si="73"/>
        <v>CHUNKY SILVER NECKLACE PASTEL FLOWE [90147]</v>
      </c>
    </row>
    <row r="4721" spans="1:9" x14ac:dyDescent="0.3">
      <c r="A4721" s="1">
        <v>90148</v>
      </c>
      <c r="B4721" t="s">
        <v>376</v>
      </c>
      <c r="C4721" s="1">
        <v>12.75</v>
      </c>
      <c r="D4721" s="1">
        <v>2</v>
      </c>
      <c r="E4721" s="2">
        <v>1.9285714285714199</v>
      </c>
      <c r="F4721" s="1">
        <v>14</v>
      </c>
      <c r="G4721" s="1">
        <v>343.98</v>
      </c>
      <c r="H4721" s="1" t="s">
        <v>8</v>
      </c>
      <c r="I4721" t="str">
        <f t="shared" si="73"/>
        <v>LONG SILVER NECKLACE PASTEL FLOWER [90148]</v>
      </c>
    </row>
    <row r="4722" spans="1:9" x14ac:dyDescent="0.3">
      <c r="A4722" s="1">
        <v>90149</v>
      </c>
      <c r="B4722" t="s">
        <v>375</v>
      </c>
      <c r="C4722" s="1">
        <v>7.5</v>
      </c>
      <c r="D4722" s="1">
        <v>1.5</v>
      </c>
      <c r="E4722" s="1">
        <v>7.75</v>
      </c>
      <c r="F4722" s="1">
        <v>8</v>
      </c>
      <c r="G4722" s="1">
        <v>410.26</v>
      </c>
      <c r="H4722" s="1" t="s">
        <v>8</v>
      </c>
      <c r="I4722" t="str">
        <f t="shared" si="73"/>
        <v>SILVER FLOWR PINK SHELL NECKLACE [90149]</v>
      </c>
    </row>
    <row r="4723" spans="1:9" x14ac:dyDescent="0.3">
      <c r="A4723" s="1">
        <v>90150</v>
      </c>
      <c r="B4723" t="s">
        <v>374</v>
      </c>
      <c r="C4723" s="1">
        <v>7.5</v>
      </c>
      <c r="D4723" s="1">
        <v>2</v>
      </c>
      <c r="E4723" s="2">
        <v>1.8571428571428501</v>
      </c>
      <c r="F4723" s="1">
        <v>7</v>
      </c>
      <c r="G4723" s="1">
        <v>97.5</v>
      </c>
      <c r="H4723" s="1" t="s">
        <v>8</v>
      </c>
      <c r="I4723" t="str">
        <f t="shared" si="73"/>
        <v>BLUE SHELL+SILVER NECKLACE [90150]</v>
      </c>
    </row>
    <row r="4724" spans="1:9" x14ac:dyDescent="0.3">
      <c r="A4724" s="1">
        <v>90151</v>
      </c>
      <c r="B4724" t="s">
        <v>373</v>
      </c>
      <c r="C4724" s="1">
        <v>8.5</v>
      </c>
      <c r="D4724" s="1">
        <v>2</v>
      </c>
      <c r="E4724" s="2">
        <v>2.2857142857142798</v>
      </c>
      <c r="F4724" s="1">
        <v>7</v>
      </c>
      <c r="G4724" s="1">
        <v>136.16999999999999</v>
      </c>
      <c r="H4724" s="1" t="s">
        <v>8</v>
      </c>
      <c r="I4724" t="str">
        <f t="shared" si="73"/>
        <v>SILVER/NATURAL SHELL NECKLACE [90151]</v>
      </c>
    </row>
    <row r="4725" spans="1:9" x14ac:dyDescent="0.3">
      <c r="A4725" s="1" t="s">
        <v>372</v>
      </c>
      <c r="B4725" t="s">
        <v>371</v>
      </c>
      <c r="C4725" s="1">
        <v>5.95</v>
      </c>
      <c r="D4725" s="1">
        <v>1</v>
      </c>
      <c r="E4725" s="1">
        <v>1</v>
      </c>
      <c r="F4725" s="1">
        <v>7</v>
      </c>
      <c r="G4725" s="1">
        <v>40.340000000000003</v>
      </c>
      <c r="H4725" s="1" t="s">
        <v>8</v>
      </c>
      <c r="I4725" t="str">
        <f t="shared" si="73"/>
        <v>SILVER/NAT SHELL NECKLACE W PENDANT [90152A]</v>
      </c>
    </row>
    <row r="4726" spans="1:9" x14ac:dyDescent="0.3">
      <c r="A4726" s="1" t="s">
        <v>370</v>
      </c>
      <c r="B4726" t="s">
        <v>369</v>
      </c>
      <c r="C4726" s="1">
        <v>5.95</v>
      </c>
      <c r="D4726" s="1">
        <v>1.5</v>
      </c>
      <c r="E4726" s="1">
        <v>1.5</v>
      </c>
      <c r="F4726" s="1">
        <v>4</v>
      </c>
      <c r="G4726" s="2">
        <v>35.26</v>
      </c>
      <c r="H4726" s="1" t="s">
        <v>8</v>
      </c>
      <c r="I4726" t="str">
        <f t="shared" si="73"/>
        <v>BLUE/GREEN SHELL NECKLACE W PENDANT [90152B]</v>
      </c>
    </row>
    <row r="4727" spans="1:9" x14ac:dyDescent="0.3">
      <c r="A4727" s="1" t="s">
        <v>368</v>
      </c>
      <c r="B4727" t="s">
        <v>367</v>
      </c>
      <c r="C4727" s="1">
        <v>5.95</v>
      </c>
      <c r="D4727" s="1">
        <v>1.5</v>
      </c>
      <c r="E4727" s="1">
        <v>1.75</v>
      </c>
      <c r="F4727" s="1">
        <v>4</v>
      </c>
      <c r="G4727" s="2">
        <v>41.65</v>
      </c>
      <c r="H4727" s="1" t="s">
        <v>8</v>
      </c>
      <c r="I4727" t="str">
        <f t="shared" si="73"/>
        <v>BLUE/NAT SHELL NECKLACE W PENDANT [90152C]</v>
      </c>
    </row>
    <row r="4728" spans="1:9" x14ac:dyDescent="0.3">
      <c r="A4728" s="1">
        <v>90154</v>
      </c>
      <c r="B4728" t="s">
        <v>366</v>
      </c>
      <c r="C4728" s="1">
        <v>8.9499999999999993</v>
      </c>
      <c r="D4728" s="1">
        <v>1</v>
      </c>
      <c r="E4728" s="2">
        <v>8.4285714285714199</v>
      </c>
      <c r="F4728" s="1">
        <v>7</v>
      </c>
      <c r="G4728" s="1">
        <v>439.65</v>
      </c>
      <c r="H4728" s="1" t="s">
        <v>8</v>
      </c>
      <c r="I4728" t="str">
        <f t="shared" si="73"/>
        <v>LAZER CUT NECKLACE W PASTEL BEADS [90154]</v>
      </c>
    </row>
    <row r="4729" spans="1:9" x14ac:dyDescent="0.3">
      <c r="A4729" s="1">
        <v>90155</v>
      </c>
      <c r="B4729" t="s">
        <v>365</v>
      </c>
      <c r="C4729" s="1">
        <v>7.5</v>
      </c>
      <c r="D4729" s="1">
        <v>2</v>
      </c>
      <c r="E4729" s="2">
        <v>2.1428571428571401</v>
      </c>
      <c r="F4729" s="1">
        <v>14</v>
      </c>
      <c r="G4729" s="1">
        <v>226.16</v>
      </c>
      <c r="H4729" s="1" t="s">
        <v>8</v>
      </c>
      <c r="I4729" t="str">
        <f t="shared" si="73"/>
        <v>RESIN NECKLACE W PASTEL BEADS [90155]</v>
      </c>
    </row>
    <row r="4730" spans="1:9" x14ac:dyDescent="0.3">
      <c r="A4730" s="1">
        <v>90156</v>
      </c>
      <c r="B4730" t="s">
        <v>364</v>
      </c>
      <c r="C4730" s="1">
        <v>4.95</v>
      </c>
      <c r="D4730" s="1">
        <v>2</v>
      </c>
      <c r="E4730" s="1">
        <v>3.125</v>
      </c>
      <c r="F4730" s="1">
        <v>8</v>
      </c>
      <c r="G4730" s="1">
        <v>137.37</v>
      </c>
      <c r="H4730" s="1" t="s">
        <v>8</v>
      </c>
      <c r="I4730" t="str">
        <f t="shared" si="73"/>
        <v>RESIN BRACELET W PASTEL BEADS [90156]</v>
      </c>
    </row>
    <row r="4731" spans="1:9" x14ac:dyDescent="0.3">
      <c r="A4731" s="1">
        <v>90157</v>
      </c>
      <c r="B4731" t="s">
        <v>363</v>
      </c>
      <c r="C4731" s="2">
        <v>4.97</v>
      </c>
      <c r="D4731" s="1">
        <v>3.5</v>
      </c>
      <c r="E4731" s="2">
        <v>4.4166666666666599</v>
      </c>
      <c r="F4731" s="1">
        <v>12</v>
      </c>
      <c r="G4731" s="2">
        <v>263.27999999999997</v>
      </c>
      <c r="H4731" s="1" t="s">
        <v>8</v>
      </c>
      <c r="I4731" t="str">
        <f t="shared" si="73"/>
        <v>RIVIERA NECKLACE [90157]</v>
      </c>
    </row>
    <row r="4732" spans="1:9" x14ac:dyDescent="0.3">
      <c r="A4732" s="1">
        <v>90158</v>
      </c>
      <c r="B4732" t="s">
        <v>362</v>
      </c>
      <c r="C4732" s="1">
        <v>5.01</v>
      </c>
      <c r="D4732" s="1">
        <v>3</v>
      </c>
      <c r="E4732" s="2">
        <v>3.3478260869565202</v>
      </c>
      <c r="F4732" s="1">
        <v>23</v>
      </c>
      <c r="G4732" s="1">
        <v>386.32</v>
      </c>
      <c r="H4732" s="1" t="s">
        <v>8</v>
      </c>
      <c r="I4732" t="str">
        <f t="shared" si="73"/>
        <v>ST TROPEZ NECKLACE [90158]</v>
      </c>
    </row>
    <row r="4733" spans="1:9" x14ac:dyDescent="0.3">
      <c r="A4733" s="1">
        <v>90159</v>
      </c>
      <c r="B4733" t="s">
        <v>361</v>
      </c>
      <c r="C4733" s="1">
        <v>4.95</v>
      </c>
      <c r="D4733" s="1">
        <v>2</v>
      </c>
      <c r="E4733" s="2">
        <v>2.9230769230769198</v>
      </c>
      <c r="F4733" s="1">
        <v>13</v>
      </c>
      <c r="G4733" s="1">
        <v>188.58</v>
      </c>
      <c r="H4733" s="1" t="s">
        <v>8</v>
      </c>
      <c r="I4733" t="str">
        <f t="shared" si="73"/>
        <v>COTE D'AZURE NECKLACE [90159]</v>
      </c>
    </row>
    <row r="4734" spans="1:9" x14ac:dyDescent="0.3">
      <c r="A4734" s="1" t="s">
        <v>360</v>
      </c>
      <c r="B4734" t="s">
        <v>359</v>
      </c>
      <c r="C4734" s="1">
        <v>6.95</v>
      </c>
      <c r="D4734" s="1">
        <v>2</v>
      </c>
      <c r="E4734" s="2">
        <v>2.88888888888888</v>
      </c>
      <c r="F4734" s="1">
        <v>18</v>
      </c>
      <c r="G4734" s="1">
        <v>362.51</v>
      </c>
      <c r="H4734" s="1" t="s">
        <v>8</v>
      </c>
      <c r="I4734" t="str">
        <f t="shared" si="73"/>
        <v>PURPLE BOUDICCA LARGE BRACELET [90160A]</v>
      </c>
    </row>
    <row r="4735" spans="1:9" x14ac:dyDescent="0.3">
      <c r="A4735" s="1" t="s">
        <v>358</v>
      </c>
      <c r="B4735" t="s">
        <v>357</v>
      </c>
      <c r="C4735" s="1">
        <v>6.95</v>
      </c>
      <c r="D4735" s="1">
        <v>2</v>
      </c>
      <c r="E4735" s="2">
        <v>3.73684210526315</v>
      </c>
      <c r="F4735" s="1">
        <v>19</v>
      </c>
      <c r="G4735" s="1">
        <v>490.92</v>
      </c>
      <c r="H4735" s="1" t="s">
        <v>8</v>
      </c>
      <c r="I4735" t="str">
        <f t="shared" si="73"/>
        <v>RED BOUDICCA LARGE BRACELET [90160B]</v>
      </c>
    </row>
    <row r="4736" spans="1:9" x14ac:dyDescent="0.3">
      <c r="A4736" s="1" t="s">
        <v>356</v>
      </c>
      <c r="B4736" t="s">
        <v>355</v>
      </c>
      <c r="C4736" s="1">
        <v>6.95</v>
      </c>
      <c r="D4736" s="1">
        <v>4</v>
      </c>
      <c r="E4736" s="2">
        <v>4.4090909090909003</v>
      </c>
      <c r="F4736" s="1">
        <v>22</v>
      </c>
      <c r="G4736" s="1">
        <v>677</v>
      </c>
      <c r="H4736" s="1" t="s">
        <v>8</v>
      </c>
      <c r="I4736" t="str">
        <f t="shared" si="73"/>
        <v>TURQ+RED BOUDICCA LARGE BRACELET [90160C]</v>
      </c>
    </row>
    <row r="4737" spans="1:9" x14ac:dyDescent="0.3">
      <c r="A4737" s="1" t="s">
        <v>354</v>
      </c>
      <c r="B4737" t="s">
        <v>353</v>
      </c>
      <c r="C4737" s="1">
        <v>6.95</v>
      </c>
      <c r="D4737" s="1">
        <v>3</v>
      </c>
      <c r="E4737" s="2">
        <v>5.0666666666666602</v>
      </c>
      <c r="F4737" s="1">
        <v>15</v>
      </c>
      <c r="G4737" s="1">
        <v>529.22</v>
      </c>
      <c r="H4737" s="1" t="s">
        <v>8</v>
      </c>
      <c r="I4737" t="str">
        <f t="shared" si="73"/>
        <v>PINK BOUDICCA LARGE BRACELET [90160D]</v>
      </c>
    </row>
    <row r="4738" spans="1:9" x14ac:dyDescent="0.3">
      <c r="A4738" s="1" t="s">
        <v>352</v>
      </c>
      <c r="B4738" t="s">
        <v>351</v>
      </c>
      <c r="C4738" s="1">
        <v>4.9749999999999996</v>
      </c>
      <c r="D4738" s="1">
        <v>3</v>
      </c>
      <c r="E4738" s="1">
        <v>3.5</v>
      </c>
      <c r="F4738" s="1">
        <v>20</v>
      </c>
      <c r="G4738" s="1">
        <v>349.96</v>
      </c>
      <c r="H4738" s="1" t="s">
        <v>8</v>
      </c>
      <c r="I4738" t="str">
        <f t="shared" si="73"/>
        <v>ANT COPPER RED BOUDICCA BRACELET [90161A]</v>
      </c>
    </row>
    <row r="4739" spans="1:9" x14ac:dyDescent="0.3">
      <c r="A4739" s="1" t="s">
        <v>350</v>
      </c>
      <c r="B4739" t="s">
        <v>349</v>
      </c>
      <c r="C4739" s="1">
        <v>4.9800000000000004</v>
      </c>
      <c r="D4739" s="1">
        <v>7</v>
      </c>
      <c r="E4739" s="1">
        <v>7</v>
      </c>
      <c r="F4739" s="1">
        <v>21</v>
      </c>
      <c r="G4739" s="1">
        <v>734.16</v>
      </c>
      <c r="H4739" s="1" t="s">
        <v>8</v>
      </c>
      <c r="I4739" t="str">
        <f t="shared" ref="I4739:I4802" si="74">B4739&amp;" ["&amp;A4739&amp;"]"</f>
        <v>ANT COPPER TURQ BOUDICCA BRACELET [90161B]</v>
      </c>
    </row>
    <row r="4740" spans="1:9" x14ac:dyDescent="0.3">
      <c r="A4740" s="1" t="s">
        <v>348</v>
      </c>
      <c r="B4740" t="s">
        <v>347</v>
      </c>
      <c r="C4740" s="1">
        <v>4.9800000000000004</v>
      </c>
      <c r="D4740" s="1">
        <v>6</v>
      </c>
      <c r="E4740" s="2">
        <v>7.3478260869565197</v>
      </c>
      <c r="F4740" s="1">
        <v>23</v>
      </c>
      <c r="G4740" s="1">
        <v>843.91</v>
      </c>
      <c r="H4740" s="1" t="s">
        <v>8</v>
      </c>
      <c r="I4740" t="str">
        <f t="shared" si="74"/>
        <v>ANT COPPER LIME BOUDICCA BRACELET [90161C]</v>
      </c>
    </row>
    <row r="4741" spans="1:9" x14ac:dyDescent="0.3">
      <c r="A4741" s="1" t="s">
        <v>346</v>
      </c>
      <c r="B4741" t="s">
        <v>345</v>
      </c>
      <c r="C4741" s="1">
        <v>4.9800000000000004</v>
      </c>
      <c r="D4741" s="1">
        <v>6</v>
      </c>
      <c r="E4741" s="2">
        <v>6.5714285714285703</v>
      </c>
      <c r="F4741" s="1">
        <v>21</v>
      </c>
      <c r="G4741" s="1">
        <v>687.52</v>
      </c>
      <c r="H4741" s="1" t="s">
        <v>8</v>
      </c>
      <c r="I4741" t="str">
        <f t="shared" si="74"/>
        <v>ANT COPPER PINK BOUDICCA BRACELET [90161D]</v>
      </c>
    </row>
    <row r="4742" spans="1:9" x14ac:dyDescent="0.3">
      <c r="A4742" s="1" t="s">
        <v>344</v>
      </c>
      <c r="B4742" t="s">
        <v>343</v>
      </c>
      <c r="C4742" s="1">
        <v>2.95</v>
      </c>
      <c r="D4742" s="1">
        <v>4</v>
      </c>
      <c r="E4742" s="2">
        <v>4.2857142857142803</v>
      </c>
      <c r="F4742" s="1">
        <v>7</v>
      </c>
      <c r="G4742" s="1">
        <v>88.5</v>
      </c>
      <c r="H4742" s="1" t="s">
        <v>8</v>
      </c>
      <c r="I4742" t="str">
        <f t="shared" si="74"/>
        <v>ANT SILVER TURQUOISE BOUDICCA RING [90162A]</v>
      </c>
    </row>
    <row r="4743" spans="1:9" x14ac:dyDescent="0.3">
      <c r="A4743" s="1" t="s">
        <v>342</v>
      </c>
      <c r="B4743" t="s">
        <v>341</v>
      </c>
      <c r="C4743" s="1">
        <v>2.95</v>
      </c>
      <c r="D4743" s="1">
        <v>4</v>
      </c>
      <c r="E4743" s="1">
        <v>5</v>
      </c>
      <c r="F4743" s="1">
        <v>11</v>
      </c>
      <c r="G4743" s="1">
        <v>162.25</v>
      </c>
      <c r="H4743" s="1" t="s">
        <v>8</v>
      </c>
      <c r="I4743" t="str">
        <f t="shared" si="74"/>
        <v>ANT SILVER LIME GREEN BOUDICCA RING [90162B]</v>
      </c>
    </row>
    <row r="4744" spans="1:9" x14ac:dyDescent="0.3">
      <c r="A4744" s="1" t="s">
        <v>340</v>
      </c>
      <c r="B4744" t="s">
        <v>339</v>
      </c>
      <c r="C4744" s="1">
        <v>2.95</v>
      </c>
      <c r="D4744" s="1">
        <v>3</v>
      </c>
      <c r="E4744" s="1">
        <v>3.5</v>
      </c>
      <c r="F4744" s="1">
        <v>12</v>
      </c>
      <c r="G4744" s="1">
        <v>123.9</v>
      </c>
      <c r="H4744" s="1" t="s">
        <v>8</v>
      </c>
      <c r="I4744" t="str">
        <f t="shared" si="74"/>
        <v>ANT SILVER FUSCHIA BOUDICCA RING [90162C]</v>
      </c>
    </row>
    <row r="4745" spans="1:9" x14ac:dyDescent="0.3">
      <c r="A4745" s="1" t="s">
        <v>338</v>
      </c>
      <c r="B4745" t="s">
        <v>337</v>
      </c>
      <c r="C4745" s="1">
        <v>2.95</v>
      </c>
      <c r="D4745" s="1">
        <v>3.5</v>
      </c>
      <c r="E4745" s="1">
        <v>3.625</v>
      </c>
      <c r="F4745" s="1">
        <v>8</v>
      </c>
      <c r="G4745" s="1">
        <v>85.55</v>
      </c>
      <c r="H4745" s="1" t="s">
        <v>8</v>
      </c>
      <c r="I4745" t="str">
        <f t="shared" si="74"/>
        <v>ANT SILVER PURPLE BOUDICCA RING [90162D]</v>
      </c>
    </row>
    <row r="4746" spans="1:9" x14ac:dyDescent="0.3">
      <c r="A4746" s="1" t="s">
        <v>336</v>
      </c>
      <c r="B4746" t="s">
        <v>335</v>
      </c>
      <c r="C4746" s="1">
        <v>7.5949999999999998</v>
      </c>
      <c r="D4746" s="1">
        <v>2</v>
      </c>
      <c r="E4746" s="2">
        <v>2.6428571428571401</v>
      </c>
      <c r="F4746" s="1">
        <v>14</v>
      </c>
      <c r="G4746" s="1">
        <v>280.70999999999998</v>
      </c>
      <c r="H4746" s="1" t="s">
        <v>8</v>
      </c>
      <c r="I4746" t="str">
        <f t="shared" si="74"/>
        <v>PINK ROSEBUD &amp; PEARL NECKLACE [90163A]</v>
      </c>
    </row>
    <row r="4747" spans="1:9" x14ac:dyDescent="0.3">
      <c r="A4747" s="1" t="s">
        <v>334</v>
      </c>
      <c r="B4747" t="s">
        <v>333</v>
      </c>
      <c r="C4747" s="1">
        <v>7.5</v>
      </c>
      <c r="D4747" s="1">
        <v>2</v>
      </c>
      <c r="E4747" s="2">
        <v>1.8571428571428501</v>
      </c>
      <c r="F4747" s="1">
        <v>7</v>
      </c>
      <c r="G4747" s="1">
        <v>98.45</v>
      </c>
      <c r="H4747" s="1" t="s">
        <v>8</v>
      </c>
      <c r="I4747" t="str">
        <f t="shared" si="74"/>
        <v>WHITE ROSEBUD &amp; PEARL NECKLACE [90163B]</v>
      </c>
    </row>
    <row r="4748" spans="1:9" x14ac:dyDescent="0.3">
      <c r="A4748" s="1" t="s">
        <v>332</v>
      </c>
      <c r="B4748" t="s">
        <v>331</v>
      </c>
      <c r="C4748" s="1">
        <v>7.64</v>
      </c>
      <c r="D4748" s="1">
        <v>2</v>
      </c>
      <c r="E4748" s="2">
        <v>2.2666666666666599</v>
      </c>
      <c r="F4748" s="1">
        <v>15</v>
      </c>
      <c r="G4748" s="1">
        <v>218.69</v>
      </c>
      <c r="H4748" s="1" t="s">
        <v>8</v>
      </c>
      <c r="I4748" t="str">
        <f t="shared" si="74"/>
        <v>PINK ROSEBUD PEARL BRACELET [90164A]</v>
      </c>
    </row>
    <row r="4749" spans="1:9" x14ac:dyDescent="0.3">
      <c r="A4749" s="1" t="s">
        <v>330</v>
      </c>
      <c r="B4749" t="s">
        <v>329</v>
      </c>
      <c r="C4749" s="1">
        <v>7.64</v>
      </c>
      <c r="D4749" s="1">
        <v>2</v>
      </c>
      <c r="E4749" s="2">
        <v>2.6666666666666599</v>
      </c>
      <c r="F4749" s="1">
        <v>18</v>
      </c>
      <c r="G4749" s="1">
        <v>325.89</v>
      </c>
      <c r="H4749" s="1" t="s">
        <v>8</v>
      </c>
      <c r="I4749" t="str">
        <f t="shared" si="74"/>
        <v>WHITE  ROSEBUD PEARL BRACELET [90164B]</v>
      </c>
    </row>
    <row r="4750" spans="1:9" x14ac:dyDescent="0.3">
      <c r="A4750" s="1" t="s">
        <v>328</v>
      </c>
      <c r="B4750" t="s">
        <v>327</v>
      </c>
      <c r="C4750" s="1">
        <v>2.54</v>
      </c>
      <c r="D4750" s="1">
        <v>3</v>
      </c>
      <c r="E4750" s="1">
        <v>3</v>
      </c>
      <c r="F4750" s="1">
        <v>14</v>
      </c>
      <c r="G4750" s="2">
        <v>106.49</v>
      </c>
      <c r="H4750" s="1" t="s">
        <v>8</v>
      </c>
      <c r="I4750" t="str">
        <f t="shared" si="74"/>
        <v>PINK ROSEBUD PEARL EARRINGS [90165A]</v>
      </c>
    </row>
    <row r="4751" spans="1:9" x14ac:dyDescent="0.3">
      <c r="A4751" s="1" t="s">
        <v>326</v>
      </c>
      <c r="B4751" t="s">
        <v>325</v>
      </c>
      <c r="C4751" s="2">
        <v>2.5299999999999998</v>
      </c>
      <c r="D4751" s="1">
        <v>3</v>
      </c>
      <c r="E4751" s="1">
        <v>3.25</v>
      </c>
      <c r="F4751" s="1">
        <v>16</v>
      </c>
      <c r="G4751" s="1">
        <v>131.65</v>
      </c>
      <c r="H4751" s="1" t="s">
        <v>8</v>
      </c>
      <c r="I4751" t="str">
        <f t="shared" si="74"/>
        <v>WHITE ROSEBUD  PEARL EARRINGS [90165B]</v>
      </c>
    </row>
    <row r="4752" spans="1:9" x14ac:dyDescent="0.3">
      <c r="A4752" s="1">
        <v>90166</v>
      </c>
      <c r="B4752" t="s">
        <v>324</v>
      </c>
      <c r="C4752" s="1">
        <v>4.24</v>
      </c>
      <c r="D4752" s="1">
        <v>1.5</v>
      </c>
      <c r="E4752" s="2">
        <v>2.2222222222222201</v>
      </c>
      <c r="F4752" s="1">
        <v>18</v>
      </c>
      <c r="G4752" s="1">
        <v>168.94</v>
      </c>
      <c r="H4752" s="1" t="s">
        <v>8</v>
      </c>
      <c r="I4752" t="str">
        <f t="shared" si="74"/>
        <v>PINK &amp; WHITE ROSEBUD RING [90166]</v>
      </c>
    </row>
    <row r="4753" spans="1:9" x14ac:dyDescent="0.3">
      <c r="A4753" s="1">
        <v>90167</v>
      </c>
      <c r="B4753" t="s">
        <v>323</v>
      </c>
      <c r="C4753" s="1">
        <v>0.85499999999999998</v>
      </c>
      <c r="D4753" s="1">
        <v>154</v>
      </c>
      <c r="E4753" s="2">
        <v>183.083333333333</v>
      </c>
      <c r="F4753" s="1">
        <v>12</v>
      </c>
      <c r="G4753" s="1">
        <v>1801.17</v>
      </c>
      <c r="H4753" s="1" t="s">
        <v>10</v>
      </c>
      <c r="I4753" t="str">
        <f t="shared" si="74"/>
        <v>BEADED LOVE HEART JEWELLERY SET [90167]</v>
      </c>
    </row>
    <row r="4754" spans="1:9" x14ac:dyDescent="0.3">
      <c r="A4754" s="1">
        <v>90168</v>
      </c>
      <c r="B4754" t="s">
        <v>322</v>
      </c>
      <c r="C4754" s="1">
        <v>2.95</v>
      </c>
      <c r="D4754" s="1">
        <v>3</v>
      </c>
      <c r="E4754" s="1">
        <v>3.5</v>
      </c>
      <c r="F4754" s="1">
        <v>12</v>
      </c>
      <c r="G4754" s="2">
        <v>123.759999999999</v>
      </c>
      <c r="H4754" s="1" t="s">
        <v>8</v>
      </c>
      <c r="I4754" t="str">
        <f t="shared" si="74"/>
        <v>2 DAISIES HAIR COMB [90168]</v>
      </c>
    </row>
    <row r="4755" spans="1:9" x14ac:dyDescent="0.3">
      <c r="A4755" s="1">
        <v>90169</v>
      </c>
      <c r="B4755" t="s">
        <v>321</v>
      </c>
      <c r="C4755" s="1">
        <v>2.54</v>
      </c>
      <c r="D4755" s="1">
        <v>1</v>
      </c>
      <c r="E4755" s="1">
        <v>2.6</v>
      </c>
      <c r="F4755" s="1">
        <v>15</v>
      </c>
      <c r="G4755" s="1">
        <v>98.87</v>
      </c>
      <c r="H4755" s="1" t="s">
        <v>8</v>
      </c>
      <c r="I4755" t="str">
        <f t="shared" si="74"/>
        <v>DAISY HAIR COMB [90169]</v>
      </c>
    </row>
    <row r="4756" spans="1:9" x14ac:dyDescent="0.3">
      <c r="A4756" s="1">
        <v>90170</v>
      </c>
      <c r="B4756" t="s">
        <v>320</v>
      </c>
      <c r="C4756" s="1">
        <v>1.65</v>
      </c>
      <c r="D4756" s="1">
        <v>7</v>
      </c>
      <c r="E4756" s="2">
        <v>7.1428571428571397</v>
      </c>
      <c r="F4756" s="1">
        <v>21</v>
      </c>
      <c r="G4756" s="1">
        <v>249.58</v>
      </c>
      <c r="H4756" s="1" t="s">
        <v>8</v>
      </c>
      <c r="I4756" t="str">
        <f t="shared" si="74"/>
        <v>DAISY HAIR BAND [90170]</v>
      </c>
    </row>
    <row r="4757" spans="1:9" x14ac:dyDescent="0.3">
      <c r="A4757" s="1">
        <v>90171</v>
      </c>
      <c r="B4757" t="s">
        <v>319</v>
      </c>
      <c r="C4757" s="2">
        <v>1.2649999999999999</v>
      </c>
      <c r="D4757" s="1">
        <v>12</v>
      </c>
      <c r="E4757" s="1">
        <v>11.75</v>
      </c>
      <c r="F4757" s="1">
        <v>4</v>
      </c>
      <c r="G4757" s="1">
        <v>59.65</v>
      </c>
      <c r="H4757" s="1" t="s">
        <v>9</v>
      </c>
      <c r="I4757" t="str">
        <f t="shared" si="74"/>
        <v>DAISY RING [90171]</v>
      </c>
    </row>
    <row r="4758" spans="1:9" x14ac:dyDescent="0.3">
      <c r="A4758" s="1">
        <v>90173</v>
      </c>
      <c r="B4758" t="s">
        <v>318</v>
      </c>
      <c r="C4758" s="1">
        <v>3.77</v>
      </c>
      <c r="D4758" s="1">
        <v>3</v>
      </c>
      <c r="E4758" s="2">
        <v>4.2631578947368398</v>
      </c>
      <c r="F4758" s="1">
        <v>19</v>
      </c>
      <c r="G4758" s="1">
        <v>306.64</v>
      </c>
      <c r="H4758" s="1" t="s">
        <v>8</v>
      </c>
      <c r="I4758" t="str">
        <f t="shared" si="74"/>
        <v>PAIR BUTTERFLY HAIR CLIPS [90173]</v>
      </c>
    </row>
    <row r="4759" spans="1:9" x14ac:dyDescent="0.3">
      <c r="A4759" s="1">
        <v>90174</v>
      </c>
      <c r="B4759" t="s">
        <v>317</v>
      </c>
      <c r="C4759" s="1">
        <v>2.54</v>
      </c>
      <c r="D4759" s="1">
        <v>2</v>
      </c>
      <c r="E4759" s="1">
        <v>3.125</v>
      </c>
      <c r="F4759" s="1">
        <v>16</v>
      </c>
      <c r="G4759" s="1">
        <v>126.12</v>
      </c>
      <c r="H4759" s="1" t="s">
        <v>8</v>
      </c>
      <c r="I4759" t="str">
        <f t="shared" si="74"/>
        <v>BUTTERFLY HAIR BAND [90174]</v>
      </c>
    </row>
    <row r="4760" spans="1:9" x14ac:dyDescent="0.3">
      <c r="A4760" s="1" t="s">
        <v>316</v>
      </c>
      <c r="B4760" t="s">
        <v>315</v>
      </c>
      <c r="C4760" s="1">
        <v>9.08</v>
      </c>
      <c r="D4760" s="1">
        <v>3</v>
      </c>
      <c r="E4760" s="2">
        <v>4.6521739130434696</v>
      </c>
      <c r="F4760" s="1">
        <v>23</v>
      </c>
      <c r="G4760" s="2">
        <v>964.44999999999902</v>
      </c>
      <c r="H4760" s="1" t="s">
        <v>8</v>
      </c>
      <c r="I4760" t="str">
        <f t="shared" si="74"/>
        <v>WHITE GLASS CHUNKY CHARM BRACELET [90175A]</v>
      </c>
    </row>
    <row r="4761" spans="1:9" x14ac:dyDescent="0.3">
      <c r="A4761" s="1" t="s">
        <v>314</v>
      </c>
      <c r="B4761" t="s">
        <v>313</v>
      </c>
      <c r="C4761" s="1">
        <v>9.15</v>
      </c>
      <c r="D4761" s="1">
        <v>2</v>
      </c>
      <c r="E4761" s="1">
        <v>2.4</v>
      </c>
      <c r="F4761" s="1">
        <v>15</v>
      </c>
      <c r="G4761" s="1">
        <v>322.85000000000002</v>
      </c>
      <c r="H4761" s="1" t="s">
        <v>8</v>
      </c>
      <c r="I4761" t="str">
        <f t="shared" si="74"/>
        <v>PINK GLASS CHUNKY CHARM BRACELET [90175B]</v>
      </c>
    </row>
    <row r="4762" spans="1:9" x14ac:dyDescent="0.3">
      <c r="A4762" s="1" t="s">
        <v>312</v>
      </c>
      <c r="B4762" t="s">
        <v>311</v>
      </c>
      <c r="C4762" s="1">
        <v>8.9499999999999993</v>
      </c>
      <c r="D4762" s="1">
        <v>3</v>
      </c>
      <c r="E4762" s="1">
        <v>3.7</v>
      </c>
      <c r="F4762" s="1">
        <v>10</v>
      </c>
      <c r="G4762" s="1">
        <v>332.95</v>
      </c>
      <c r="H4762" s="1" t="s">
        <v>8</v>
      </c>
      <c r="I4762" t="str">
        <f t="shared" si="74"/>
        <v>BLUE GLASS CHUNKY CHARM BRACELET [90175C]</v>
      </c>
    </row>
    <row r="4763" spans="1:9" x14ac:dyDescent="0.3">
      <c r="A4763" s="1" t="s">
        <v>310</v>
      </c>
      <c r="B4763" t="s">
        <v>309</v>
      </c>
      <c r="C4763" s="1">
        <v>9.15</v>
      </c>
      <c r="D4763" s="1">
        <v>2</v>
      </c>
      <c r="E4763" s="1">
        <v>2.9</v>
      </c>
      <c r="F4763" s="1">
        <v>20</v>
      </c>
      <c r="G4763" s="1">
        <v>527.82000000000005</v>
      </c>
      <c r="H4763" s="1" t="s">
        <v>8</v>
      </c>
      <c r="I4763" t="str">
        <f t="shared" si="74"/>
        <v>TIGRIS EYE CHUNKY CHARM BRACELET [90175D]</v>
      </c>
    </row>
    <row r="4764" spans="1:9" x14ac:dyDescent="0.3">
      <c r="A4764" s="1" t="s">
        <v>308</v>
      </c>
      <c r="B4764" t="s">
        <v>307</v>
      </c>
      <c r="C4764" s="1">
        <v>7.5</v>
      </c>
      <c r="D4764" s="1">
        <v>1</v>
      </c>
      <c r="E4764" s="2">
        <v>1.4285714285714199</v>
      </c>
      <c r="F4764" s="1">
        <v>7</v>
      </c>
      <c r="G4764" s="1">
        <v>75.88</v>
      </c>
      <c r="H4764" s="1" t="s">
        <v>8</v>
      </c>
      <c r="I4764" t="str">
        <f t="shared" si="74"/>
        <v>CLASSIC DIAMANTE NECKLACE JET [90176A]</v>
      </c>
    </row>
    <row r="4765" spans="1:9" x14ac:dyDescent="0.3">
      <c r="A4765" s="1" t="s">
        <v>306</v>
      </c>
      <c r="B4765" t="s">
        <v>305</v>
      </c>
      <c r="C4765" s="1">
        <v>7.5</v>
      </c>
      <c r="D4765" s="1">
        <v>1</v>
      </c>
      <c r="E4765" s="2">
        <v>1.6666666666666601</v>
      </c>
      <c r="F4765" s="1">
        <v>3</v>
      </c>
      <c r="G4765" s="1">
        <v>37.619999999999997</v>
      </c>
      <c r="H4765" s="1" t="s">
        <v>8</v>
      </c>
      <c r="I4765" t="str">
        <f t="shared" si="74"/>
        <v>DIAMANTE NECKLACE BLACK [90176B]</v>
      </c>
    </row>
    <row r="4766" spans="1:9" x14ac:dyDescent="0.3">
      <c r="A4766" s="1" t="s">
        <v>304</v>
      </c>
      <c r="B4766" t="s">
        <v>303</v>
      </c>
      <c r="C4766" s="1">
        <v>7.5</v>
      </c>
      <c r="D4766" s="1">
        <v>1.5</v>
      </c>
      <c r="E4766" s="2">
        <v>1.6666666666666601</v>
      </c>
      <c r="F4766" s="1">
        <v>6</v>
      </c>
      <c r="G4766" s="1">
        <v>77</v>
      </c>
      <c r="H4766" s="1" t="s">
        <v>8</v>
      </c>
      <c r="I4766" t="str">
        <f t="shared" si="74"/>
        <v>DIAMANTE NECKLACE [90176C]</v>
      </c>
    </row>
    <row r="4767" spans="1:9" x14ac:dyDescent="0.3">
      <c r="A4767" s="1" t="s">
        <v>302</v>
      </c>
      <c r="B4767" t="s">
        <v>301</v>
      </c>
      <c r="C4767" s="1">
        <v>7.5</v>
      </c>
      <c r="D4767" s="1">
        <v>2</v>
      </c>
      <c r="E4767" s="2">
        <v>1.5714285714285701</v>
      </c>
      <c r="F4767" s="1">
        <v>7</v>
      </c>
      <c r="G4767" s="1">
        <v>82.81</v>
      </c>
      <c r="H4767" s="1" t="s">
        <v>8</v>
      </c>
      <c r="I4767" t="str">
        <f t="shared" si="74"/>
        <v>DIAMANTE NECKLACE PURPLE [90176D]</v>
      </c>
    </row>
    <row r="4768" spans="1:9" x14ac:dyDescent="0.3">
      <c r="A4768" s="1" t="s">
        <v>300</v>
      </c>
      <c r="B4768" t="s">
        <v>299</v>
      </c>
      <c r="C4768" s="1">
        <v>7.5</v>
      </c>
      <c r="D4768" s="1">
        <v>1</v>
      </c>
      <c r="E4768" s="2">
        <v>1.3333333333333299</v>
      </c>
      <c r="F4768" s="1">
        <v>3</v>
      </c>
      <c r="G4768" s="1">
        <v>29.98</v>
      </c>
      <c r="H4768" s="1" t="s">
        <v>8</v>
      </c>
      <c r="I4768" t="str">
        <f t="shared" si="74"/>
        <v>DIAMANTE NECKLACE GREEN [90176E]</v>
      </c>
    </row>
    <row r="4769" spans="1:9" x14ac:dyDescent="0.3">
      <c r="A4769" s="1" t="s">
        <v>298</v>
      </c>
      <c r="B4769" t="s">
        <v>297</v>
      </c>
      <c r="C4769" s="1">
        <v>2.9</v>
      </c>
      <c r="D4769" s="1">
        <v>1</v>
      </c>
      <c r="E4769" s="2">
        <v>1.5833333333333299</v>
      </c>
      <c r="F4769" s="1">
        <v>12</v>
      </c>
      <c r="G4769" s="1">
        <v>55.69</v>
      </c>
      <c r="H4769" s="1" t="s">
        <v>8</v>
      </c>
      <c r="I4769" t="str">
        <f t="shared" si="74"/>
        <v>CLASSIC DIAMANTE EARRINGS JET [90177A]</v>
      </c>
    </row>
    <row r="4770" spans="1:9" x14ac:dyDescent="0.3">
      <c r="A4770" s="1" t="s">
        <v>296</v>
      </c>
      <c r="B4770" t="s">
        <v>295</v>
      </c>
      <c r="C4770" s="1">
        <v>2.9550000000000001</v>
      </c>
      <c r="D4770" s="1">
        <v>1.5</v>
      </c>
      <c r="E4770" s="2">
        <v>2.21428571428571</v>
      </c>
      <c r="F4770" s="1">
        <v>14</v>
      </c>
      <c r="G4770" s="1">
        <v>91.38</v>
      </c>
      <c r="H4770" s="1" t="s">
        <v>8</v>
      </c>
      <c r="I4770" t="str">
        <f t="shared" si="74"/>
        <v>DROP DIAMANTE EARRINGS BLACK DIAMON [90177B]</v>
      </c>
    </row>
    <row r="4771" spans="1:9" x14ac:dyDescent="0.3">
      <c r="A4771" s="1" t="s">
        <v>294</v>
      </c>
      <c r="B4771" t="s">
        <v>293</v>
      </c>
      <c r="C4771" s="1">
        <v>2.95</v>
      </c>
      <c r="D4771" s="1">
        <v>1.5</v>
      </c>
      <c r="E4771" s="1">
        <v>2.3125</v>
      </c>
      <c r="F4771" s="1">
        <v>16</v>
      </c>
      <c r="G4771" s="1">
        <v>109.03</v>
      </c>
      <c r="H4771" s="1" t="s">
        <v>8</v>
      </c>
      <c r="I4771" t="str">
        <f t="shared" si="74"/>
        <v>DROP DIAMANTE EARRINGS CRYSTAL [90177C]</v>
      </c>
    </row>
    <row r="4772" spans="1:9" x14ac:dyDescent="0.3">
      <c r="A4772" s="1" t="s">
        <v>292</v>
      </c>
      <c r="B4772" t="s">
        <v>291</v>
      </c>
      <c r="C4772" s="1">
        <v>2.95</v>
      </c>
      <c r="D4772" s="1">
        <v>2</v>
      </c>
      <c r="E4772" s="2">
        <v>3.0666666666666602</v>
      </c>
      <c r="F4772" s="1">
        <v>15</v>
      </c>
      <c r="G4772" s="1">
        <v>135.76</v>
      </c>
      <c r="H4772" s="1" t="s">
        <v>8</v>
      </c>
      <c r="I4772" t="str">
        <f t="shared" si="74"/>
        <v>DROP DIAMANTE EARRINGS PURPLE [90177D]</v>
      </c>
    </row>
    <row r="4773" spans="1:9" x14ac:dyDescent="0.3">
      <c r="A4773" s="1" t="s">
        <v>290</v>
      </c>
      <c r="B4773" t="s">
        <v>289</v>
      </c>
      <c r="C4773" s="1">
        <v>2.96</v>
      </c>
      <c r="D4773" s="1">
        <v>1.5</v>
      </c>
      <c r="E4773" s="1">
        <v>2</v>
      </c>
      <c r="F4773" s="1">
        <v>14</v>
      </c>
      <c r="G4773" s="1">
        <v>82.71</v>
      </c>
      <c r="H4773" s="1" t="s">
        <v>8</v>
      </c>
      <c r="I4773" t="str">
        <f t="shared" si="74"/>
        <v>DROP DIAMANTE EARRINGS GREEN [90177E]</v>
      </c>
    </row>
    <row r="4774" spans="1:9" x14ac:dyDescent="0.3">
      <c r="A4774" s="1" t="s">
        <v>288</v>
      </c>
      <c r="B4774" t="s">
        <v>287</v>
      </c>
      <c r="C4774" s="1">
        <v>11.95</v>
      </c>
      <c r="D4774" s="1">
        <v>1.5</v>
      </c>
      <c r="E4774" s="1">
        <v>2.7</v>
      </c>
      <c r="F4774" s="1">
        <v>10</v>
      </c>
      <c r="G4774" s="1">
        <v>322.41000000000003</v>
      </c>
      <c r="H4774" s="1" t="s">
        <v>8</v>
      </c>
      <c r="I4774" t="str">
        <f t="shared" si="74"/>
        <v>AMBER CHUNKY GLASS+BEAD NECKLACE [90178A]</v>
      </c>
    </row>
    <row r="4775" spans="1:9" x14ac:dyDescent="0.3">
      <c r="A4775" s="1" t="s">
        <v>286</v>
      </c>
      <c r="B4775" t="s">
        <v>285</v>
      </c>
      <c r="C4775" s="1">
        <v>11.95</v>
      </c>
      <c r="D4775" s="1">
        <v>1</v>
      </c>
      <c r="E4775" s="2">
        <v>1.7777777777777699</v>
      </c>
      <c r="F4775" s="1">
        <v>9</v>
      </c>
      <c r="G4775" s="1">
        <v>191.41</v>
      </c>
      <c r="H4775" s="1" t="s">
        <v>8</v>
      </c>
      <c r="I4775" t="str">
        <f t="shared" si="74"/>
        <v>PURPLE CHUNKY GLASS+BEAD NECKLACE [90178B]</v>
      </c>
    </row>
    <row r="4776" spans="1:9" x14ac:dyDescent="0.3">
      <c r="A4776" s="1" t="s">
        <v>284</v>
      </c>
      <c r="B4776" t="s">
        <v>283</v>
      </c>
      <c r="C4776" s="2">
        <v>5.9249999999999998</v>
      </c>
      <c r="D4776" s="1">
        <v>1</v>
      </c>
      <c r="E4776" s="1">
        <v>2</v>
      </c>
      <c r="F4776" s="1">
        <v>6</v>
      </c>
      <c r="G4776" s="1">
        <v>71</v>
      </c>
      <c r="H4776" s="1" t="s">
        <v>8</v>
      </c>
      <c r="I4776" t="str">
        <f t="shared" si="74"/>
        <v>AMBER FINE BEAD NECKLACE W TASSEL [90179A]</v>
      </c>
    </row>
    <row r="4777" spans="1:9" x14ac:dyDescent="0.3">
      <c r="A4777" s="1" t="s">
        <v>282</v>
      </c>
      <c r="B4777" t="s">
        <v>281</v>
      </c>
      <c r="C4777" s="1">
        <v>5.95</v>
      </c>
      <c r="D4777" s="1">
        <v>2</v>
      </c>
      <c r="E4777" s="2">
        <v>1.8333333333333299</v>
      </c>
      <c r="F4777" s="1">
        <v>6</v>
      </c>
      <c r="G4777" s="1">
        <v>65.31</v>
      </c>
      <c r="H4777" s="1" t="s">
        <v>8</v>
      </c>
      <c r="I4777" t="str">
        <f t="shared" si="74"/>
        <v>PURPLE FINE BEAD NECKLACE W TASSEL [90179B]</v>
      </c>
    </row>
    <row r="4778" spans="1:9" x14ac:dyDescent="0.3">
      <c r="A4778" s="1" t="s">
        <v>280</v>
      </c>
      <c r="B4778" t="s">
        <v>279</v>
      </c>
      <c r="C4778" s="1">
        <v>5.95</v>
      </c>
      <c r="D4778" s="1">
        <v>1.5</v>
      </c>
      <c r="E4778" s="1">
        <v>1.9</v>
      </c>
      <c r="F4778" s="1">
        <v>10</v>
      </c>
      <c r="G4778" s="1">
        <v>112.78</v>
      </c>
      <c r="H4778" s="1" t="s">
        <v>8</v>
      </c>
      <c r="I4778" t="str">
        <f t="shared" si="74"/>
        <v>BLACK FINE BEAD NECKLACE W TASSEL [90179C]</v>
      </c>
    </row>
    <row r="4779" spans="1:9" x14ac:dyDescent="0.3">
      <c r="A4779" s="1" t="s">
        <v>278</v>
      </c>
      <c r="B4779" t="s">
        <v>277</v>
      </c>
      <c r="C4779" s="1">
        <v>9.9499999999999993</v>
      </c>
      <c r="D4779" s="1">
        <v>2</v>
      </c>
      <c r="E4779" s="2">
        <v>2.93333333333333</v>
      </c>
      <c r="F4779" s="1">
        <v>15</v>
      </c>
      <c r="G4779" s="1">
        <v>396.64</v>
      </c>
      <c r="H4779" s="1" t="s">
        <v>8</v>
      </c>
      <c r="I4779" t="str">
        <f t="shared" si="74"/>
        <v>BLACK+WHITE NECKLACE W TASSEL [90180A]</v>
      </c>
    </row>
    <row r="4780" spans="1:9" x14ac:dyDescent="0.3">
      <c r="A4780" s="1" t="s">
        <v>276</v>
      </c>
      <c r="B4780" t="s">
        <v>275</v>
      </c>
      <c r="C4780" s="1">
        <v>9.9499999999999993</v>
      </c>
      <c r="D4780" s="1">
        <v>1.5</v>
      </c>
      <c r="E4780" s="1">
        <v>1.8</v>
      </c>
      <c r="F4780" s="1">
        <v>10</v>
      </c>
      <c r="G4780" s="1">
        <v>179.88</v>
      </c>
      <c r="H4780" s="1" t="s">
        <v>8</v>
      </c>
      <c r="I4780" t="str">
        <f t="shared" si="74"/>
        <v>PURPLE AMETHYST NECKLACE W TASSEL [90180B]</v>
      </c>
    </row>
    <row r="4781" spans="1:9" x14ac:dyDescent="0.3">
      <c r="A4781" s="1" t="s">
        <v>274</v>
      </c>
      <c r="B4781" t="s">
        <v>273</v>
      </c>
      <c r="C4781" s="1">
        <v>9.15</v>
      </c>
      <c r="D4781" s="1">
        <v>1</v>
      </c>
      <c r="E4781" s="2">
        <v>1.27272727272727</v>
      </c>
      <c r="F4781" s="1">
        <v>11</v>
      </c>
      <c r="G4781" s="1">
        <v>128.63999999999999</v>
      </c>
      <c r="H4781" s="1" t="s">
        <v>8</v>
      </c>
      <c r="I4781" t="str">
        <f t="shared" si="74"/>
        <v>AMBER GLASS/SHELL/PEARL NECKLACE [90181A]</v>
      </c>
    </row>
    <row r="4782" spans="1:9" x14ac:dyDescent="0.3">
      <c r="A4782" s="1" t="s">
        <v>272</v>
      </c>
      <c r="B4782" t="s">
        <v>271</v>
      </c>
      <c r="C4782" s="2">
        <v>9.2249999999999996</v>
      </c>
      <c r="D4782" s="1">
        <v>2</v>
      </c>
      <c r="E4782" s="2">
        <v>1.78571428571428</v>
      </c>
      <c r="F4782" s="1">
        <v>14</v>
      </c>
      <c r="G4782" s="1">
        <v>231.27</v>
      </c>
      <c r="H4782" s="1" t="s">
        <v>8</v>
      </c>
      <c r="I4782" t="str">
        <f t="shared" si="74"/>
        <v>AMETHYST GLASS/SHELL/PEARL NECKLACE [90181B]</v>
      </c>
    </row>
    <row r="4783" spans="1:9" x14ac:dyDescent="0.3">
      <c r="A4783" s="1" t="s">
        <v>270</v>
      </c>
      <c r="B4783" t="s">
        <v>269</v>
      </c>
      <c r="C4783" s="1">
        <v>9.34</v>
      </c>
      <c r="D4783" s="1">
        <v>1</v>
      </c>
      <c r="E4783" s="1">
        <v>1.25</v>
      </c>
      <c r="F4783" s="1">
        <v>4</v>
      </c>
      <c r="G4783" s="1">
        <v>46.93</v>
      </c>
      <c r="H4783" s="1" t="s">
        <v>8</v>
      </c>
      <c r="I4783" t="str">
        <f t="shared" si="74"/>
        <v>BLACK GLASS/SHELL/PEARL NECKLACE [90181C]</v>
      </c>
    </row>
    <row r="4784" spans="1:9" x14ac:dyDescent="0.3">
      <c r="A4784" s="1" t="s">
        <v>268</v>
      </c>
      <c r="B4784" t="s">
        <v>267</v>
      </c>
      <c r="C4784" s="1">
        <v>2.9</v>
      </c>
      <c r="D4784" s="1">
        <v>1</v>
      </c>
      <c r="E4784" s="1">
        <v>1.5</v>
      </c>
      <c r="F4784" s="1">
        <v>6</v>
      </c>
      <c r="G4784" s="1">
        <v>26.16</v>
      </c>
      <c r="H4784" s="1" t="s">
        <v>8</v>
      </c>
      <c r="I4784" t="str">
        <f t="shared" si="74"/>
        <v>AMBER 3 BEAD DROP EARRINGS [90182A]</v>
      </c>
    </row>
    <row r="4785" spans="1:9" x14ac:dyDescent="0.3">
      <c r="A4785" s="1" t="s">
        <v>266</v>
      </c>
      <c r="B4785" t="s">
        <v>265</v>
      </c>
      <c r="C4785" s="1">
        <v>2.9</v>
      </c>
      <c r="D4785" s="1">
        <v>1</v>
      </c>
      <c r="E4785" s="1">
        <v>1.5</v>
      </c>
      <c r="F4785" s="1">
        <v>4</v>
      </c>
      <c r="G4785" s="2">
        <v>17.529999999999902</v>
      </c>
      <c r="H4785" s="1" t="s">
        <v>8</v>
      </c>
      <c r="I4785" t="str">
        <f t="shared" si="74"/>
        <v>AMETHYST 3 BEAD DROP EARRINGS [90182B]</v>
      </c>
    </row>
    <row r="4786" spans="1:9" x14ac:dyDescent="0.3">
      <c r="A4786" s="1" t="s">
        <v>264</v>
      </c>
      <c r="B4786" t="s">
        <v>263</v>
      </c>
      <c r="C4786" s="1">
        <v>2.9249999999999998</v>
      </c>
      <c r="D4786" s="1">
        <v>1</v>
      </c>
      <c r="E4786" s="1">
        <v>1.9</v>
      </c>
      <c r="F4786" s="1">
        <v>10</v>
      </c>
      <c r="G4786" s="2">
        <v>55.739999999999903</v>
      </c>
      <c r="H4786" s="1" t="s">
        <v>8</v>
      </c>
      <c r="I4786" t="str">
        <f t="shared" si="74"/>
        <v>BLACK 3 BEAD DROP EARRINGS [90182C]</v>
      </c>
    </row>
    <row r="4787" spans="1:9" x14ac:dyDescent="0.3">
      <c r="A4787" s="1" t="s">
        <v>262</v>
      </c>
      <c r="B4787" t="s">
        <v>261</v>
      </c>
      <c r="C4787" s="1">
        <v>2.95</v>
      </c>
      <c r="D4787" s="1">
        <v>2</v>
      </c>
      <c r="E4787" s="2">
        <v>3.5333333333333301</v>
      </c>
      <c r="F4787" s="1">
        <v>15</v>
      </c>
      <c r="G4787" s="1">
        <v>155.65</v>
      </c>
      <c r="H4787" s="1" t="s">
        <v>8</v>
      </c>
      <c r="I4787" t="str">
        <f t="shared" si="74"/>
        <v>AMBER DROP EARRINGS W LONG BEADS [90183A]</v>
      </c>
    </row>
    <row r="4788" spans="1:9" x14ac:dyDescent="0.3">
      <c r="A4788" s="1" t="s">
        <v>260</v>
      </c>
      <c r="B4788" t="s">
        <v>259</v>
      </c>
      <c r="C4788" s="1">
        <v>2.92</v>
      </c>
      <c r="D4788" s="1">
        <v>1</v>
      </c>
      <c r="E4788" s="2">
        <v>1.86666666666666</v>
      </c>
      <c r="F4788" s="1">
        <v>15</v>
      </c>
      <c r="G4788" s="2">
        <v>81.929999999999893</v>
      </c>
      <c r="H4788" s="1" t="s">
        <v>8</v>
      </c>
      <c r="I4788" t="str">
        <f t="shared" si="74"/>
        <v>AMETHYST DROP EARRINGS W LONG BEADS [90183B]</v>
      </c>
    </row>
    <row r="4789" spans="1:9" x14ac:dyDescent="0.3">
      <c r="A4789" s="1" t="s">
        <v>258</v>
      </c>
      <c r="B4789" t="s">
        <v>256</v>
      </c>
      <c r="C4789" s="1">
        <v>2.95</v>
      </c>
      <c r="D4789" s="1">
        <v>1</v>
      </c>
      <c r="E4789" s="2">
        <v>1.44444444444444</v>
      </c>
      <c r="F4789" s="1">
        <v>9</v>
      </c>
      <c r="G4789" s="1">
        <v>38.119999999999997</v>
      </c>
      <c r="H4789" s="1" t="s">
        <v>8</v>
      </c>
      <c r="I4789" t="str">
        <f t="shared" si="74"/>
        <v>BLACK DROP EARRINGS W LONG BEADS [90183C]</v>
      </c>
    </row>
    <row r="4790" spans="1:9" x14ac:dyDescent="0.3">
      <c r="A4790" s="1" t="s">
        <v>257</v>
      </c>
      <c r="B4790" t="s">
        <v>256</v>
      </c>
      <c r="C4790" s="1">
        <v>2.9</v>
      </c>
      <c r="D4790" s="1">
        <v>1</v>
      </c>
      <c r="E4790" s="1">
        <v>1</v>
      </c>
      <c r="F4790" s="1">
        <v>1</v>
      </c>
      <c r="G4790" s="1">
        <v>2.9</v>
      </c>
      <c r="H4790" s="1" t="s">
        <v>8</v>
      </c>
      <c r="I4790" t="str">
        <f t="shared" si="74"/>
        <v>BLACK DROP EARRINGS W LONG BEADS [90183c]</v>
      </c>
    </row>
    <row r="4791" spans="1:9" x14ac:dyDescent="0.3">
      <c r="A4791" s="1" t="s">
        <v>255</v>
      </c>
      <c r="B4791" t="s">
        <v>254</v>
      </c>
      <c r="C4791" s="1">
        <v>9.0649999999999995</v>
      </c>
      <c r="D4791" s="1">
        <v>2</v>
      </c>
      <c r="E4791" s="1">
        <v>3</v>
      </c>
      <c r="F4791" s="1">
        <v>14</v>
      </c>
      <c r="G4791" s="1">
        <v>380.82</v>
      </c>
      <c r="H4791" s="1" t="s">
        <v>8</v>
      </c>
      <c r="I4791" t="str">
        <f t="shared" si="74"/>
        <v>AMBER CHUNKY BEAD BRACELET W STRAP [90184A]</v>
      </c>
    </row>
    <row r="4792" spans="1:9" x14ac:dyDescent="0.3">
      <c r="A4792" s="1" t="s">
        <v>253</v>
      </c>
      <c r="B4792" t="s">
        <v>252</v>
      </c>
      <c r="C4792" s="1">
        <v>9.0500000000000007</v>
      </c>
      <c r="D4792" s="1">
        <v>3</v>
      </c>
      <c r="E4792" s="2">
        <v>3.8333333333333299</v>
      </c>
      <c r="F4792" s="1">
        <v>18</v>
      </c>
      <c r="G4792" s="1">
        <v>625.48</v>
      </c>
      <c r="H4792" s="1" t="s">
        <v>8</v>
      </c>
      <c r="I4792" t="str">
        <f t="shared" si="74"/>
        <v>AMETHYST CHUNKY BEAD BRACELET W STR [90184B]</v>
      </c>
    </row>
    <row r="4793" spans="1:9" x14ac:dyDescent="0.3">
      <c r="A4793" s="1" t="s">
        <v>251</v>
      </c>
      <c r="B4793" t="s">
        <v>249</v>
      </c>
      <c r="C4793" s="1">
        <v>9.125</v>
      </c>
      <c r="D4793" s="1">
        <v>2.5</v>
      </c>
      <c r="E4793" s="1">
        <v>4</v>
      </c>
      <c r="F4793" s="1">
        <v>18</v>
      </c>
      <c r="G4793" s="1">
        <v>651.89</v>
      </c>
      <c r="H4793" s="1" t="s">
        <v>8</v>
      </c>
      <c r="I4793" t="str">
        <f t="shared" si="74"/>
        <v>BLACK CHUNKY BEAD BRACELET W STRAP [90184C]</v>
      </c>
    </row>
    <row r="4794" spans="1:9" x14ac:dyDescent="0.3">
      <c r="A4794" s="1" t="s">
        <v>250</v>
      </c>
      <c r="B4794" t="s">
        <v>249</v>
      </c>
      <c r="C4794" s="1">
        <v>9.15</v>
      </c>
      <c r="D4794" s="1">
        <v>1</v>
      </c>
      <c r="E4794" s="1">
        <v>1</v>
      </c>
      <c r="F4794" s="1">
        <v>1</v>
      </c>
      <c r="G4794" s="1">
        <v>9.15</v>
      </c>
      <c r="H4794" s="1" t="s">
        <v>8</v>
      </c>
      <c r="I4794" t="str">
        <f t="shared" si="74"/>
        <v>BLACK CHUNKY BEAD BRACELET W STRAP [90184c]</v>
      </c>
    </row>
    <row r="4795" spans="1:9" x14ac:dyDescent="0.3">
      <c r="A4795" s="1" t="s">
        <v>248</v>
      </c>
      <c r="B4795" t="s">
        <v>247</v>
      </c>
      <c r="C4795" s="1">
        <v>4.25</v>
      </c>
      <c r="D4795" s="1">
        <v>2</v>
      </c>
      <c r="E4795" s="2">
        <v>3.6666666666666599</v>
      </c>
      <c r="F4795" s="1">
        <v>15</v>
      </c>
      <c r="G4795" s="1">
        <v>233.29</v>
      </c>
      <c r="H4795" s="1" t="s">
        <v>8</v>
      </c>
      <c r="I4795" t="str">
        <f t="shared" si="74"/>
        <v>AMBER DIAMANTE EXPANDABLE RING [90185A]</v>
      </c>
    </row>
    <row r="4796" spans="1:9" x14ac:dyDescent="0.3">
      <c r="A4796" s="1" t="s">
        <v>246</v>
      </c>
      <c r="B4796" t="s">
        <v>245</v>
      </c>
      <c r="C4796" s="1">
        <v>4.24</v>
      </c>
      <c r="D4796" s="1">
        <v>4</v>
      </c>
      <c r="E4796" s="2">
        <v>4.4666666666666597</v>
      </c>
      <c r="F4796" s="1">
        <v>15</v>
      </c>
      <c r="G4796" s="1">
        <v>284.43</v>
      </c>
      <c r="H4796" s="1" t="s">
        <v>8</v>
      </c>
      <c r="I4796" t="str">
        <f t="shared" si="74"/>
        <v>AMETHYST DIAMANTE EXPANDABLE RING [90185B]</v>
      </c>
    </row>
    <row r="4797" spans="1:9" x14ac:dyDescent="0.3">
      <c r="A4797" s="1" t="s">
        <v>244</v>
      </c>
      <c r="B4797" t="s">
        <v>243</v>
      </c>
      <c r="C4797" s="1">
        <v>4.25</v>
      </c>
      <c r="D4797" s="1">
        <v>4</v>
      </c>
      <c r="E4797" s="2">
        <v>4.5714285714285703</v>
      </c>
      <c r="F4797" s="1">
        <v>14</v>
      </c>
      <c r="G4797" s="1">
        <v>271.95999999999998</v>
      </c>
      <c r="H4797" s="1" t="s">
        <v>8</v>
      </c>
      <c r="I4797" t="str">
        <f t="shared" si="74"/>
        <v>BLACK DIAMANTE EXPANDABLE RING [90185C]</v>
      </c>
    </row>
    <row r="4798" spans="1:9" x14ac:dyDescent="0.3">
      <c r="A4798" s="1" t="s">
        <v>242</v>
      </c>
      <c r="B4798" t="s">
        <v>241</v>
      </c>
      <c r="C4798" s="1">
        <v>4.25</v>
      </c>
      <c r="D4798" s="1">
        <v>6</v>
      </c>
      <c r="E4798" s="2">
        <v>5.3076923076923004</v>
      </c>
      <c r="F4798" s="1">
        <v>13</v>
      </c>
      <c r="G4798" s="1">
        <v>293.33</v>
      </c>
      <c r="H4798" s="1" t="s">
        <v>8</v>
      </c>
      <c r="I4798" t="str">
        <f t="shared" si="74"/>
        <v>CRYSTAL DIAMANTE EXPANDABLE RING [90185D]</v>
      </c>
    </row>
    <row r="4799" spans="1:9" x14ac:dyDescent="0.3">
      <c r="A4799" s="1" t="s">
        <v>240</v>
      </c>
      <c r="B4799" t="s">
        <v>239</v>
      </c>
      <c r="C4799" s="1">
        <v>2.95</v>
      </c>
      <c r="D4799" s="1">
        <v>3</v>
      </c>
      <c r="E4799" s="2">
        <v>4.9285714285714199</v>
      </c>
      <c r="F4799" s="1">
        <v>14</v>
      </c>
      <c r="G4799" s="1">
        <v>203.73</v>
      </c>
      <c r="H4799" s="1" t="s">
        <v>8</v>
      </c>
      <c r="I4799" t="str">
        <f t="shared" si="74"/>
        <v>AMETHYST HOOP EARRING FLORAL LEAF [90186A]</v>
      </c>
    </row>
    <row r="4800" spans="1:9" x14ac:dyDescent="0.3">
      <c r="A4800" s="1" t="s">
        <v>238</v>
      </c>
      <c r="B4800" t="s">
        <v>237</v>
      </c>
      <c r="C4800" s="1">
        <v>2.95</v>
      </c>
      <c r="D4800" s="1">
        <v>2.5</v>
      </c>
      <c r="E4800" s="1">
        <v>3.5625</v>
      </c>
      <c r="F4800" s="1">
        <v>16</v>
      </c>
      <c r="G4800" s="1">
        <v>168.26</v>
      </c>
      <c r="H4800" s="1" t="s">
        <v>8</v>
      </c>
      <c r="I4800" t="str">
        <f t="shared" si="74"/>
        <v>CRYSTAL HOOP EARRING FLORAL LEAF [90186B]</v>
      </c>
    </row>
    <row r="4801" spans="1:9" x14ac:dyDescent="0.3">
      <c r="A4801" s="1" t="s">
        <v>236</v>
      </c>
      <c r="B4801" t="s">
        <v>235</v>
      </c>
      <c r="C4801" s="1">
        <v>3.39</v>
      </c>
      <c r="D4801" s="1">
        <v>1</v>
      </c>
      <c r="E4801" s="2">
        <v>1.1428571428571399</v>
      </c>
      <c r="F4801" s="1">
        <v>7</v>
      </c>
      <c r="G4801" s="1">
        <v>27.04</v>
      </c>
      <c r="H4801" s="1" t="s">
        <v>8</v>
      </c>
      <c r="I4801" t="str">
        <f t="shared" si="74"/>
        <v>BLUE DROP EARRINGS W BEAD CLUSTER [90187A]</v>
      </c>
    </row>
    <row r="4802" spans="1:9" x14ac:dyDescent="0.3">
      <c r="A4802" s="1" t="s">
        <v>234</v>
      </c>
      <c r="B4802" t="s">
        <v>233</v>
      </c>
      <c r="C4802" s="1">
        <v>3.35</v>
      </c>
      <c r="D4802" s="1">
        <v>1</v>
      </c>
      <c r="E4802" s="1">
        <v>1.75</v>
      </c>
      <c r="F4802" s="1">
        <v>12</v>
      </c>
      <c r="G4802" s="1">
        <v>70.599999999999994</v>
      </c>
      <c r="H4802" s="1" t="s">
        <v>8</v>
      </c>
      <c r="I4802" t="str">
        <f t="shared" si="74"/>
        <v>GREEN DROP EARRINGS W BEAD CLUSTER [90187B]</v>
      </c>
    </row>
    <row r="4803" spans="1:9" x14ac:dyDescent="0.3">
      <c r="A4803" s="1">
        <v>90188</v>
      </c>
      <c r="B4803" t="s">
        <v>232</v>
      </c>
      <c r="C4803" s="1">
        <v>2.54</v>
      </c>
      <c r="D4803" s="1">
        <v>1</v>
      </c>
      <c r="E4803" s="2">
        <v>1.6428571428571399</v>
      </c>
      <c r="F4803" s="1">
        <v>14</v>
      </c>
      <c r="G4803" s="1">
        <v>58.5</v>
      </c>
      <c r="H4803" s="1" t="s">
        <v>8</v>
      </c>
      <c r="I4803" t="str">
        <f t="shared" ref="I4803:I4866" si="75">B4803&amp;" ["&amp;A4803&amp;"]"</f>
        <v>DROP EARRINGS W FLOWER &amp; LEAF [90188]</v>
      </c>
    </row>
    <row r="4804" spans="1:9" x14ac:dyDescent="0.3">
      <c r="A4804" s="1" t="s">
        <v>231</v>
      </c>
      <c r="B4804" t="s">
        <v>230</v>
      </c>
      <c r="C4804" s="1">
        <v>7.5</v>
      </c>
      <c r="D4804" s="1">
        <v>1</v>
      </c>
      <c r="E4804" s="2">
        <v>1.5714285714285701</v>
      </c>
      <c r="F4804" s="1">
        <v>7</v>
      </c>
      <c r="G4804" s="1">
        <v>82.64</v>
      </c>
      <c r="H4804" s="1" t="s">
        <v>8</v>
      </c>
      <c r="I4804" t="str">
        <f t="shared" si="75"/>
        <v>SILVER 2 STRAND NECKLACE-LEAF CHARM [90189A]</v>
      </c>
    </row>
    <row r="4805" spans="1:9" x14ac:dyDescent="0.3">
      <c r="A4805" s="1" t="s">
        <v>229</v>
      </c>
      <c r="B4805" t="s">
        <v>228</v>
      </c>
      <c r="C4805" s="1">
        <v>7.5</v>
      </c>
      <c r="D4805" s="1">
        <v>1.5</v>
      </c>
      <c r="E4805" s="1">
        <v>1.5</v>
      </c>
      <c r="F4805" s="1">
        <v>2</v>
      </c>
      <c r="G4805" s="1">
        <v>22.5</v>
      </c>
      <c r="H4805" s="1" t="s">
        <v>8</v>
      </c>
      <c r="I4805" t="str">
        <f t="shared" si="75"/>
        <v>GOLD 2 STRAND NECKLACE-LEAF CHARMS [90189B]</v>
      </c>
    </row>
    <row r="4806" spans="1:9" x14ac:dyDescent="0.3">
      <c r="A4806" s="1" t="s">
        <v>227</v>
      </c>
      <c r="B4806" t="s">
        <v>226</v>
      </c>
      <c r="C4806" s="1">
        <v>2.95</v>
      </c>
      <c r="D4806" s="1">
        <v>3</v>
      </c>
      <c r="E4806" s="2">
        <v>3.3846153846153801</v>
      </c>
      <c r="F4806" s="1">
        <v>13</v>
      </c>
      <c r="G4806" s="1">
        <v>129.59</v>
      </c>
      <c r="H4806" s="1" t="s">
        <v>8</v>
      </c>
      <c r="I4806" t="str">
        <f t="shared" si="75"/>
        <v>SILVER/CRYSTAL DROP EARRINGS W LEAF [90190A]</v>
      </c>
    </row>
    <row r="4807" spans="1:9" x14ac:dyDescent="0.3">
      <c r="A4807" s="1" t="s">
        <v>225</v>
      </c>
      <c r="B4807" t="s">
        <v>224</v>
      </c>
      <c r="C4807" s="1">
        <v>2.95</v>
      </c>
      <c r="D4807" s="1">
        <v>2</v>
      </c>
      <c r="E4807" s="2">
        <v>3.4615384615384599</v>
      </c>
      <c r="F4807" s="1">
        <v>13</v>
      </c>
      <c r="G4807" s="2">
        <v>132.57999999999899</v>
      </c>
      <c r="H4807" s="1" t="s">
        <v>8</v>
      </c>
      <c r="I4807" t="str">
        <f t="shared" si="75"/>
        <v>GOLD/AMBER DROP EARRINGS W LEAF [90190B]</v>
      </c>
    </row>
    <row r="4808" spans="1:9" x14ac:dyDescent="0.3">
      <c r="A4808" s="1" t="s">
        <v>223</v>
      </c>
      <c r="B4808" t="s">
        <v>222</v>
      </c>
      <c r="C4808" s="1">
        <v>2.95</v>
      </c>
      <c r="D4808" s="1">
        <v>1.5</v>
      </c>
      <c r="E4808" s="1">
        <v>3.4375</v>
      </c>
      <c r="F4808" s="1">
        <v>16</v>
      </c>
      <c r="G4808" s="1">
        <v>161.82</v>
      </c>
      <c r="H4808" s="1" t="s">
        <v>8</v>
      </c>
      <c r="I4808" t="str">
        <f t="shared" si="75"/>
        <v>SILVER/AMETHYST DROP EARRINGS LEAF [90190C]</v>
      </c>
    </row>
    <row r="4809" spans="1:9" x14ac:dyDescent="0.3">
      <c r="A4809" s="1">
        <v>90191</v>
      </c>
      <c r="B4809" t="s">
        <v>221</v>
      </c>
      <c r="C4809" s="1">
        <v>12.75</v>
      </c>
      <c r="D4809" s="1">
        <v>1</v>
      </c>
      <c r="E4809" s="2">
        <v>2.4285714285714199</v>
      </c>
      <c r="F4809" s="1">
        <v>14</v>
      </c>
      <c r="G4809" s="1">
        <v>324.89999999999998</v>
      </c>
      <c r="H4809" s="1" t="s">
        <v>8</v>
      </c>
      <c r="I4809" t="str">
        <f t="shared" si="75"/>
        <v>SILVER LARIAT 40CM [90191]</v>
      </c>
    </row>
    <row r="4810" spans="1:9" x14ac:dyDescent="0.3">
      <c r="A4810" s="1">
        <v>90192</v>
      </c>
      <c r="B4810" t="s">
        <v>220</v>
      </c>
      <c r="C4810" s="1">
        <v>4.9749999999999996</v>
      </c>
      <c r="D4810" s="1">
        <v>4</v>
      </c>
      <c r="E4810" s="1">
        <v>4.7</v>
      </c>
      <c r="F4810" s="1">
        <v>20</v>
      </c>
      <c r="G4810" s="1">
        <v>469.18</v>
      </c>
      <c r="H4810" s="1" t="s">
        <v>8</v>
      </c>
      <c r="I4810" t="str">
        <f t="shared" si="75"/>
        <v>JADE DROP EARRINGS W FILIGREE [90192]</v>
      </c>
    </row>
    <row r="4811" spans="1:9" x14ac:dyDescent="0.3">
      <c r="A4811" s="1">
        <v>90194</v>
      </c>
      <c r="B4811" t="s">
        <v>219</v>
      </c>
      <c r="C4811" s="1">
        <v>4.25</v>
      </c>
      <c r="D4811" s="1">
        <v>2</v>
      </c>
      <c r="E4811" s="2">
        <v>2.1333333333333302</v>
      </c>
      <c r="F4811" s="1">
        <v>15</v>
      </c>
      <c r="G4811" s="1">
        <v>135.84</v>
      </c>
      <c r="H4811" s="1" t="s">
        <v>8</v>
      </c>
      <c r="I4811" t="str">
        <f t="shared" si="75"/>
        <v>SILVER LARIAT BLACK STONE EARRINGS [90194]</v>
      </c>
    </row>
    <row r="4812" spans="1:9" x14ac:dyDescent="0.3">
      <c r="A4812" s="1" t="s">
        <v>218</v>
      </c>
      <c r="B4812" t="s">
        <v>217</v>
      </c>
      <c r="C4812" s="1">
        <v>9.08</v>
      </c>
      <c r="D4812" s="1">
        <v>3</v>
      </c>
      <c r="E4812" s="2">
        <v>4.6666666666666599</v>
      </c>
      <c r="F4812" s="1">
        <v>15</v>
      </c>
      <c r="G4812" s="1">
        <v>585.20000000000005</v>
      </c>
      <c r="H4812" s="1" t="s">
        <v>8</v>
      </c>
      <c r="I4812" t="str">
        <f t="shared" si="75"/>
        <v>PURPLE GEMSTONE BRACELET [90195A]</v>
      </c>
    </row>
    <row r="4813" spans="1:9" x14ac:dyDescent="0.3">
      <c r="A4813" s="1" t="s">
        <v>216</v>
      </c>
      <c r="B4813" t="s">
        <v>215</v>
      </c>
      <c r="C4813" s="1">
        <v>8.9499999999999993</v>
      </c>
      <c r="D4813" s="1">
        <v>1</v>
      </c>
      <c r="E4813" s="1">
        <v>4</v>
      </c>
      <c r="F4813" s="1">
        <v>13</v>
      </c>
      <c r="G4813" s="1">
        <v>460.69</v>
      </c>
      <c r="H4813" s="1" t="s">
        <v>8</v>
      </c>
      <c r="I4813" t="str">
        <f t="shared" si="75"/>
        <v>BLACK GEMSTONE BRACELET [90195B]</v>
      </c>
    </row>
    <row r="4814" spans="1:9" x14ac:dyDescent="0.3">
      <c r="A4814" s="1" t="s">
        <v>214</v>
      </c>
      <c r="B4814" t="s">
        <v>213</v>
      </c>
      <c r="C4814" s="1">
        <v>12.75</v>
      </c>
      <c r="D4814" s="1">
        <v>2</v>
      </c>
      <c r="E4814" s="2">
        <v>2.71428571428571</v>
      </c>
      <c r="F4814" s="1">
        <v>7</v>
      </c>
      <c r="G4814" s="1">
        <v>242.25</v>
      </c>
      <c r="H4814" s="1" t="s">
        <v>8</v>
      </c>
      <c r="I4814" t="str">
        <f t="shared" si="75"/>
        <v>PURPLE GEMSTONE NECKLACE 45CM [90196A]</v>
      </c>
    </row>
    <row r="4815" spans="1:9" x14ac:dyDescent="0.3">
      <c r="A4815" s="1" t="s">
        <v>212</v>
      </c>
      <c r="B4815" t="s">
        <v>211</v>
      </c>
      <c r="C4815" s="1">
        <v>12.75</v>
      </c>
      <c r="D4815" s="1">
        <v>1</v>
      </c>
      <c r="E4815" s="2">
        <v>2.1111111111111098</v>
      </c>
      <c r="F4815" s="1">
        <v>9</v>
      </c>
      <c r="G4815" s="1">
        <v>241.98</v>
      </c>
      <c r="H4815" s="1" t="s">
        <v>8</v>
      </c>
      <c r="I4815" t="str">
        <f t="shared" si="75"/>
        <v>BLACK GEMSTONE NECKLACE 45CM [90196B]</v>
      </c>
    </row>
    <row r="4816" spans="1:9" x14ac:dyDescent="0.3">
      <c r="A4816" s="1" t="s">
        <v>210</v>
      </c>
      <c r="B4816" t="s">
        <v>209</v>
      </c>
      <c r="C4816" s="1">
        <v>5.0049999999999999</v>
      </c>
      <c r="D4816" s="1">
        <v>2</v>
      </c>
      <c r="E4816" s="1">
        <v>3.2</v>
      </c>
      <c r="F4816" s="1">
        <v>20</v>
      </c>
      <c r="G4816" s="1">
        <v>322.52</v>
      </c>
      <c r="H4816" s="1" t="s">
        <v>8</v>
      </c>
      <c r="I4816" t="str">
        <f t="shared" si="75"/>
        <v>BLACK GLASS BRACELET W HEART CHARMS [90197B]</v>
      </c>
    </row>
    <row r="4817" spans="1:9" x14ac:dyDescent="0.3">
      <c r="A4817" s="1" t="s">
        <v>208</v>
      </c>
      <c r="B4817" t="s">
        <v>207</v>
      </c>
      <c r="C4817" s="1">
        <v>4.95</v>
      </c>
      <c r="D4817" s="1">
        <v>4</v>
      </c>
      <c r="E4817" s="1">
        <v>3</v>
      </c>
      <c r="F4817" s="1">
        <v>3</v>
      </c>
      <c r="G4817" s="2">
        <v>44.55</v>
      </c>
      <c r="H4817" s="1" t="s">
        <v>8</v>
      </c>
      <c r="I4817" t="str">
        <f t="shared" si="75"/>
        <v>AMBER GLASS BRACELET HEART CHARMS [90197D]</v>
      </c>
    </row>
    <row r="4818" spans="1:9" x14ac:dyDescent="0.3">
      <c r="A4818" s="1" t="s">
        <v>206</v>
      </c>
      <c r="B4818" t="s">
        <v>205</v>
      </c>
      <c r="C4818" s="1">
        <v>4.25</v>
      </c>
      <c r="D4818" s="1">
        <v>4.5</v>
      </c>
      <c r="E4818" s="1">
        <v>6</v>
      </c>
      <c r="F4818" s="1">
        <v>24</v>
      </c>
      <c r="G4818" s="1">
        <v>609.42999999999995</v>
      </c>
      <c r="H4818" s="1" t="s">
        <v>8</v>
      </c>
      <c r="I4818" t="str">
        <f t="shared" si="75"/>
        <v>VINTAGE ROSE BEAD BRACELET RASPBERR [90198A]</v>
      </c>
    </row>
    <row r="4819" spans="1:9" x14ac:dyDescent="0.3">
      <c r="A4819" s="1" t="s">
        <v>204</v>
      </c>
      <c r="B4819" t="s">
        <v>203</v>
      </c>
      <c r="C4819" s="1">
        <v>4.25</v>
      </c>
      <c r="D4819" s="1">
        <v>3</v>
      </c>
      <c r="E4819" s="2">
        <v>4.5217391304347796</v>
      </c>
      <c r="F4819" s="1">
        <v>23</v>
      </c>
      <c r="G4819" s="1">
        <v>441.9</v>
      </c>
      <c r="H4819" s="1" t="s">
        <v>8</v>
      </c>
      <c r="I4819" t="str">
        <f t="shared" si="75"/>
        <v>VINTAGE ROSE BEAD BRACELET BLACK [90198B]</v>
      </c>
    </row>
    <row r="4820" spans="1:9" x14ac:dyDescent="0.3">
      <c r="A4820" s="1" t="s">
        <v>202</v>
      </c>
      <c r="B4820" t="s">
        <v>201</v>
      </c>
      <c r="C4820" s="1">
        <v>6.35</v>
      </c>
      <c r="D4820" s="1">
        <v>2</v>
      </c>
      <c r="E4820" s="1">
        <v>2</v>
      </c>
      <c r="F4820" s="1">
        <v>11</v>
      </c>
      <c r="G4820" s="1">
        <v>139.5</v>
      </c>
      <c r="H4820" s="1" t="s">
        <v>8</v>
      </c>
      <c r="I4820" t="str">
        <f t="shared" si="75"/>
        <v>5 STRAND GLASS NECKLACE BLACK [90199A]</v>
      </c>
    </row>
    <row r="4821" spans="1:9" x14ac:dyDescent="0.3">
      <c r="A4821" s="1" t="s">
        <v>200</v>
      </c>
      <c r="B4821" t="s">
        <v>199</v>
      </c>
      <c r="C4821" s="1">
        <v>6.36</v>
      </c>
      <c r="D4821" s="1">
        <v>3</v>
      </c>
      <c r="E4821" s="2">
        <v>2.7692307692307598</v>
      </c>
      <c r="F4821" s="1">
        <v>13</v>
      </c>
      <c r="G4821" s="1">
        <v>228.61</v>
      </c>
      <c r="H4821" s="1" t="s">
        <v>8</v>
      </c>
      <c r="I4821" t="str">
        <f t="shared" si="75"/>
        <v>5 STRAND GLASS NECKLACE AMETHYST [90199B]</v>
      </c>
    </row>
    <row r="4822" spans="1:9" x14ac:dyDescent="0.3">
      <c r="A4822" s="1" t="s">
        <v>198</v>
      </c>
      <c r="B4822" t="s">
        <v>197</v>
      </c>
      <c r="C4822" s="1">
        <v>6.35</v>
      </c>
      <c r="D4822" s="1">
        <v>3</v>
      </c>
      <c r="E4822" s="1">
        <v>6.6</v>
      </c>
      <c r="F4822" s="1">
        <v>15</v>
      </c>
      <c r="G4822" s="2">
        <v>585.29</v>
      </c>
      <c r="H4822" s="1" t="s">
        <v>8</v>
      </c>
      <c r="I4822" t="str">
        <f t="shared" si="75"/>
        <v>5 STRAND GLASS NECKLACE CRYSTAL [90199C]</v>
      </c>
    </row>
    <row r="4823" spans="1:9" x14ac:dyDescent="0.3">
      <c r="A4823" s="1" t="s">
        <v>196</v>
      </c>
      <c r="B4823" t="s">
        <v>195</v>
      </c>
      <c r="C4823" s="1">
        <v>6.35</v>
      </c>
      <c r="D4823" s="1">
        <v>1.5</v>
      </c>
      <c r="E4823" s="2">
        <v>1.8333333333333299</v>
      </c>
      <c r="F4823" s="1">
        <v>12</v>
      </c>
      <c r="G4823" s="1">
        <v>139.28</v>
      </c>
      <c r="H4823" s="1" t="s">
        <v>8</v>
      </c>
      <c r="I4823" t="str">
        <f t="shared" si="75"/>
        <v>5 STRAND GLASS NECKLACE AMBER [90199D]</v>
      </c>
    </row>
    <row r="4824" spans="1:9" x14ac:dyDescent="0.3">
      <c r="A4824" s="1" t="s">
        <v>194</v>
      </c>
      <c r="B4824" t="s">
        <v>193</v>
      </c>
      <c r="C4824" s="1">
        <v>4.24</v>
      </c>
      <c r="D4824" s="1">
        <v>6</v>
      </c>
      <c r="E4824" s="2">
        <v>7.6956521739130404</v>
      </c>
      <c r="F4824" s="1">
        <v>23</v>
      </c>
      <c r="G4824" s="1">
        <v>749.69</v>
      </c>
      <c r="H4824" s="1" t="s">
        <v>8</v>
      </c>
      <c r="I4824" t="str">
        <f t="shared" si="75"/>
        <v>PURPLE SWEETHEART BRACELET [90200A]</v>
      </c>
    </row>
    <row r="4825" spans="1:9" x14ac:dyDescent="0.3">
      <c r="A4825" s="1" t="s">
        <v>192</v>
      </c>
      <c r="B4825" t="s">
        <v>191</v>
      </c>
      <c r="C4825" s="1">
        <v>4.25</v>
      </c>
      <c r="D4825" s="1">
        <v>6.5</v>
      </c>
      <c r="E4825" s="1">
        <v>7.625</v>
      </c>
      <c r="F4825" s="1">
        <v>24</v>
      </c>
      <c r="G4825" s="1">
        <v>775.45</v>
      </c>
      <c r="H4825" s="1" t="s">
        <v>8</v>
      </c>
      <c r="I4825" t="str">
        <f t="shared" si="75"/>
        <v>BLACK SWEETHEART BRACELET [90200B]</v>
      </c>
    </row>
    <row r="4826" spans="1:9" x14ac:dyDescent="0.3">
      <c r="A4826" s="1" t="s">
        <v>190</v>
      </c>
      <c r="B4826" t="s">
        <v>189</v>
      </c>
      <c r="C4826" s="1">
        <v>4.25</v>
      </c>
      <c r="D4826" s="1">
        <v>10</v>
      </c>
      <c r="E4826" s="1">
        <v>12.875</v>
      </c>
      <c r="F4826" s="1">
        <v>16</v>
      </c>
      <c r="G4826" s="1">
        <v>874.63</v>
      </c>
      <c r="H4826" s="1" t="s">
        <v>9</v>
      </c>
      <c r="I4826" t="str">
        <f t="shared" si="75"/>
        <v>BLUE SWEETHEART BRACELET [90200C]</v>
      </c>
    </row>
    <row r="4827" spans="1:9" x14ac:dyDescent="0.3">
      <c r="A4827" s="1" t="s">
        <v>188</v>
      </c>
      <c r="B4827" t="s">
        <v>187</v>
      </c>
      <c r="C4827" s="1">
        <v>4.24</v>
      </c>
      <c r="D4827" s="1">
        <v>9.5</v>
      </c>
      <c r="E4827" s="1">
        <v>13.625</v>
      </c>
      <c r="F4827" s="1">
        <v>24</v>
      </c>
      <c r="G4827" s="1">
        <v>1372.26</v>
      </c>
      <c r="H4827" s="1" t="s">
        <v>8</v>
      </c>
      <c r="I4827" t="str">
        <f t="shared" si="75"/>
        <v>PINK SWEETHEART BRACELET [90200D]</v>
      </c>
    </row>
    <row r="4828" spans="1:9" x14ac:dyDescent="0.3">
      <c r="A4828" s="1" t="s">
        <v>186</v>
      </c>
      <c r="B4828" t="s">
        <v>185</v>
      </c>
      <c r="C4828" s="1">
        <v>4.25</v>
      </c>
      <c r="D4828" s="1">
        <v>7.5</v>
      </c>
      <c r="E4828" s="2">
        <v>8.7083333333333304</v>
      </c>
      <c r="F4828" s="1">
        <v>24</v>
      </c>
      <c r="G4828" s="1">
        <v>873.97</v>
      </c>
      <c r="H4828" s="1" t="s">
        <v>8</v>
      </c>
      <c r="I4828" t="str">
        <f t="shared" si="75"/>
        <v>GREEN SWEETHEART BRACELET [90200E]</v>
      </c>
    </row>
    <row r="4829" spans="1:9" x14ac:dyDescent="0.3">
      <c r="A4829" s="1" t="s">
        <v>184</v>
      </c>
      <c r="B4829" t="s">
        <v>183</v>
      </c>
      <c r="C4829" s="1">
        <v>2.95</v>
      </c>
      <c r="D4829" s="1">
        <v>4</v>
      </c>
      <c r="E4829" s="2">
        <v>5.9090909090909003</v>
      </c>
      <c r="F4829" s="1">
        <v>22</v>
      </c>
      <c r="G4829" s="1">
        <v>382.84</v>
      </c>
      <c r="H4829" s="1" t="s">
        <v>8</v>
      </c>
      <c r="I4829" t="str">
        <f t="shared" si="75"/>
        <v>PURPLE ENAMEL FLOWER RING [90201A]</v>
      </c>
    </row>
    <row r="4830" spans="1:9" x14ac:dyDescent="0.3">
      <c r="A4830" s="1" t="s">
        <v>182</v>
      </c>
      <c r="B4830" t="s">
        <v>181</v>
      </c>
      <c r="C4830" s="1">
        <v>2.95</v>
      </c>
      <c r="D4830" s="1">
        <v>5</v>
      </c>
      <c r="E4830" s="2">
        <v>6.4166666666666599</v>
      </c>
      <c r="F4830" s="1">
        <v>24</v>
      </c>
      <c r="G4830" s="1">
        <v>454.31</v>
      </c>
      <c r="H4830" s="1" t="s">
        <v>8</v>
      </c>
      <c r="I4830" t="str">
        <f t="shared" si="75"/>
        <v>BLACK ENAMEL FLOWER RING [90201B]</v>
      </c>
    </row>
    <row r="4831" spans="1:9" x14ac:dyDescent="0.3">
      <c r="A4831" s="1" t="s">
        <v>180</v>
      </c>
      <c r="B4831" t="s">
        <v>179</v>
      </c>
      <c r="C4831" s="1">
        <v>2.95</v>
      </c>
      <c r="D4831" s="1">
        <v>2.5</v>
      </c>
      <c r="E4831" s="2">
        <v>5.4090909090909003</v>
      </c>
      <c r="F4831" s="1">
        <v>22</v>
      </c>
      <c r="G4831" s="1">
        <v>350.94</v>
      </c>
      <c r="H4831" s="1" t="s">
        <v>8</v>
      </c>
      <c r="I4831" t="str">
        <f t="shared" si="75"/>
        <v>RED ENAMEL FLOWER RING [90201C]</v>
      </c>
    </row>
    <row r="4832" spans="1:9" x14ac:dyDescent="0.3">
      <c r="A4832" s="1" t="s">
        <v>178</v>
      </c>
      <c r="B4832" t="s">
        <v>177</v>
      </c>
      <c r="C4832" s="1">
        <v>2.95</v>
      </c>
      <c r="D4832" s="1">
        <v>4.5</v>
      </c>
      <c r="E4832" s="2">
        <v>5.5416666666666599</v>
      </c>
      <c r="F4832" s="1">
        <v>24</v>
      </c>
      <c r="G4832" s="1">
        <v>391.37</v>
      </c>
      <c r="H4832" s="1" t="s">
        <v>8</v>
      </c>
      <c r="I4832" t="str">
        <f t="shared" si="75"/>
        <v>GREEN ENAMEL FLOWER RING [90201D]</v>
      </c>
    </row>
    <row r="4833" spans="1:9" x14ac:dyDescent="0.3">
      <c r="A4833" s="1" t="s">
        <v>176</v>
      </c>
      <c r="B4833" t="s">
        <v>175</v>
      </c>
      <c r="C4833" s="1">
        <v>2.95</v>
      </c>
      <c r="D4833" s="1">
        <v>2</v>
      </c>
      <c r="E4833" s="2">
        <v>2.3846153846153801</v>
      </c>
      <c r="F4833" s="1">
        <v>13</v>
      </c>
      <c r="G4833" s="1">
        <v>90.9</v>
      </c>
      <c r="H4833" s="1" t="s">
        <v>8</v>
      </c>
      <c r="I4833" t="str">
        <f t="shared" si="75"/>
        <v>PURPLE ENAMEL FLOWER HAIR TIE [90202A]</v>
      </c>
    </row>
    <row r="4834" spans="1:9" x14ac:dyDescent="0.3">
      <c r="A4834" s="1" t="s">
        <v>174</v>
      </c>
      <c r="B4834" t="s">
        <v>173</v>
      </c>
      <c r="C4834" s="1">
        <v>2.95</v>
      </c>
      <c r="D4834" s="1">
        <v>1.5</v>
      </c>
      <c r="E4834" s="1">
        <v>2</v>
      </c>
      <c r="F4834" s="1">
        <v>12</v>
      </c>
      <c r="G4834" s="1">
        <v>70.489999999999995</v>
      </c>
      <c r="H4834" s="1" t="s">
        <v>8</v>
      </c>
      <c r="I4834" t="str">
        <f t="shared" si="75"/>
        <v>WHITE ENAMEL FLOWER HAIR TIE [90202B]</v>
      </c>
    </row>
    <row r="4835" spans="1:9" x14ac:dyDescent="0.3">
      <c r="A4835" s="1" t="s">
        <v>172</v>
      </c>
      <c r="B4835" t="s">
        <v>171</v>
      </c>
      <c r="C4835" s="1">
        <v>2.95</v>
      </c>
      <c r="D4835" s="1">
        <v>2</v>
      </c>
      <c r="E4835" s="2">
        <v>2.0666666666666602</v>
      </c>
      <c r="F4835" s="1">
        <v>15</v>
      </c>
      <c r="G4835" s="1">
        <v>91.46</v>
      </c>
      <c r="H4835" s="1" t="s">
        <v>8</v>
      </c>
      <c r="I4835" t="str">
        <f t="shared" si="75"/>
        <v>GREEN ENAMEL FLOWER HAIR TIE [90202C]</v>
      </c>
    </row>
    <row r="4836" spans="1:9" x14ac:dyDescent="0.3">
      <c r="A4836" s="1" t="s">
        <v>170</v>
      </c>
      <c r="B4836" t="s">
        <v>169</v>
      </c>
      <c r="C4836" s="1">
        <v>2.95</v>
      </c>
      <c r="D4836" s="1">
        <v>2</v>
      </c>
      <c r="E4836" s="2">
        <v>2.8235294117646998</v>
      </c>
      <c r="F4836" s="1">
        <v>17</v>
      </c>
      <c r="G4836" s="1">
        <v>141.49</v>
      </c>
      <c r="H4836" s="1" t="s">
        <v>8</v>
      </c>
      <c r="I4836" t="str">
        <f t="shared" si="75"/>
        <v>PINK ENAMEL FLOWER HAIR TIE [90202D]</v>
      </c>
    </row>
    <row r="4837" spans="1:9" x14ac:dyDescent="0.3">
      <c r="A4837" s="1">
        <v>90203</v>
      </c>
      <c r="B4837" t="s">
        <v>168</v>
      </c>
      <c r="C4837" s="1">
        <v>7.51</v>
      </c>
      <c r="D4837" s="1">
        <v>6.5</v>
      </c>
      <c r="E4837" s="1">
        <v>7.1</v>
      </c>
      <c r="F4837" s="1">
        <v>10</v>
      </c>
      <c r="G4837" s="1">
        <v>534.27</v>
      </c>
      <c r="H4837" s="1" t="s">
        <v>8</v>
      </c>
      <c r="I4837" t="str">
        <f t="shared" si="75"/>
        <v>SILVER CHARM NECKLACE 70CM [90203]</v>
      </c>
    </row>
    <row r="4838" spans="1:9" x14ac:dyDescent="0.3">
      <c r="A4838" s="1">
        <v>90204</v>
      </c>
      <c r="B4838" t="s">
        <v>167</v>
      </c>
      <c r="C4838" s="1">
        <v>3.35</v>
      </c>
      <c r="D4838" s="1">
        <v>2</v>
      </c>
      <c r="E4838" s="2">
        <v>2.9411764705882302</v>
      </c>
      <c r="F4838" s="1">
        <v>17</v>
      </c>
      <c r="G4838" s="1">
        <v>168.46</v>
      </c>
      <c r="H4838" s="1" t="s">
        <v>8</v>
      </c>
      <c r="I4838" t="str">
        <f t="shared" si="75"/>
        <v>PAIR OF ENAMEL BUTTERFLY HAIRCLIP [90204]</v>
      </c>
    </row>
    <row r="4839" spans="1:9" x14ac:dyDescent="0.3">
      <c r="A4839" s="1" t="s">
        <v>166</v>
      </c>
      <c r="B4839" t="s">
        <v>165</v>
      </c>
      <c r="C4839" s="1">
        <v>1.65</v>
      </c>
      <c r="D4839" s="1">
        <v>3</v>
      </c>
      <c r="E4839" s="2">
        <v>3.1666666666666599</v>
      </c>
      <c r="F4839" s="1">
        <v>12</v>
      </c>
      <c r="G4839" s="2">
        <v>63.459999999999901</v>
      </c>
      <c r="H4839" s="1" t="s">
        <v>8</v>
      </c>
      <c r="I4839" t="str">
        <f t="shared" si="75"/>
        <v>LARGE MINT DIAMANTE HAIRSLIDE [90205A]</v>
      </c>
    </row>
    <row r="4840" spans="1:9" x14ac:dyDescent="0.3">
      <c r="A4840" s="1" t="s">
        <v>164</v>
      </c>
      <c r="B4840" t="s">
        <v>163</v>
      </c>
      <c r="C4840" s="1">
        <v>1.65</v>
      </c>
      <c r="D4840" s="1">
        <v>2</v>
      </c>
      <c r="E4840" s="1">
        <v>4.875</v>
      </c>
      <c r="F4840" s="1">
        <v>16</v>
      </c>
      <c r="G4840" s="1">
        <v>122.31</v>
      </c>
      <c r="H4840" s="1" t="s">
        <v>8</v>
      </c>
      <c r="I4840" t="str">
        <f t="shared" si="75"/>
        <v>LARGE CRYSTAL DIAMANTE HAIRSLIDE [90205C]</v>
      </c>
    </row>
    <row r="4841" spans="1:9" x14ac:dyDescent="0.3">
      <c r="A4841" s="1" t="s">
        <v>162</v>
      </c>
      <c r="B4841" t="s">
        <v>161</v>
      </c>
      <c r="C4841" s="1">
        <v>4.96</v>
      </c>
      <c r="D4841" s="1">
        <v>2</v>
      </c>
      <c r="E4841" s="2">
        <v>1.7777777777777699</v>
      </c>
      <c r="F4841" s="1">
        <v>9</v>
      </c>
      <c r="G4841" s="1">
        <v>79.599999999999994</v>
      </c>
      <c r="H4841" s="1" t="s">
        <v>8</v>
      </c>
      <c r="I4841" t="str">
        <f t="shared" si="75"/>
        <v>GOLD DIAMANTE STAR BROOCH [90206A]</v>
      </c>
    </row>
    <row r="4842" spans="1:9" x14ac:dyDescent="0.3">
      <c r="A4842" s="1" t="s">
        <v>160</v>
      </c>
      <c r="B4842" t="s">
        <v>159</v>
      </c>
      <c r="C4842" s="1">
        <v>4.9800000000000004</v>
      </c>
      <c r="D4842" s="1">
        <v>4</v>
      </c>
      <c r="E4842" s="2">
        <v>4.2105263157894699</v>
      </c>
      <c r="F4842" s="1">
        <v>19</v>
      </c>
      <c r="G4842" s="1">
        <v>402.61</v>
      </c>
      <c r="H4842" s="1" t="s">
        <v>8</v>
      </c>
      <c r="I4842" t="str">
        <f t="shared" si="75"/>
        <v>CRYSTAL DIAMANTE STAR BROOCH [90206C]</v>
      </c>
    </row>
    <row r="4843" spans="1:9" x14ac:dyDescent="0.3">
      <c r="A4843" s="1">
        <v>90208</v>
      </c>
      <c r="B4843" t="s">
        <v>158</v>
      </c>
      <c r="C4843" s="1">
        <v>2.54</v>
      </c>
      <c r="D4843" s="1">
        <v>6</v>
      </c>
      <c r="E4843" s="1">
        <v>7.95</v>
      </c>
      <c r="F4843" s="1">
        <v>19</v>
      </c>
      <c r="G4843" s="1">
        <v>386.83</v>
      </c>
      <c r="H4843" s="1" t="s">
        <v>8</v>
      </c>
      <c r="I4843" t="str">
        <f t="shared" si="75"/>
        <v>PAIR OF ENAMEL FLOWER CLUSTER SLIDE [90208]</v>
      </c>
    </row>
    <row r="4844" spans="1:9" x14ac:dyDescent="0.3">
      <c r="A4844" s="1" t="s">
        <v>157</v>
      </c>
      <c r="B4844" t="s">
        <v>156</v>
      </c>
      <c r="C4844" s="1">
        <v>2.1</v>
      </c>
      <c r="D4844" s="1">
        <v>21</v>
      </c>
      <c r="E4844" s="1">
        <v>21.625</v>
      </c>
      <c r="F4844" s="1">
        <v>8</v>
      </c>
      <c r="G4844" s="1">
        <v>325.5</v>
      </c>
      <c r="H4844" s="1" t="s">
        <v>9</v>
      </c>
      <c r="I4844" t="str">
        <f t="shared" si="75"/>
        <v>PURPLE ENAMEL+GLASS HAIR COMB [90209A]</v>
      </c>
    </row>
    <row r="4845" spans="1:9" x14ac:dyDescent="0.3">
      <c r="A4845" s="1" t="s">
        <v>155</v>
      </c>
      <c r="B4845" t="s">
        <v>154</v>
      </c>
      <c r="C4845" s="1">
        <v>2.1</v>
      </c>
      <c r="D4845" s="1">
        <v>8</v>
      </c>
      <c r="E4845" s="2">
        <v>17.272727272727199</v>
      </c>
      <c r="F4845" s="1">
        <v>22</v>
      </c>
      <c r="G4845" s="1">
        <v>730.66</v>
      </c>
      <c r="H4845" s="1" t="s">
        <v>8</v>
      </c>
      <c r="I4845" t="str">
        <f t="shared" si="75"/>
        <v>GREEN ENAMEL+GLASS HAIR COMB [90209B]</v>
      </c>
    </row>
    <row r="4846" spans="1:9" x14ac:dyDescent="0.3">
      <c r="A4846" s="1" t="s">
        <v>153</v>
      </c>
      <c r="B4846" t="s">
        <v>152</v>
      </c>
      <c r="C4846" s="1">
        <v>2.1</v>
      </c>
      <c r="D4846" s="1">
        <v>5.5</v>
      </c>
      <c r="E4846" s="2">
        <v>18.136363636363601</v>
      </c>
      <c r="F4846" s="1">
        <v>22</v>
      </c>
      <c r="G4846" s="1">
        <v>754.46</v>
      </c>
      <c r="H4846" s="1" t="s">
        <v>8</v>
      </c>
      <c r="I4846" t="str">
        <f t="shared" si="75"/>
        <v>PINK ENAMEL+GLASS HAIR COMB [90209C]</v>
      </c>
    </row>
    <row r="4847" spans="1:9" x14ac:dyDescent="0.3">
      <c r="A4847" s="1" t="s">
        <v>151</v>
      </c>
      <c r="B4847" t="s">
        <v>150</v>
      </c>
      <c r="C4847" s="1">
        <v>2.95</v>
      </c>
      <c r="D4847" s="1">
        <v>2</v>
      </c>
      <c r="E4847" s="2">
        <v>7.3333333333333304</v>
      </c>
      <c r="F4847" s="1">
        <v>12</v>
      </c>
      <c r="G4847" s="1">
        <v>207.34</v>
      </c>
      <c r="H4847" s="1" t="s">
        <v>8</v>
      </c>
      <c r="I4847" t="str">
        <f t="shared" si="75"/>
        <v>GREY ACRYLIC FACETED BANGLE [90210A]</v>
      </c>
    </row>
    <row r="4848" spans="1:9" x14ac:dyDescent="0.3">
      <c r="A4848" s="1" t="s">
        <v>149</v>
      </c>
      <c r="B4848" t="s">
        <v>148</v>
      </c>
      <c r="C4848" s="1">
        <v>2.95</v>
      </c>
      <c r="D4848" s="1">
        <v>6</v>
      </c>
      <c r="E4848" s="2">
        <v>7.8461538461538396</v>
      </c>
      <c r="F4848" s="1">
        <v>13</v>
      </c>
      <c r="G4848" s="1">
        <v>232.04</v>
      </c>
      <c r="H4848" s="1" t="s">
        <v>8</v>
      </c>
      <c r="I4848" t="str">
        <f t="shared" si="75"/>
        <v>CLEAR ACRYLIC FACETED BANGLE [90210B]</v>
      </c>
    </row>
    <row r="4849" spans="1:9" x14ac:dyDescent="0.3">
      <c r="A4849" s="1" t="s">
        <v>147</v>
      </c>
      <c r="B4849" t="s">
        <v>146</v>
      </c>
      <c r="C4849" s="1">
        <v>2.95</v>
      </c>
      <c r="D4849" s="1">
        <v>2</v>
      </c>
      <c r="E4849" s="2">
        <v>13.1111111111111</v>
      </c>
      <c r="F4849" s="1">
        <v>9</v>
      </c>
      <c r="G4849" s="1">
        <v>186.56</v>
      </c>
      <c r="H4849" s="1" t="s">
        <v>8</v>
      </c>
      <c r="I4849" t="str">
        <f t="shared" si="75"/>
        <v>RED   ACRYLIC FACETED BANGLE [90210C]</v>
      </c>
    </row>
    <row r="4850" spans="1:9" x14ac:dyDescent="0.3">
      <c r="A4850" s="1" t="s">
        <v>145</v>
      </c>
      <c r="B4850" t="s">
        <v>144</v>
      </c>
      <c r="C4850" s="1">
        <v>2.95</v>
      </c>
      <c r="D4850" s="1">
        <v>5</v>
      </c>
      <c r="E4850" s="2">
        <v>11.8333333333333</v>
      </c>
      <c r="F4850" s="1">
        <v>12</v>
      </c>
      <c r="G4850" s="1">
        <v>235.73</v>
      </c>
      <c r="H4850" s="1" t="s">
        <v>8</v>
      </c>
      <c r="I4850" t="str">
        <f t="shared" si="75"/>
        <v>PURPLE ACRYLIC FACETED BANGLE [90210D]</v>
      </c>
    </row>
    <row r="4851" spans="1:9" x14ac:dyDescent="0.3">
      <c r="A4851" s="1" t="s">
        <v>143</v>
      </c>
      <c r="B4851" t="s">
        <v>142</v>
      </c>
      <c r="C4851" s="1">
        <v>5.94</v>
      </c>
      <c r="D4851" s="1">
        <v>3</v>
      </c>
      <c r="E4851" s="2">
        <v>2.5454545454545401</v>
      </c>
      <c r="F4851" s="1">
        <v>11</v>
      </c>
      <c r="G4851" s="1">
        <v>166.57</v>
      </c>
      <c r="H4851" s="1" t="s">
        <v>8</v>
      </c>
      <c r="I4851" t="str">
        <f t="shared" si="75"/>
        <v>DIAMOND LAS VEGAS NECKLACE 45CM [90211A]</v>
      </c>
    </row>
    <row r="4852" spans="1:9" x14ac:dyDescent="0.3">
      <c r="A4852" s="1" t="s">
        <v>141</v>
      </c>
      <c r="B4852" t="s">
        <v>140</v>
      </c>
      <c r="C4852" s="1">
        <v>5.94</v>
      </c>
      <c r="D4852" s="1">
        <v>2</v>
      </c>
      <c r="E4852" s="2">
        <v>2.9166666666666599</v>
      </c>
      <c r="F4852" s="1">
        <v>12</v>
      </c>
      <c r="G4852" s="1">
        <v>208.21</v>
      </c>
      <c r="H4852" s="1" t="s">
        <v>8</v>
      </c>
      <c r="I4852" t="str">
        <f t="shared" si="75"/>
        <v>JET BLACK LAS VEGAS NECKLACE 45CM [90211B]</v>
      </c>
    </row>
    <row r="4853" spans="1:9" x14ac:dyDescent="0.3">
      <c r="A4853" s="1" t="s">
        <v>139</v>
      </c>
      <c r="B4853" t="s">
        <v>138</v>
      </c>
      <c r="C4853" s="1">
        <v>3.7949999999999999</v>
      </c>
      <c r="D4853" s="1">
        <v>2</v>
      </c>
      <c r="E4853" s="2">
        <v>2.6428571428571401</v>
      </c>
      <c r="F4853" s="1">
        <v>14</v>
      </c>
      <c r="G4853" s="1">
        <v>140.07</v>
      </c>
      <c r="H4853" s="1" t="s">
        <v>8</v>
      </c>
      <c r="I4853" t="str">
        <f t="shared" si="75"/>
        <v>JET BLACK LAS VEGAS BRACELET ROUND [90212B]</v>
      </c>
    </row>
    <row r="4854" spans="1:9" x14ac:dyDescent="0.3">
      <c r="A4854" s="1" t="s">
        <v>137</v>
      </c>
      <c r="B4854" t="s">
        <v>136</v>
      </c>
      <c r="C4854" s="1">
        <v>3.75</v>
      </c>
      <c r="D4854" s="1">
        <v>2</v>
      </c>
      <c r="E4854" s="2">
        <v>2.1428571428571401</v>
      </c>
      <c r="F4854" s="1">
        <v>7</v>
      </c>
      <c r="G4854" s="1">
        <v>56.25</v>
      </c>
      <c r="H4854" s="1" t="s">
        <v>8</v>
      </c>
      <c r="I4854" t="str">
        <f t="shared" si="75"/>
        <v>PURPLE LAS VEGAS BRACELET ROUND [90212C]</v>
      </c>
    </row>
    <row r="4855" spans="1:9" x14ac:dyDescent="0.3">
      <c r="A4855" s="1" t="s">
        <v>135</v>
      </c>
      <c r="B4855" t="s">
        <v>134</v>
      </c>
      <c r="C4855" s="1">
        <v>1.1000000000000001</v>
      </c>
      <c r="D4855" s="1">
        <v>5.5</v>
      </c>
      <c r="E4855" s="2">
        <v>8.5454545454545396</v>
      </c>
      <c r="F4855" s="1">
        <v>22</v>
      </c>
      <c r="G4855" s="2">
        <v>205.85999999999899</v>
      </c>
      <c r="H4855" s="1" t="s">
        <v>8</v>
      </c>
      <c r="I4855" t="str">
        <f t="shared" si="75"/>
        <v>LETTER "A" BLING KEY RING [90214A]</v>
      </c>
    </row>
    <row r="4856" spans="1:9" x14ac:dyDescent="0.3">
      <c r="A4856" s="1" t="s">
        <v>133</v>
      </c>
      <c r="B4856" t="s">
        <v>132</v>
      </c>
      <c r="C4856" s="1">
        <v>0.84</v>
      </c>
      <c r="D4856" s="1">
        <v>3</v>
      </c>
      <c r="E4856" s="2">
        <v>4.4117647058823497</v>
      </c>
      <c r="F4856" s="1">
        <v>17</v>
      </c>
      <c r="G4856" s="1">
        <v>72.33</v>
      </c>
      <c r="H4856" s="1" t="s">
        <v>8</v>
      </c>
      <c r="I4856" t="str">
        <f t="shared" si="75"/>
        <v>LETTER "B" BLING KEY RING [90214B]</v>
      </c>
    </row>
    <row r="4857" spans="1:9" x14ac:dyDescent="0.3">
      <c r="A4857" s="1" t="s">
        <v>131</v>
      </c>
      <c r="B4857" t="s">
        <v>130</v>
      </c>
      <c r="C4857" s="1">
        <v>1.19</v>
      </c>
      <c r="D4857" s="1">
        <v>3</v>
      </c>
      <c r="E4857" s="1">
        <v>6.9</v>
      </c>
      <c r="F4857" s="1">
        <v>20</v>
      </c>
      <c r="G4857" s="1">
        <v>154.16</v>
      </c>
      <c r="H4857" s="1" t="s">
        <v>8</v>
      </c>
      <c r="I4857" t="str">
        <f t="shared" si="75"/>
        <v>LETTER "C" BLING KEY RING [90214C]</v>
      </c>
    </row>
    <row r="4858" spans="1:9" x14ac:dyDescent="0.3">
      <c r="A4858" s="1" t="s">
        <v>129</v>
      </c>
      <c r="B4858" t="s">
        <v>128</v>
      </c>
      <c r="C4858" s="2">
        <v>1.075</v>
      </c>
      <c r="D4858" s="1">
        <v>2</v>
      </c>
      <c r="E4858" s="2">
        <v>3.4090909090908998</v>
      </c>
      <c r="F4858" s="1">
        <v>22</v>
      </c>
      <c r="G4858" s="1">
        <v>81.349999999999994</v>
      </c>
      <c r="H4858" s="1" t="s">
        <v>8</v>
      </c>
      <c r="I4858" t="str">
        <f t="shared" si="75"/>
        <v>LETTER "D" BLING KEY RING [90214D]</v>
      </c>
    </row>
    <row r="4859" spans="1:9" x14ac:dyDescent="0.3">
      <c r="A4859" s="1" t="s">
        <v>127</v>
      </c>
      <c r="B4859" t="s">
        <v>126</v>
      </c>
      <c r="C4859" s="1">
        <v>1.23</v>
      </c>
      <c r="D4859" s="1">
        <v>4</v>
      </c>
      <c r="E4859" s="2">
        <v>5.5714285714285703</v>
      </c>
      <c r="F4859" s="1">
        <v>21</v>
      </c>
      <c r="G4859" s="1">
        <v>132.03</v>
      </c>
      <c r="H4859" s="1" t="s">
        <v>8</v>
      </c>
      <c r="I4859" t="str">
        <f t="shared" si="75"/>
        <v>LETTER "E" BLING KEY RING [90214E]</v>
      </c>
    </row>
    <row r="4860" spans="1:9" x14ac:dyDescent="0.3">
      <c r="A4860" s="1" t="s">
        <v>125</v>
      </c>
      <c r="B4860" t="s">
        <v>124</v>
      </c>
      <c r="C4860" s="1">
        <v>0.83</v>
      </c>
      <c r="D4860" s="1">
        <v>2</v>
      </c>
      <c r="E4860" s="2">
        <v>2.93333333333333</v>
      </c>
      <c r="F4860" s="1">
        <v>15</v>
      </c>
      <c r="G4860" s="1">
        <v>36.28</v>
      </c>
      <c r="H4860" s="1" t="s">
        <v>8</v>
      </c>
      <c r="I4860" t="str">
        <f t="shared" si="75"/>
        <v>LETTER "F" BLING KEY RING [90214F]</v>
      </c>
    </row>
    <row r="4861" spans="1:9" x14ac:dyDescent="0.3">
      <c r="A4861" s="1" t="s">
        <v>123</v>
      </c>
      <c r="B4861" t="s">
        <v>122</v>
      </c>
      <c r="C4861" s="2">
        <v>0.92999999999999905</v>
      </c>
      <c r="D4861" s="1">
        <v>2</v>
      </c>
      <c r="E4861" s="1">
        <v>4.9000000000000004</v>
      </c>
      <c r="F4861" s="1">
        <v>20</v>
      </c>
      <c r="G4861" s="1">
        <v>88.16</v>
      </c>
      <c r="H4861" s="1" t="s">
        <v>8</v>
      </c>
      <c r="I4861" t="str">
        <f t="shared" si="75"/>
        <v>LETTER "G" BLING KEY RING [90214G]</v>
      </c>
    </row>
    <row r="4862" spans="1:9" x14ac:dyDescent="0.3">
      <c r="A4862" s="1" t="s">
        <v>121</v>
      </c>
      <c r="B4862" t="s">
        <v>120</v>
      </c>
      <c r="C4862" s="1">
        <v>0.92</v>
      </c>
      <c r="D4862" s="1">
        <v>3</v>
      </c>
      <c r="E4862" s="2">
        <v>4.3684210526315699</v>
      </c>
      <c r="F4862" s="1">
        <v>19</v>
      </c>
      <c r="G4862" s="1">
        <v>77.709999999999994</v>
      </c>
      <c r="H4862" s="1" t="s">
        <v>8</v>
      </c>
      <c r="I4862" t="str">
        <f t="shared" si="75"/>
        <v>LETTER "H" BLING KEY RING [90214H]</v>
      </c>
    </row>
    <row r="4863" spans="1:9" x14ac:dyDescent="0.3">
      <c r="A4863" s="1" t="s">
        <v>119</v>
      </c>
      <c r="B4863" t="s">
        <v>118</v>
      </c>
      <c r="C4863" s="1">
        <v>0.84</v>
      </c>
      <c r="D4863" s="1">
        <v>3</v>
      </c>
      <c r="E4863" s="2">
        <v>4.4285714285714199</v>
      </c>
      <c r="F4863" s="1">
        <v>14</v>
      </c>
      <c r="G4863" s="1">
        <v>61</v>
      </c>
      <c r="H4863" s="1" t="s">
        <v>8</v>
      </c>
      <c r="I4863" t="str">
        <f t="shared" si="75"/>
        <v>LETTER "I" BLING KEY RING [90214I]</v>
      </c>
    </row>
    <row r="4864" spans="1:9" x14ac:dyDescent="0.3">
      <c r="A4864" s="1" t="s">
        <v>117</v>
      </c>
      <c r="B4864" t="s">
        <v>116</v>
      </c>
      <c r="C4864" s="1">
        <v>0.97</v>
      </c>
      <c r="D4864" s="1">
        <v>5</v>
      </c>
      <c r="E4864" s="2">
        <v>7.4761904761904701</v>
      </c>
      <c r="F4864" s="1">
        <v>21</v>
      </c>
      <c r="G4864" s="1">
        <v>161.47</v>
      </c>
      <c r="H4864" s="1" t="s">
        <v>8</v>
      </c>
      <c r="I4864" t="str">
        <f t="shared" si="75"/>
        <v>LETTER "J" BLING KEY RING [90214J]</v>
      </c>
    </row>
    <row r="4865" spans="1:9" x14ac:dyDescent="0.3">
      <c r="A4865" s="1" t="s">
        <v>115</v>
      </c>
      <c r="B4865" t="s">
        <v>114</v>
      </c>
      <c r="C4865" s="1">
        <v>1.25</v>
      </c>
      <c r="D4865" s="1">
        <v>3</v>
      </c>
      <c r="E4865" s="2">
        <v>5.5652173913043397</v>
      </c>
      <c r="F4865" s="1">
        <v>23</v>
      </c>
      <c r="G4865" s="1">
        <v>150.32</v>
      </c>
      <c r="H4865" s="1" t="s">
        <v>8</v>
      </c>
      <c r="I4865" t="str">
        <f t="shared" si="75"/>
        <v>LETTER "K" BLING KEY RING [90214K]</v>
      </c>
    </row>
    <row r="4866" spans="1:9" x14ac:dyDescent="0.3">
      <c r="A4866" s="1" t="s">
        <v>113</v>
      </c>
      <c r="B4866" t="s">
        <v>112</v>
      </c>
      <c r="C4866" s="1">
        <v>0.98</v>
      </c>
      <c r="D4866" s="1">
        <v>6</v>
      </c>
      <c r="E4866" s="2">
        <v>9.2631578947368407</v>
      </c>
      <c r="F4866" s="1">
        <v>19</v>
      </c>
      <c r="G4866" s="1">
        <v>166.06</v>
      </c>
      <c r="H4866" s="1" t="s">
        <v>8</v>
      </c>
      <c r="I4866" t="str">
        <f t="shared" si="75"/>
        <v>LETTER "L" BLING KEY RING [90214L]</v>
      </c>
    </row>
    <row r="4867" spans="1:9" x14ac:dyDescent="0.3">
      <c r="A4867" s="1" t="s">
        <v>111</v>
      </c>
      <c r="B4867" t="s">
        <v>110</v>
      </c>
      <c r="C4867" s="1">
        <v>1.02</v>
      </c>
      <c r="D4867" s="1">
        <v>5.5</v>
      </c>
      <c r="E4867" s="1">
        <v>6.9</v>
      </c>
      <c r="F4867" s="1">
        <v>20</v>
      </c>
      <c r="G4867" s="1">
        <v>139.82</v>
      </c>
      <c r="H4867" s="1" t="s">
        <v>8</v>
      </c>
      <c r="I4867" t="str">
        <f t="shared" ref="I4867:I4915" si="76">B4867&amp;" ["&amp;A4867&amp;"]"</f>
        <v>LETTER "M" BLING KEY RING [90214M]</v>
      </c>
    </row>
    <row r="4868" spans="1:9" x14ac:dyDescent="0.3">
      <c r="A4868" s="1" t="s">
        <v>109</v>
      </c>
      <c r="B4868" t="s">
        <v>108</v>
      </c>
      <c r="C4868" s="1">
        <v>0.97</v>
      </c>
      <c r="D4868" s="1">
        <v>2</v>
      </c>
      <c r="E4868" s="2">
        <v>3.71428571428571</v>
      </c>
      <c r="F4868" s="1">
        <v>21</v>
      </c>
      <c r="G4868" s="1">
        <v>76.400000000000006</v>
      </c>
      <c r="H4868" s="1" t="s">
        <v>8</v>
      </c>
      <c r="I4868" t="str">
        <f t="shared" si="76"/>
        <v>LETTER "N" BLING KEY RING [90214N]</v>
      </c>
    </row>
    <row r="4869" spans="1:9" x14ac:dyDescent="0.3">
      <c r="A4869" s="1" t="s">
        <v>107</v>
      </c>
      <c r="B4869" t="s">
        <v>106</v>
      </c>
      <c r="C4869" s="1">
        <v>1.17</v>
      </c>
      <c r="D4869" s="1">
        <v>3</v>
      </c>
      <c r="E4869" s="1">
        <v>4</v>
      </c>
      <c r="F4869" s="1">
        <v>9</v>
      </c>
      <c r="G4869" s="2">
        <v>31.419999999999899</v>
      </c>
      <c r="H4869" s="1" t="s">
        <v>8</v>
      </c>
      <c r="I4869" t="str">
        <f t="shared" si="76"/>
        <v>LETTER "O" BLING KEY RING [90214O]</v>
      </c>
    </row>
    <row r="4870" spans="1:9" x14ac:dyDescent="0.3">
      <c r="A4870" s="1" t="s">
        <v>105</v>
      </c>
      <c r="B4870" t="s">
        <v>104</v>
      </c>
      <c r="C4870" s="1">
        <v>1.22</v>
      </c>
      <c r="D4870" s="1">
        <v>2</v>
      </c>
      <c r="E4870" s="2">
        <v>3.4666666666666601</v>
      </c>
      <c r="F4870" s="1">
        <v>15</v>
      </c>
      <c r="G4870" s="2">
        <v>59.339999999999897</v>
      </c>
      <c r="H4870" s="1" t="s">
        <v>8</v>
      </c>
      <c r="I4870" t="str">
        <f t="shared" si="76"/>
        <v>LETTER "P" BLING KEY RING [90214P]</v>
      </c>
    </row>
    <row r="4871" spans="1:9" x14ac:dyDescent="0.3">
      <c r="A4871" s="1" t="s">
        <v>103</v>
      </c>
      <c r="B4871" t="s">
        <v>102</v>
      </c>
      <c r="C4871" s="1">
        <v>1.0549999999999999</v>
      </c>
      <c r="D4871" s="1">
        <v>4</v>
      </c>
      <c r="E4871" s="1">
        <v>4.8125</v>
      </c>
      <c r="F4871" s="1">
        <v>16</v>
      </c>
      <c r="G4871" s="1">
        <v>87.45</v>
      </c>
      <c r="H4871" s="1" t="s">
        <v>8</v>
      </c>
      <c r="I4871" t="str">
        <f t="shared" si="76"/>
        <v>LETTER "R" BLING KEY RING [90214R]</v>
      </c>
    </row>
    <row r="4872" spans="1:9" x14ac:dyDescent="0.3">
      <c r="A4872" s="1" t="s">
        <v>101</v>
      </c>
      <c r="B4872" t="s">
        <v>100</v>
      </c>
      <c r="C4872" s="2">
        <v>0.90999999999999903</v>
      </c>
      <c r="D4872" s="1">
        <v>6.5</v>
      </c>
      <c r="E4872" s="1">
        <v>9.15</v>
      </c>
      <c r="F4872" s="1">
        <v>20</v>
      </c>
      <c r="G4872" s="1">
        <v>178.83</v>
      </c>
      <c r="H4872" s="1" t="s">
        <v>8</v>
      </c>
      <c r="I4872" t="str">
        <f t="shared" si="76"/>
        <v>LETTER "S" BLING KEY RING [90214S]</v>
      </c>
    </row>
    <row r="4873" spans="1:9" x14ac:dyDescent="0.3">
      <c r="A4873" s="1" t="s">
        <v>99</v>
      </c>
      <c r="B4873" t="s">
        <v>98</v>
      </c>
      <c r="C4873" s="1">
        <v>0.83</v>
      </c>
      <c r="D4873" s="1">
        <v>2</v>
      </c>
      <c r="E4873" s="1">
        <v>4</v>
      </c>
      <c r="F4873" s="1">
        <v>14</v>
      </c>
      <c r="G4873" s="1">
        <v>53.06</v>
      </c>
      <c r="H4873" s="1" t="s">
        <v>8</v>
      </c>
      <c r="I4873" t="str">
        <f t="shared" si="76"/>
        <v>LETTER "T" BLING KEY RING [90214T]</v>
      </c>
    </row>
    <row r="4874" spans="1:9" x14ac:dyDescent="0.3">
      <c r="A4874" s="1" t="s">
        <v>97</v>
      </c>
      <c r="B4874" t="s">
        <v>96</v>
      </c>
      <c r="C4874" s="1">
        <v>0.77</v>
      </c>
      <c r="D4874" s="1">
        <v>6.5</v>
      </c>
      <c r="E4874" s="1">
        <v>6.5</v>
      </c>
      <c r="F4874" s="1">
        <v>2</v>
      </c>
      <c r="G4874" s="1">
        <v>4.7300000000000004</v>
      </c>
      <c r="H4874" s="1" t="s">
        <v>8</v>
      </c>
      <c r="I4874" t="str">
        <f t="shared" si="76"/>
        <v>LETTER "U" BLING KEY RING [90214U]</v>
      </c>
    </row>
    <row r="4875" spans="1:9" x14ac:dyDescent="0.3">
      <c r="A4875" s="1" t="s">
        <v>95</v>
      </c>
      <c r="B4875" t="s">
        <v>94</v>
      </c>
      <c r="C4875" s="2">
        <v>0.89999999999999902</v>
      </c>
      <c r="D4875" s="1">
        <v>1</v>
      </c>
      <c r="E4875" s="1">
        <v>2.375</v>
      </c>
      <c r="F4875" s="1">
        <v>16</v>
      </c>
      <c r="G4875" s="1">
        <v>28.98</v>
      </c>
      <c r="H4875" s="1" t="s">
        <v>8</v>
      </c>
      <c r="I4875" t="str">
        <f t="shared" si="76"/>
        <v>LETTER "V" BLING KEY RING [90214V]</v>
      </c>
    </row>
    <row r="4876" spans="1:9" x14ac:dyDescent="0.3">
      <c r="A4876" s="1" t="s">
        <v>93</v>
      </c>
      <c r="B4876" t="s">
        <v>92</v>
      </c>
      <c r="C4876" s="1">
        <v>0.83</v>
      </c>
      <c r="D4876" s="1">
        <v>1</v>
      </c>
      <c r="E4876" s="2">
        <v>2.71428571428571</v>
      </c>
      <c r="F4876" s="1">
        <v>7</v>
      </c>
      <c r="G4876" s="1">
        <v>10.17</v>
      </c>
      <c r="H4876" s="1" t="s">
        <v>8</v>
      </c>
      <c r="I4876" t="str">
        <f t="shared" si="76"/>
        <v>LETTER "W" BLING KEY RING [90214W]</v>
      </c>
    </row>
    <row r="4877" spans="1:9" x14ac:dyDescent="0.3">
      <c r="A4877" s="1" t="s">
        <v>91</v>
      </c>
      <c r="B4877" t="s">
        <v>90</v>
      </c>
      <c r="C4877" s="1">
        <v>0.85</v>
      </c>
      <c r="D4877" s="1">
        <v>1</v>
      </c>
      <c r="E4877" s="2">
        <v>9.71428571428571</v>
      </c>
      <c r="F4877" s="1">
        <v>7</v>
      </c>
      <c r="G4877" s="1">
        <v>25.34</v>
      </c>
      <c r="H4877" s="1" t="s">
        <v>8</v>
      </c>
      <c r="I4877" t="str">
        <f t="shared" si="76"/>
        <v>LETTER "Y" BLING KEY RING [90214Y]</v>
      </c>
    </row>
    <row r="4878" spans="1:9" x14ac:dyDescent="0.3">
      <c r="A4878" s="1" t="s">
        <v>89</v>
      </c>
      <c r="B4878" t="s">
        <v>88</v>
      </c>
      <c r="C4878" s="1">
        <v>0.83</v>
      </c>
      <c r="D4878" s="1">
        <v>1</v>
      </c>
      <c r="E4878" s="2">
        <v>2.3846153846153801</v>
      </c>
      <c r="F4878" s="1">
        <v>13</v>
      </c>
      <c r="G4878" s="1">
        <v>21.49</v>
      </c>
      <c r="H4878" s="1" t="s">
        <v>8</v>
      </c>
      <c r="I4878" t="str">
        <f t="shared" si="76"/>
        <v>LETTER "Z" BLING KEY RING [90214Z]</v>
      </c>
    </row>
    <row r="4879" spans="1:9" x14ac:dyDescent="0.3">
      <c r="A4879" s="1" t="s">
        <v>87</v>
      </c>
      <c r="B4879" t="s">
        <v>86</v>
      </c>
      <c r="C4879" s="1">
        <v>263.47000000000003</v>
      </c>
      <c r="D4879" s="1">
        <v>18</v>
      </c>
      <c r="E4879" s="1">
        <v>18</v>
      </c>
      <c r="F4879" s="1">
        <v>1</v>
      </c>
      <c r="G4879" s="1">
        <v>8897.93</v>
      </c>
      <c r="H4879" s="1" t="s">
        <v>9</v>
      </c>
      <c r="I4879" t="str">
        <f t="shared" si="76"/>
        <v>Adjustment by john on 26/01/2010 16 [ADJUST]</v>
      </c>
    </row>
    <row r="4880" spans="1:9" x14ac:dyDescent="0.3">
      <c r="A4880" s="1" t="s">
        <v>85</v>
      </c>
      <c r="B4880" t="s">
        <v>84</v>
      </c>
      <c r="C4880" s="1">
        <v>243.68</v>
      </c>
      <c r="D4880" s="1">
        <v>3</v>
      </c>
      <c r="E4880" s="1">
        <v>3</v>
      </c>
      <c r="F4880" s="1">
        <v>1</v>
      </c>
      <c r="G4880" s="1">
        <v>731.05</v>
      </c>
      <c r="H4880" s="1" t="s">
        <v>8</v>
      </c>
      <c r="I4880" t="str">
        <f t="shared" si="76"/>
        <v>Adjustment by Peter on Jun 25 2010 [ADJUST2]</v>
      </c>
    </row>
    <row r="4881" spans="1:9" x14ac:dyDescent="0.3">
      <c r="A4881" s="1" t="s">
        <v>83</v>
      </c>
      <c r="B4881" t="s">
        <v>82</v>
      </c>
      <c r="C4881" s="1">
        <v>10124.02</v>
      </c>
      <c r="D4881" s="1">
        <v>1</v>
      </c>
      <c r="E4881" s="1">
        <v>1</v>
      </c>
      <c r="F4881" s="1">
        <v>2</v>
      </c>
      <c r="G4881" s="1">
        <v>20248.04</v>
      </c>
      <c r="H4881" s="1" t="s">
        <v>8</v>
      </c>
      <c r="I4881" t="str">
        <f t="shared" si="76"/>
        <v>AMAZON FEE [AMAZONFEE]</v>
      </c>
    </row>
    <row r="4882" spans="1:9" x14ac:dyDescent="0.3">
      <c r="A4882" s="1" t="s">
        <v>81</v>
      </c>
      <c r="B4882" t="s">
        <v>80</v>
      </c>
      <c r="C4882" s="1">
        <v>11062.06</v>
      </c>
      <c r="D4882" s="1">
        <v>1</v>
      </c>
      <c r="E4882" s="1">
        <v>1</v>
      </c>
      <c r="F4882" s="1">
        <v>1</v>
      </c>
      <c r="G4882" s="1">
        <v>11062.06</v>
      </c>
      <c r="H4882" s="1" t="s">
        <v>8</v>
      </c>
      <c r="I4882" t="str">
        <f t="shared" si="76"/>
        <v>Adjust bad debt [B]</v>
      </c>
    </row>
    <row r="4883" spans="1:9" x14ac:dyDescent="0.3">
      <c r="A4883" s="1" t="s">
        <v>79</v>
      </c>
      <c r="B4883" t="s">
        <v>78</v>
      </c>
      <c r="C4883" s="1">
        <v>15</v>
      </c>
      <c r="D4883" s="1">
        <v>2</v>
      </c>
      <c r="E4883" s="1">
        <v>2</v>
      </c>
      <c r="F4883" s="1">
        <v>17</v>
      </c>
      <c r="G4883" s="1">
        <v>519.24</v>
      </c>
      <c r="H4883" s="1" t="s">
        <v>8</v>
      </c>
      <c r="I4883" t="str">
        <f t="shared" si="76"/>
        <v>Bank Charges [BANK CHARGES]</v>
      </c>
    </row>
    <row r="4884" spans="1:9" x14ac:dyDescent="0.3">
      <c r="A4884" s="1" t="s">
        <v>77</v>
      </c>
      <c r="B4884" t="s">
        <v>76</v>
      </c>
      <c r="C4884" s="1">
        <v>50</v>
      </c>
      <c r="D4884" s="1">
        <v>10</v>
      </c>
      <c r="E4884" s="1">
        <v>10.72</v>
      </c>
      <c r="F4884" s="1">
        <v>25</v>
      </c>
      <c r="G4884" s="1">
        <v>13426</v>
      </c>
      <c r="H4884" s="1" t="s">
        <v>9</v>
      </c>
      <c r="I4884" t="str">
        <f t="shared" si="76"/>
        <v>CARRIAGE [C2]</v>
      </c>
    </row>
    <row r="4885" spans="1:9" x14ac:dyDescent="0.3">
      <c r="A4885" s="1" t="s">
        <v>75</v>
      </c>
      <c r="B4885" t="s">
        <v>74</v>
      </c>
      <c r="C4885" s="2">
        <v>40.384999999999998</v>
      </c>
      <c r="D4885" s="1">
        <v>1.5</v>
      </c>
      <c r="E4885" s="1">
        <v>1.5</v>
      </c>
      <c r="F4885" s="1">
        <v>2</v>
      </c>
      <c r="G4885" s="1">
        <v>103.9</v>
      </c>
      <c r="H4885" s="1" t="s">
        <v>8</v>
      </c>
      <c r="I4885" t="str">
        <f t="shared" si="76"/>
        <v>Discount [D]</v>
      </c>
    </row>
    <row r="4886" spans="1:9" x14ac:dyDescent="0.3">
      <c r="A4886" s="1" t="s">
        <v>73</v>
      </c>
      <c r="B4886" t="s">
        <v>72</v>
      </c>
      <c r="C4886" s="1">
        <v>2.5099999999999998</v>
      </c>
      <c r="D4886" s="1">
        <v>1</v>
      </c>
      <c r="E4886" s="1">
        <v>1.625</v>
      </c>
      <c r="F4886" s="1">
        <v>8</v>
      </c>
      <c r="G4886" s="2">
        <v>32.589999999999897</v>
      </c>
      <c r="H4886" s="1" t="s">
        <v>8</v>
      </c>
      <c r="I4886" t="str">
        <f t="shared" si="76"/>
        <v>BOXED GLASS ASHTRAY [DCGS0003]</v>
      </c>
    </row>
    <row r="4887" spans="1:9" x14ac:dyDescent="0.3">
      <c r="A4887" s="1" t="s">
        <v>71</v>
      </c>
      <c r="B4887" t="s">
        <v>70</v>
      </c>
      <c r="C4887" s="1">
        <v>16.98</v>
      </c>
      <c r="D4887" s="1">
        <v>1</v>
      </c>
      <c r="E4887" s="1">
        <v>1</v>
      </c>
      <c r="F4887" s="1">
        <v>4</v>
      </c>
      <c r="G4887" s="1">
        <v>67.94</v>
      </c>
      <c r="H4887" s="1" t="s">
        <v>8</v>
      </c>
      <c r="I4887" t="str">
        <f t="shared" si="76"/>
        <v>HAYNES CAMPER SHOULDER BAG [DCGS0004]</v>
      </c>
    </row>
    <row r="4888" spans="1:9" x14ac:dyDescent="0.3">
      <c r="A4888" s="1" t="s">
        <v>69</v>
      </c>
      <c r="B4888" t="s">
        <v>68</v>
      </c>
      <c r="C4888" s="1">
        <v>12.72</v>
      </c>
      <c r="D4888" s="1">
        <v>1</v>
      </c>
      <c r="E4888" s="1">
        <v>1</v>
      </c>
      <c r="F4888" s="1">
        <v>1</v>
      </c>
      <c r="G4888" s="1">
        <v>12.72</v>
      </c>
      <c r="H4888" s="1" t="s">
        <v>8</v>
      </c>
      <c r="I4888" t="str">
        <f t="shared" si="76"/>
        <v>KEY-RING CORKSCREW [DCGS0037]</v>
      </c>
    </row>
    <row r="4889" spans="1:9" x14ac:dyDescent="0.3">
      <c r="A4889" s="1" t="s">
        <v>67</v>
      </c>
      <c r="B4889" t="s">
        <v>66</v>
      </c>
      <c r="C4889" s="1">
        <v>5.0599999999999996</v>
      </c>
      <c r="D4889" s="1">
        <v>1</v>
      </c>
      <c r="E4889" s="1">
        <v>1</v>
      </c>
      <c r="F4889" s="1">
        <v>1</v>
      </c>
      <c r="G4889" s="1">
        <v>5.0599999999999996</v>
      </c>
      <c r="H4889" s="1" t="s">
        <v>8</v>
      </c>
      <c r="I4889" t="str">
        <f t="shared" si="76"/>
        <v>HAYNES MINI-COOPER PLAYING CARDS [DCGS0041]</v>
      </c>
    </row>
    <row r="4890" spans="1:9" x14ac:dyDescent="0.3">
      <c r="A4890" s="1" t="s">
        <v>65</v>
      </c>
      <c r="B4890" t="s">
        <v>64</v>
      </c>
      <c r="C4890" s="1">
        <v>2.57</v>
      </c>
      <c r="D4890" s="1">
        <v>1</v>
      </c>
      <c r="E4890" s="1">
        <v>1</v>
      </c>
      <c r="F4890" s="1">
        <v>1</v>
      </c>
      <c r="G4890" s="1">
        <v>2.57</v>
      </c>
      <c r="H4890" s="1" t="s">
        <v>8</v>
      </c>
      <c r="I4890" t="str">
        <f t="shared" si="76"/>
        <v>HANDZ-OFF CAR FRESHENER [DCGS0044]</v>
      </c>
    </row>
    <row r="4891" spans="1:9" x14ac:dyDescent="0.3">
      <c r="A4891" s="1" t="s">
        <v>63</v>
      </c>
      <c r="B4891" t="s">
        <v>62</v>
      </c>
      <c r="C4891" s="1">
        <v>0.81499999999999995</v>
      </c>
      <c r="D4891" s="1">
        <v>2</v>
      </c>
      <c r="E4891" s="1">
        <v>4.2</v>
      </c>
      <c r="F4891" s="1">
        <v>10</v>
      </c>
      <c r="G4891" s="1">
        <v>34.82</v>
      </c>
      <c r="H4891" s="1" t="s">
        <v>8</v>
      </c>
      <c r="I4891" t="str">
        <f t="shared" si="76"/>
        <v>MISO PRETTY  GUM [DCGS0058]</v>
      </c>
    </row>
    <row r="4892" spans="1:9" x14ac:dyDescent="0.3">
      <c r="A4892" s="1" t="s">
        <v>61</v>
      </c>
      <c r="B4892" t="s">
        <v>60</v>
      </c>
      <c r="C4892" s="1">
        <v>2.5099999999999998</v>
      </c>
      <c r="D4892" s="1">
        <v>1</v>
      </c>
      <c r="E4892" s="1">
        <v>1</v>
      </c>
      <c r="F4892" s="1">
        <v>1</v>
      </c>
      <c r="G4892" s="1">
        <v>2.5099999999999998</v>
      </c>
      <c r="H4892" s="1" t="s">
        <v>8</v>
      </c>
      <c r="I4892" t="str">
        <f t="shared" si="76"/>
        <v>ROAD-RAGE CAR FRESHENER [DCGS0062]</v>
      </c>
    </row>
    <row r="4893" spans="1:9" x14ac:dyDescent="0.3">
      <c r="A4893" s="1" t="s">
        <v>59</v>
      </c>
      <c r="B4893" t="s">
        <v>58</v>
      </c>
      <c r="C4893" s="1">
        <v>8.65</v>
      </c>
      <c r="D4893" s="1">
        <v>2</v>
      </c>
      <c r="E4893" s="1">
        <v>2</v>
      </c>
      <c r="F4893" s="1">
        <v>1</v>
      </c>
      <c r="G4893" s="1">
        <v>17.3</v>
      </c>
      <c r="H4893" s="1" t="s">
        <v>8</v>
      </c>
      <c r="I4893" t="str">
        <f t="shared" si="76"/>
        <v>NAVY CUDDLES DOG HOODIE [DCGS0066N]</v>
      </c>
    </row>
    <row r="4894" spans="1:9" x14ac:dyDescent="0.3">
      <c r="A4894" s="1" t="s">
        <v>57</v>
      </c>
      <c r="B4894" t="s">
        <v>56</v>
      </c>
      <c r="C4894" s="1">
        <v>8.56</v>
      </c>
      <c r="D4894" s="1">
        <v>1</v>
      </c>
      <c r="E4894" s="1">
        <v>1</v>
      </c>
      <c r="F4894" s="1">
        <v>2</v>
      </c>
      <c r="G4894" s="1">
        <v>17.12</v>
      </c>
      <c r="H4894" s="1" t="s">
        <v>8</v>
      </c>
      <c r="I4894" t="str">
        <f t="shared" si="76"/>
        <v>DOGS NIGHT COLLAR [DCGS0068]</v>
      </c>
    </row>
    <row r="4895" spans="1:9" x14ac:dyDescent="0.3">
      <c r="A4895" s="1" t="s">
        <v>55</v>
      </c>
      <c r="B4895" t="s">
        <v>54</v>
      </c>
      <c r="C4895" s="1">
        <v>16.13</v>
      </c>
      <c r="D4895" s="1">
        <v>1</v>
      </c>
      <c r="E4895" s="1">
        <v>1.25</v>
      </c>
      <c r="F4895" s="1">
        <v>4</v>
      </c>
      <c r="G4895" s="1">
        <v>80.31</v>
      </c>
      <c r="H4895" s="1" t="s">
        <v>8</v>
      </c>
      <c r="I4895" t="str">
        <f t="shared" si="76"/>
        <v>OOH LA LA DOGS COLLAR [DCGS0069]</v>
      </c>
    </row>
    <row r="4896" spans="1:9" x14ac:dyDescent="0.3">
      <c r="A4896" s="1" t="s">
        <v>53</v>
      </c>
      <c r="B4896" t="s">
        <v>52</v>
      </c>
      <c r="C4896" s="1">
        <v>12.72</v>
      </c>
      <c r="D4896" s="1">
        <v>1</v>
      </c>
      <c r="E4896" s="1">
        <v>1</v>
      </c>
      <c r="F4896" s="1">
        <v>2</v>
      </c>
      <c r="G4896" s="1">
        <v>25.44</v>
      </c>
      <c r="H4896" s="1" t="s">
        <v>8</v>
      </c>
      <c r="I4896" t="str">
        <f t="shared" si="76"/>
        <v>CAMOUFLAGE DOG COLLAR [DCGS0070]</v>
      </c>
    </row>
    <row r="4897" spans="1:9" x14ac:dyDescent="0.3">
      <c r="A4897" s="1" t="s">
        <v>51</v>
      </c>
      <c r="B4897" t="s">
        <v>50</v>
      </c>
      <c r="C4897" s="1">
        <v>5.17</v>
      </c>
      <c r="D4897" s="1">
        <v>4</v>
      </c>
      <c r="E4897" s="1">
        <v>4</v>
      </c>
      <c r="F4897" s="1">
        <v>1</v>
      </c>
      <c r="G4897" s="1">
        <v>20.68</v>
      </c>
      <c r="H4897" s="1" t="s">
        <v>8</v>
      </c>
      <c r="I4897" t="str">
        <f t="shared" si="76"/>
        <v>CAT CAMOUFLAGUE COLLAR [DCGS0072]</v>
      </c>
    </row>
    <row r="4898" spans="1:9" x14ac:dyDescent="0.3">
      <c r="A4898" s="1" t="s">
        <v>49</v>
      </c>
      <c r="B4898" t="s">
        <v>48</v>
      </c>
      <c r="C4898" s="1">
        <v>12.72</v>
      </c>
      <c r="D4898" s="1">
        <v>1</v>
      </c>
      <c r="E4898" s="1">
        <v>1</v>
      </c>
      <c r="F4898" s="1">
        <v>1</v>
      </c>
      <c r="G4898" s="1">
        <v>12.72</v>
      </c>
      <c r="H4898" s="1" t="s">
        <v>8</v>
      </c>
      <c r="I4898" t="str">
        <f t="shared" si="76"/>
        <v>CAMOUFLAGUE DOG LEAD [DCGS0075]</v>
      </c>
    </row>
    <row r="4899" spans="1:9" x14ac:dyDescent="0.3">
      <c r="A4899" s="1" t="s">
        <v>47</v>
      </c>
      <c r="B4899" t="s">
        <v>46</v>
      </c>
      <c r="C4899" s="1">
        <v>16.13</v>
      </c>
      <c r="D4899" s="1">
        <v>1</v>
      </c>
      <c r="E4899" s="2">
        <v>1.88888888888888</v>
      </c>
      <c r="F4899" s="1">
        <v>9</v>
      </c>
      <c r="G4899" s="1">
        <v>275.95999999999998</v>
      </c>
      <c r="H4899" s="1" t="s">
        <v>8</v>
      </c>
      <c r="I4899" t="str">
        <f t="shared" si="76"/>
        <v>SUNJAR LED NIGHT NIGHT LIGHT [DCGS0076]</v>
      </c>
    </row>
    <row r="4900" spans="1:9" x14ac:dyDescent="0.3">
      <c r="A4900" s="1" t="s">
        <v>45</v>
      </c>
      <c r="B4900" t="s">
        <v>44</v>
      </c>
      <c r="C4900" s="1">
        <v>3.29</v>
      </c>
      <c r="D4900" s="1">
        <v>2</v>
      </c>
      <c r="E4900" s="1">
        <v>7</v>
      </c>
      <c r="F4900" s="1">
        <v>11</v>
      </c>
      <c r="G4900" s="1">
        <v>251.35</v>
      </c>
      <c r="H4900" s="1" t="s">
        <v>8</v>
      </c>
      <c r="I4900" t="str">
        <f t="shared" si="76"/>
        <v>BOYS PARTY BAG [DCGSSBOY]</v>
      </c>
    </row>
    <row r="4901" spans="1:9" x14ac:dyDescent="0.3">
      <c r="A4901" s="1" t="s">
        <v>43</v>
      </c>
      <c r="B4901" t="s">
        <v>42</v>
      </c>
      <c r="C4901" s="1">
        <v>3.29</v>
      </c>
      <c r="D4901" s="1">
        <v>5</v>
      </c>
      <c r="E4901" s="2">
        <v>8.3636363636363598</v>
      </c>
      <c r="F4901" s="1">
        <v>11</v>
      </c>
      <c r="G4901" s="1">
        <v>295.63</v>
      </c>
      <c r="H4901" s="1" t="s">
        <v>8</v>
      </c>
      <c r="I4901" t="str">
        <f t="shared" si="76"/>
        <v>GIRLS PARTY BAG [DCGSSGIRL]</v>
      </c>
    </row>
    <row r="4902" spans="1:9" x14ac:dyDescent="0.3">
      <c r="A4902" s="1" t="s">
        <v>41</v>
      </c>
      <c r="B4902" t="s">
        <v>40</v>
      </c>
      <c r="C4902" s="1">
        <v>141.06</v>
      </c>
      <c r="D4902" s="1">
        <v>61</v>
      </c>
      <c r="E4902" s="2">
        <v>61.578947368420998</v>
      </c>
      <c r="F4902" s="1">
        <v>19</v>
      </c>
      <c r="G4902" s="1">
        <v>178474.6</v>
      </c>
      <c r="H4902" s="1" t="s">
        <v>10</v>
      </c>
      <c r="I4902" t="str">
        <f t="shared" si="76"/>
        <v>DOTCOM POSTAGE [DOT]</v>
      </c>
    </row>
    <row r="4903" spans="1:9" x14ac:dyDescent="0.3">
      <c r="A4903" s="1" t="s">
        <v>39</v>
      </c>
      <c r="B4903" t="s">
        <v>14</v>
      </c>
      <c r="C4903" s="1">
        <v>93.22</v>
      </c>
      <c r="D4903" s="1">
        <v>104</v>
      </c>
      <c r="E4903" s="2">
        <v>172.692307692307</v>
      </c>
      <c r="F4903" s="1">
        <v>13</v>
      </c>
      <c r="G4903" s="1">
        <v>186789.25</v>
      </c>
      <c r="H4903" s="1" t="s">
        <v>10</v>
      </c>
      <c r="I4903" t="str">
        <f t="shared" si="76"/>
        <v>Manual [M]</v>
      </c>
    </row>
    <row r="4904" spans="1:9" x14ac:dyDescent="0.3">
      <c r="A4904" s="1" t="s">
        <v>38</v>
      </c>
      <c r="B4904" t="s">
        <v>37</v>
      </c>
      <c r="C4904" s="1">
        <v>22.184999999999999</v>
      </c>
      <c r="D4904" s="1">
        <v>209.5</v>
      </c>
      <c r="E4904" s="2">
        <v>213.333333333333</v>
      </c>
      <c r="F4904" s="1">
        <v>24</v>
      </c>
      <c r="G4904" s="1">
        <v>112323.67</v>
      </c>
      <c r="H4904" s="1" t="s">
        <v>10</v>
      </c>
      <c r="I4904" t="str">
        <f t="shared" si="76"/>
        <v>POSTAGE [POST]</v>
      </c>
    </row>
    <row r="4905" spans="1:9" x14ac:dyDescent="0.3">
      <c r="A4905" s="1" t="s">
        <v>36</v>
      </c>
      <c r="B4905" t="s">
        <v>35</v>
      </c>
      <c r="C4905" s="1">
        <v>33.049999999999997</v>
      </c>
      <c r="D4905" s="1">
        <v>1</v>
      </c>
      <c r="E4905" s="1">
        <v>1</v>
      </c>
      <c r="F4905" s="1">
        <v>3</v>
      </c>
      <c r="G4905" s="1">
        <v>136.85</v>
      </c>
      <c r="H4905" s="1" t="s">
        <v>8</v>
      </c>
      <c r="I4905" t="str">
        <f t="shared" si="76"/>
        <v>SAMPLES [S]</v>
      </c>
    </row>
    <row r="4906" spans="1:9" x14ac:dyDescent="0.3">
      <c r="A4906" s="1" t="s">
        <v>34</v>
      </c>
      <c r="B4906" t="s">
        <v>33</v>
      </c>
      <c r="C4906" s="1">
        <v>2.95</v>
      </c>
      <c r="D4906" s="1">
        <v>5</v>
      </c>
      <c r="E4906" s="1">
        <v>5</v>
      </c>
      <c r="F4906" s="1">
        <v>1</v>
      </c>
      <c r="G4906" s="1">
        <v>14.75</v>
      </c>
      <c r="H4906" s="1" t="s">
        <v>8</v>
      </c>
      <c r="I4906" t="str">
        <f t="shared" si="76"/>
        <v>KID'S CHALKBOARD/EASEL [SP1002]</v>
      </c>
    </row>
    <row r="4907" spans="1:9" x14ac:dyDescent="0.3">
      <c r="A4907" s="1" t="s">
        <v>32</v>
      </c>
      <c r="B4907" t="s">
        <v>30</v>
      </c>
      <c r="C4907" s="1">
        <v>4.5</v>
      </c>
      <c r="D4907" s="1">
        <v>20</v>
      </c>
      <c r="E4907" s="2">
        <v>16.6666666666666</v>
      </c>
      <c r="F4907" s="1">
        <v>3</v>
      </c>
      <c r="G4907" s="1">
        <v>225</v>
      </c>
      <c r="H4907" s="1" t="s">
        <v>9</v>
      </c>
      <c r="I4907" t="str">
        <f t="shared" si="76"/>
        <v>This is a test product. [TEST001]</v>
      </c>
    </row>
    <row r="4908" spans="1:9" x14ac:dyDescent="0.3">
      <c r="A4908" s="1" t="s">
        <v>31</v>
      </c>
      <c r="B4908" t="s">
        <v>30</v>
      </c>
      <c r="C4908" s="1">
        <v>1</v>
      </c>
      <c r="D4908" s="1">
        <v>1</v>
      </c>
      <c r="E4908" s="1">
        <v>1</v>
      </c>
      <c r="F4908" s="1">
        <v>1</v>
      </c>
      <c r="G4908" s="1">
        <v>1</v>
      </c>
      <c r="H4908" s="1" t="s">
        <v>8</v>
      </c>
      <c r="I4908" t="str">
        <f t="shared" si="76"/>
        <v>This is a test product. [TEST002]</v>
      </c>
    </row>
    <row r="4909" spans="1:9" x14ac:dyDescent="0.3">
      <c r="A4909" s="1" t="s">
        <v>29</v>
      </c>
      <c r="B4909" t="s">
        <v>28</v>
      </c>
      <c r="C4909" s="1">
        <v>8.33</v>
      </c>
      <c r="D4909" s="1">
        <v>1</v>
      </c>
      <c r="E4909" s="2">
        <v>1.36363636363636</v>
      </c>
      <c r="F4909" s="1">
        <v>11</v>
      </c>
      <c r="G4909" s="1">
        <v>126.21</v>
      </c>
      <c r="H4909" s="1" t="s">
        <v>8</v>
      </c>
      <c r="I4909" t="str">
        <f t="shared" si="76"/>
        <v>Dotcomgiftshop Gift Voucher Â£10.00 [gift_0001_10]</v>
      </c>
    </row>
    <row r="4910" spans="1:9" x14ac:dyDescent="0.3">
      <c r="A4910" s="1" t="s">
        <v>27</v>
      </c>
      <c r="B4910" t="s">
        <v>26</v>
      </c>
      <c r="C4910" s="2">
        <v>16.934999999999999</v>
      </c>
      <c r="D4910" s="1">
        <v>1.5</v>
      </c>
      <c r="E4910" s="1">
        <v>2</v>
      </c>
      <c r="F4910" s="1">
        <v>14</v>
      </c>
      <c r="G4910" s="1">
        <v>471.06</v>
      </c>
      <c r="H4910" s="1" t="s">
        <v>8</v>
      </c>
      <c r="I4910" t="str">
        <f t="shared" si="76"/>
        <v>Dotcomgiftshop Gift Voucher Â£20.00 [gift_0001_20]</v>
      </c>
    </row>
    <row r="4911" spans="1:9" x14ac:dyDescent="0.3">
      <c r="A4911" s="1" t="s">
        <v>25</v>
      </c>
      <c r="B4911" t="s">
        <v>24</v>
      </c>
      <c r="C4911" s="1">
        <v>25.53</v>
      </c>
      <c r="D4911" s="1">
        <v>1</v>
      </c>
      <c r="E4911" s="1">
        <v>1.6</v>
      </c>
      <c r="F4911" s="1">
        <v>15</v>
      </c>
      <c r="G4911" s="1">
        <v>610.09</v>
      </c>
      <c r="H4911" s="1" t="s">
        <v>8</v>
      </c>
      <c r="I4911" t="str">
        <f t="shared" si="76"/>
        <v>Dotcomgiftshop Gift Voucher Â£30.00 [gift_0001_30]</v>
      </c>
    </row>
    <row r="4912" spans="1:9" x14ac:dyDescent="0.3">
      <c r="A4912" s="1" t="s">
        <v>23</v>
      </c>
      <c r="B4912" t="s">
        <v>22</v>
      </c>
      <c r="C4912" s="1">
        <v>33.33</v>
      </c>
      <c r="D4912" s="1">
        <v>1</v>
      </c>
      <c r="E4912" s="1">
        <v>1</v>
      </c>
      <c r="F4912" s="1">
        <v>5</v>
      </c>
      <c r="G4912" s="1">
        <v>166.09</v>
      </c>
      <c r="H4912" s="1" t="s">
        <v>8</v>
      </c>
      <c r="I4912" t="str">
        <f t="shared" si="76"/>
        <v>Dotcomgiftshop Gift Voucher Â£40.00 [gift_0001_40]</v>
      </c>
    </row>
    <row r="4913" spans="1:9" x14ac:dyDescent="0.3">
      <c r="A4913" s="1" t="s">
        <v>21</v>
      </c>
      <c r="B4913" t="s">
        <v>20</v>
      </c>
      <c r="C4913" s="1">
        <v>42.55</v>
      </c>
      <c r="D4913" s="1">
        <v>1</v>
      </c>
      <c r="E4913" s="1">
        <v>1.2</v>
      </c>
      <c r="F4913" s="1">
        <v>5</v>
      </c>
      <c r="G4913" s="1">
        <v>253.59</v>
      </c>
      <c r="H4913" s="1" t="s">
        <v>8</v>
      </c>
      <c r="I4913" t="str">
        <f t="shared" si="76"/>
        <v>Dotcomgiftshop Gift Voucher Â£50.00 [gift_0001_50]</v>
      </c>
    </row>
    <row r="4914" spans="1:9" x14ac:dyDescent="0.3">
      <c r="A4914" s="1" t="s">
        <v>19</v>
      </c>
      <c r="B4914" t="s">
        <v>18</v>
      </c>
      <c r="C4914" s="1">
        <v>59.57</v>
      </c>
      <c r="D4914" s="1">
        <v>1</v>
      </c>
      <c r="E4914" s="1">
        <v>1</v>
      </c>
      <c r="F4914" s="1">
        <v>1</v>
      </c>
      <c r="G4914" s="1">
        <v>59.57</v>
      </c>
      <c r="H4914" s="1" t="s">
        <v>8</v>
      </c>
      <c r="I4914" t="str">
        <f t="shared" si="76"/>
        <v>Dotcomgiftshop Gift Voucher Â£70.00 [gift_0001_70]</v>
      </c>
    </row>
    <row r="4915" spans="1:9" x14ac:dyDescent="0.3">
      <c r="A4915" s="1" t="s">
        <v>17</v>
      </c>
      <c r="B4915" t="s">
        <v>16</v>
      </c>
      <c r="C4915" s="1">
        <v>69.56</v>
      </c>
      <c r="D4915" s="1">
        <v>1</v>
      </c>
      <c r="E4915" s="1">
        <v>1</v>
      </c>
      <c r="F4915" s="1">
        <v>1</v>
      </c>
      <c r="G4915" s="1">
        <v>69.56</v>
      </c>
      <c r="H4915" s="1" t="s">
        <v>8</v>
      </c>
      <c r="I4915" t="str">
        <f t="shared" si="76"/>
        <v>Dotcomgiftshop Gift Voucher Â£80.00 [gift_0001_80]</v>
      </c>
    </row>
    <row r="4916" spans="1:9" x14ac:dyDescent="0.3">
      <c r="A4916" s="1" t="s">
        <v>15</v>
      </c>
      <c r="B4916" t="s">
        <v>14</v>
      </c>
      <c r="C4916" s="2">
        <v>2.7649999999999899</v>
      </c>
      <c r="D4916" s="1">
        <v>1</v>
      </c>
      <c r="E4916" s="1">
        <v>1.25</v>
      </c>
      <c r="F4916" s="1">
        <v>4</v>
      </c>
      <c r="G4916" s="1">
        <v>15.05</v>
      </c>
      <c r="H4916" s="1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Excel Decision Model</vt:lpstr>
      <vt:lpstr>revenue_scenarios</vt:lpstr>
      <vt:lpstr>elasticity_estimates</vt:lpstr>
      <vt:lpstr>product_lookup</vt:lpstr>
      <vt:lpstr>ProductCodes</vt:lpstr>
      <vt:lpstr>ProductList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 Fredrickson</cp:lastModifiedBy>
  <dcterms:created xsi:type="dcterms:W3CDTF">2026-10-07T00:48:23Z</dcterms:created>
  <dcterms:modified xsi:type="dcterms:W3CDTF">2026-10-08T00:00:39Z</dcterms:modified>
</cp:coreProperties>
</file>